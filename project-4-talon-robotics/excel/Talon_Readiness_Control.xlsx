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AB8F4589-03BC-4E1B-B0B4-8C7140150E98}" xr6:coauthVersionLast="47" xr6:coauthVersionMax="47" xr10:uidLastSave="{00000000-0000-0000-0000-000000000000}"/>
  <bookViews>
    <workbookView xWindow="0" yWindow="0" windowWidth="25600" windowHeight="15280" firstSheet="3" activeTab="12" xr2:uid="{F2373913-5CF4-4FE9-86BD-4246B6EDFE61}"/>
  </bookViews>
  <sheets>
    <sheet name="Control" sheetId="1" r:id="rId1"/>
    <sheet name="Data_Req" sheetId="2" r:id="rId2"/>
    <sheet name="Data_Queue" sheetId="3" r:id="rId3"/>
    <sheet name="Data_Sub" sheetId="4" r:id="rId4"/>
    <sheet name="Data_KPI" sheetId="5" r:id="rId5"/>
    <sheet name="Data_Trend" sheetId="6" r:id="rId6"/>
    <sheet name="Data_RAID" sheetId="7" r:id="rId7"/>
    <sheet name="Data_Work" sheetId="8" r:id="rId8"/>
    <sheet name="Data_DQ" sheetId="9" r:id="rId9"/>
    <sheet name="Data_Policy" sheetId="10" r:id="rId10"/>
    <sheet name="Data_Matrix" sheetId="11" r:id="rId11"/>
    <sheet name="Data_Targets" sheetId="12" r:id="rId12"/>
    <sheet name="README" sheetId="13" r:id="rId13"/>
    <sheet name="Dashboard" sheetId="14" r:id="rId14"/>
    <sheet name="Verification Queue" sheetId="15" r:id="rId15"/>
    <sheet name="Subsystem Readiness" sheetId="16" r:id="rId16"/>
    <sheet name="RAID Register" sheetId="17" r:id="rId17"/>
    <sheet name="Validation" sheetId="18" r:id="rId18"/>
    <sheet name="Calc" sheetId="19" r:id="rId19"/>
  </sheets>
  <definedNames>
    <definedName name="AirframeHoursOutstanding">Dashboard!$B$38</definedName>
    <definedName name="AsOfBuild">Control!$B$6</definedName>
    <definedName name="AsOfDate">Control!$B$5</definedName>
    <definedName name="CalcWithinWeek">Calc!$F$4:$F$229</definedName>
    <definedName name="ExternalData_1" localSheetId="8" hidden="1">Data_DQ!$A$1:$I$12</definedName>
    <definedName name="ExternalData_1" localSheetId="4" hidden="1">Data_KPI!$A$1:$S$2</definedName>
    <definedName name="ExternalData_1" localSheetId="10" hidden="1">Data_Matrix!$A$1:$D$26</definedName>
    <definedName name="ExternalData_1" localSheetId="9" hidden="1">Data_Policy!$A$1:$E$6</definedName>
    <definedName name="ExternalData_1" localSheetId="2" hidden="1">Data_Queue!$A$1:$X$227</definedName>
    <definedName name="ExternalData_1" localSheetId="6" hidden="1">Data_RAID!$A$1:$V$97</definedName>
    <definedName name="ExternalData_1" localSheetId="1" hidden="1">Data_Req!$A$1:$Y$520</definedName>
    <definedName name="ExternalData_1" localSheetId="3" hidden="1">Data_Sub!$A$1:$R$9</definedName>
    <definedName name="ExternalData_1" localSheetId="11" hidden="1">Data_Targets!$A$1:$F$9</definedName>
    <definedName name="ExternalData_1" localSheetId="5" hidden="1">Data_Trend!$A$1:$H$14</definedName>
    <definedName name="ExternalData_1" localSheetId="7" hidden="1">Data_Work!$A$1:$K$1092</definedName>
    <definedName name="QueueOutstanding">Dashboard!$B$34</definedName>
    <definedName name="QueueRowsShown">Control!$B$9</definedName>
    <definedName name="RigHoursOutstanding">Dashboard!$B$35</definedName>
    <definedName name="RigHoursPerWeek">Control!$B$8</definedName>
    <definedName name="RigWeeksOutstanding">Dashboard!$B$36</definedName>
    <definedName name="SchedulableThisWeek">Dashboard!$B$37</definedName>
    <definedName name="SourceFolder">Control!$B$7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1" i="18" l="1"/>
  <c r="C21" i="18"/>
  <c r="E21" i="18" s="1"/>
  <c r="F21" i="18" s="1"/>
  <c r="A21" i="18"/>
  <c r="D20" i="18"/>
  <c r="C20" i="18"/>
  <c r="E20" i="18" s="1"/>
  <c r="F20" i="18" s="1"/>
  <c r="A20" i="18"/>
  <c r="D19" i="18"/>
  <c r="C19" i="18"/>
  <c r="E19" i="18" s="1"/>
  <c r="F19" i="18" s="1"/>
  <c r="A19" i="18"/>
  <c r="D18" i="18"/>
  <c r="C18" i="18"/>
  <c r="E18" i="18" s="1"/>
  <c r="F18" i="18" s="1"/>
  <c r="A18" i="18"/>
  <c r="D17" i="18"/>
  <c r="C17" i="18"/>
  <c r="E17" i="18" s="1"/>
  <c r="F17" i="18" s="1"/>
  <c r="A17" i="18"/>
  <c r="D16" i="18"/>
  <c r="C16" i="18"/>
  <c r="E16" i="18" s="1"/>
  <c r="F16" i="18" s="1"/>
  <c r="A16" i="18"/>
  <c r="D15" i="18"/>
  <c r="C15" i="18"/>
  <c r="E15" i="18" s="1"/>
  <c r="F15" i="18" s="1"/>
  <c r="A15" i="18"/>
  <c r="D14" i="18"/>
  <c r="C14" i="18"/>
  <c r="E14" i="18" s="1"/>
  <c r="F14" i="18" s="1"/>
  <c r="A14" i="18"/>
  <c r="D13" i="18"/>
  <c r="C13" i="18"/>
  <c r="E13" i="18" s="1"/>
  <c r="F13" i="18" s="1"/>
  <c r="A13" i="18"/>
  <c r="D12" i="18"/>
  <c r="C12" i="18"/>
  <c r="E12" i="18" s="1"/>
  <c r="F12" i="18" s="1"/>
  <c r="A12" i="18"/>
  <c r="D11" i="18"/>
  <c r="C11" i="18"/>
  <c r="E11" i="18" s="1"/>
  <c r="F11" i="18" s="1"/>
  <c r="A11" i="18"/>
  <c r="D10" i="18"/>
  <c r="C10" i="18"/>
  <c r="E10" i="18" s="1"/>
  <c r="F10" i="18" s="1"/>
  <c r="A10" i="18"/>
  <c r="D9" i="18"/>
  <c r="C9" i="18"/>
  <c r="E9" i="18" s="1"/>
  <c r="F9" i="18" s="1"/>
  <c r="A9" i="18"/>
  <c r="D8" i="18"/>
  <c r="C8" i="18"/>
  <c r="E8" i="18" s="1"/>
  <c r="F8" i="18" s="1"/>
  <c r="A8" i="18"/>
  <c r="D7" i="18"/>
  <c r="C7" i="18"/>
  <c r="E7" i="18" s="1"/>
  <c r="F7" i="18" s="1"/>
  <c r="A7" i="18"/>
  <c r="D6" i="18"/>
  <c r="C6" i="18"/>
  <c r="E6" i="18" s="1"/>
  <c r="F6" i="18" s="1"/>
  <c r="A6" i="18"/>
  <c r="D5" i="18"/>
  <c r="C5" i="18"/>
  <c r="E5" i="18" s="1"/>
  <c r="F5" i="18" s="1"/>
  <c r="C23" i="18" s="1"/>
  <c r="A5" i="18"/>
  <c r="K49" i="17"/>
  <c r="J49" i="17"/>
  <c r="I49" i="17"/>
  <c r="H49" i="17"/>
  <c r="G49" i="17"/>
  <c r="F49" i="17"/>
  <c r="E49" i="17"/>
  <c r="D49" i="17"/>
  <c r="C49" i="17"/>
  <c r="B49" i="17"/>
  <c r="A49" i="17"/>
  <c r="K48" i="17"/>
  <c r="J48" i="17"/>
  <c r="I48" i="17"/>
  <c r="H48" i="17"/>
  <c r="G48" i="17"/>
  <c r="F48" i="17"/>
  <c r="E48" i="17"/>
  <c r="D48" i="17"/>
  <c r="C48" i="17"/>
  <c r="B48" i="17"/>
  <c r="A48" i="17"/>
  <c r="K47" i="17"/>
  <c r="J47" i="17"/>
  <c r="I47" i="17"/>
  <c r="H47" i="17"/>
  <c r="G47" i="17"/>
  <c r="F47" i="17"/>
  <c r="E47" i="17"/>
  <c r="D47" i="17"/>
  <c r="C47" i="17"/>
  <c r="B47" i="17"/>
  <c r="A47" i="17"/>
  <c r="K46" i="17"/>
  <c r="J46" i="17"/>
  <c r="I46" i="17"/>
  <c r="H46" i="17"/>
  <c r="G46" i="17"/>
  <c r="F46" i="17"/>
  <c r="E46" i="17"/>
  <c r="D46" i="17"/>
  <c r="C46" i="17"/>
  <c r="B46" i="17"/>
  <c r="A46" i="17"/>
  <c r="K45" i="17"/>
  <c r="J45" i="17"/>
  <c r="I45" i="17"/>
  <c r="H45" i="17"/>
  <c r="G45" i="17"/>
  <c r="F45" i="17"/>
  <c r="E45" i="17"/>
  <c r="D45" i="17"/>
  <c r="C45" i="17"/>
  <c r="B45" i="17"/>
  <c r="A45" i="17"/>
  <c r="K44" i="17"/>
  <c r="J44" i="17"/>
  <c r="I44" i="17"/>
  <c r="H44" i="17"/>
  <c r="G44" i="17"/>
  <c r="F44" i="17"/>
  <c r="E44" i="17"/>
  <c r="D44" i="17"/>
  <c r="C44" i="17"/>
  <c r="B44" i="17"/>
  <c r="A44" i="17"/>
  <c r="K43" i="17"/>
  <c r="J43" i="17"/>
  <c r="I43" i="17"/>
  <c r="H43" i="17"/>
  <c r="G43" i="17"/>
  <c r="F43" i="17"/>
  <c r="E43" i="17"/>
  <c r="D43" i="17"/>
  <c r="C43" i="17"/>
  <c r="B43" i="17"/>
  <c r="A43" i="17"/>
  <c r="K42" i="17"/>
  <c r="J42" i="17"/>
  <c r="I42" i="17"/>
  <c r="H42" i="17"/>
  <c r="G42" i="17"/>
  <c r="F42" i="17"/>
  <c r="E42" i="17"/>
  <c r="D42" i="17"/>
  <c r="C42" i="17"/>
  <c r="B42" i="17"/>
  <c r="A42" i="17"/>
  <c r="K41" i="17"/>
  <c r="J41" i="17"/>
  <c r="I41" i="17"/>
  <c r="H41" i="17"/>
  <c r="G41" i="17"/>
  <c r="F41" i="17"/>
  <c r="E41" i="17"/>
  <c r="D41" i="17"/>
  <c r="C41" i="17"/>
  <c r="B41" i="17"/>
  <c r="A41" i="17"/>
  <c r="K40" i="17"/>
  <c r="J40" i="17"/>
  <c r="I40" i="17"/>
  <c r="H40" i="17"/>
  <c r="G40" i="17"/>
  <c r="F40" i="17"/>
  <c r="E40" i="17"/>
  <c r="D40" i="17"/>
  <c r="C40" i="17"/>
  <c r="B40" i="17"/>
  <c r="A40" i="17"/>
  <c r="K39" i="17"/>
  <c r="J39" i="17"/>
  <c r="I39" i="17"/>
  <c r="H39" i="17"/>
  <c r="G39" i="17"/>
  <c r="F39" i="17"/>
  <c r="E39" i="17"/>
  <c r="D39" i="17"/>
  <c r="C39" i="17"/>
  <c r="B39" i="17"/>
  <c r="A39" i="17"/>
  <c r="K38" i="17"/>
  <c r="J38" i="17"/>
  <c r="I38" i="17"/>
  <c r="H38" i="17"/>
  <c r="G38" i="17"/>
  <c r="F38" i="17"/>
  <c r="E38" i="17"/>
  <c r="D38" i="17"/>
  <c r="C38" i="17"/>
  <c r="B38" i="17"/>
  <c r="A38" i="17"/>
  <c r="K37" i="17"/>
  <c r="J37" i="17"/>
  <c r="I37" i="17"/>
  <c r="H37" i="17"/>
  <c r="G37" i="17"/>
  <c r="F37" i="17"/>
  <c r="E37" i="17"/>
  <c r="D37" i="17"/>
  <c r="C37" i="17"/>
  <c r="B37" i="17"/>
  <c r="A37" i="17"/>
  <c r="K36" i="17"/>
  <c r="J36" i="17"/>
  <c r="I36" i="17"/>
  <c r="H36" i="17"/>
  <c r="G36" i="17"/>
  <c r="F36" i="17"/>
  <c r="E36" i="17"/>
  <c r="D36" i="17"/>
  <c r="C36" i="17"/>
  <c r="B36" i="17"/>
  <c r="A36" i="17"/>
  <c r="K35" i="17"/>
  <c r="J35" i="17"/>
  <c r="I35" i="17"/>
  <c r="H35" i="17"/>
  <c r="G35" i="17"/>
  <c r="F35" i="17"/>
  <c r="E35" i="17"/>
  <c r="D35" i="17"/>
  <c r="C35" i="17"/>
  <c r="B35" i="17"/>
  <c r="A35" i="17"/>
  <c r="K34" i="17"/>
  <c r="J34" i="17"/>
  <c r="I34" i="17"/>
  <c r="H34" i="17"/>
  <c r="G34" i="17"/>
  <c r="F34" i="17"/>
  <c r="E34" i="17"/>
  <c r="D34" i="17"/>
  <c r="C34" i="17"/>
  <c r="B34" i="17"/>
  <c r="A34" i="17"/>
  <c r="K33" i="17"/>
  <c r="J33" i="17"/>
  <c r="I33" i="17"/>
  <c r="H33" i="17"/>
  <c r="G33" i="17"/>
  <c r="F33" i="17"/>
  <c r="E33" i="17"/>
  <c r="D33" i="17"/>
  <c r="C33" i="17"/>
  <c r="B33" i="17"/>
  <c r="A33" i="17"/>
  <c r="K32" i="17"/>
  <c r="J32" i="17"/>
  <c r="I32" i="17"/>
  <c r="H32" i="17"/>
  <c r="G32" i="17"/>
  <c r="F32" i="17"/>
  <c r="E32" i="17"/>
  <c r="D32" i="17"/>
  <c r="C32" i="17"/>
  <c r="B32" i="17"/>
  <c r="A32" i="17"/>
  <c r="K31" i="17"/>
  <c r="J31" i="17"/>
  <c r="I31" i="17"/>
  <c r="H31" i="17"/>
  <c r="G31" i="17"/>
  <c r="F31" i="17"/>
  <c r="E31" i="17"/>
  <c r="D31" i="17"/>
  <c r="C31" i="17"/>
  <c r="B31" i="17"/>
  <c r="A31" i="17"/>
  <c r="K30" i="17"/>
  <c r="J30" i="17"/>
  <c r="I30" i="17"/>
  <c r="H30" i="17"/>
  <c r="G30" i="17"/>
  <c r="F30" i="17"/>
  <c r="E30" i="17"/>
  <c r="D30" i="17"/>
  <c r="C30" i="17"/>
  <c r="B30" i="17"/>
  <c r="A30" i="17"/>
  <c r="K29" i="17"/>
  <c r="J29" i="17"/>
  <c r="I29" i="17"/>
  <c r="H29" i="17"/>
  <c r="G29" i="17"/>
  <c r="F29" i="17"/>
  <c r="E29" i="17"/>
  <c r="D29" i="17"/>
  <c r="C29" i="17"/>
  <c r="B29" i="17"/>
  <c r="A29" i="17"/>
  <c r="K28" i="17"/>
  <c r="J28" i="17"/>
  <c r="I28" i="17"/>
  <c r="H28" i="17"/>
  <c r="G28" i="17"/>
  <c r="F28" i="17"/>
  <c r="E28" i="17"/>
  <c r="D28" i="17"/>
  <c r="C28" i="17"/>
  <c r="B28" i="17"/>
  <c r="A28" i="17"/>
  <c r="K27" i="17"/>
  <c r="J27" i="17"/>
  <c r="I27" i="17"/>
  <c r="H27" i="17"/>
  <c r="G27" i="17"/>
  <c r="F27" i="17"/>
  <c r="E27" i="17"/>
  <c r="D27" i="17"/>
  <c r="C27" i="17"/>
  <c r="B27" i="17"/>
  <c r="A27" i="17"/>
  <c r="K26" i="17"/>
  <c r="J26" i="17"/>
  <c r="I26" i="17"/>
  <c r="H26" i="17"/>
  <c r="G26" i="17"/>
  <c r="F26" i="17"/>
  <c r="E26" i="17"/>
  <c r="D26" i="17"/>
  <c r="C26" i="17"/>
  <c r="B26" i="17"/>
  <c r="A26" i="17"/>
  <c r="K25" i="17"/>
  <c r="J25" i="17"/>
  <c r="I25" i="17"/>
  <c r="H25" i="17"/>
  <c r="G25" i="17"/>
  <c r="F25" i="17"/>
  <c r="E25" i="17"/>
  <c r="D25" i="17"/>
  <c r="C25" i="17"/>
  <c r="B25" i="17"/>
  <c r="A25" i="17"/>
  <c r="K24" i="17"/>
  <c r="J24" i="17"/>
  <c r="I24" i="17"/>
  <c r="H24" i="17"/>
  <c r="G24" i="17"/>
  <c r="F24" i="17"/>
  <c r="E24" i="17"/>
  <c r="D24" i="17"/>
  <c r="C24" i="17"/>
  <c r="B24" i="17"/>
  <c r="A24" i="17"/>
  <c r="K23" i="17"/>
  <c r="J23" i="17"/>
  <c r="I23" i="17"/>
  <c r="H23" i="17"/>
  <c r="G23" i="17"/>
  <c r="F23" i="17"/>
  <c r="E23" i="17"/>
  <c r="D23" i="17"/>
  <c r="C23" i="17"/>
  <c r="B23" i="17"/>
  <c r="A23" i="17"/>
  <c r="K22" i="17"/>
  <c r="J22" i="17"/>
  <c r="I22" i="17"/>
  <c r="H22" i="17"/>
  <c r="G22" i="17"/>
  <c r="F22" i="17"/>
  <c r="E22" i="17"/>
  <c r="D22" i="17"/>
  <c r="C22" i="17"/>
  <c r="B22" i="17"/>
  <c r="A22" i="17"/>
  <c r="K21" i="17"/>
  <c r="J21" i="17"/>
  <c r="I21" i="17"/>
  <c r="H21" i="17"/>
  <c r="G21" i="17"/>
  <c r="F21" i="17"/>
  <c r="E21" i="17"/>
  <c r="D21" i="17"/>
  <c r="C21" i="17"/>
  <c r="B21" i="17"/>
  <c r="A21" i="17"/>
  <c r="K20" i="17"/>
  <c r="J20" i="17"/>
  <c r="I20" i="17"/>
  <c r="H20" i="17"/>
  <c r="G20" i="17"/>
  <c r="F20" i="17"/>
  <c r="E20" i="17"/>
  <c r="D20" i="17"/>
  <c r="C20" i="17"/>
  <c r="B20" i="17"/>
  <c r="A20" i="17"/>
  <c r="K19" i="17"/>
  <c r="J19" i="17"/>
  <c r="I19" i="17"/>
  <c r="H19" i="17"/>
  <c r="G19" i="17"/>
  <c r="F19" i="17"/>
  <c r="E19" i="17"/>
  <c r="D19" i="17"/>
  <c r="C19" i="17"/>
  <c r="B19" i="17"/>
  <c r="A19" i="17"/>
  <c r="K18" i="17"/>
  <c r="J18" i="17"/>
  <c r="I18" i="17"/>
  <c r="H18" i="17"/>
  <c r="G18" i="17"/>
  <c r="F18" i="17"/>
  <c r="E18" i="17"/>
  <c r="D18" i="17"/>
  <c r="C18" i="17"/>
  <c r="B18" i="17"/>
  <c r="A18" i="17"/>
  <c r="K17" i="17"/>
  <c r="J17" i="17"/>
  <c r="I17" i="17"/>
  <c r="H17" i="17"/>
  <c r="G17" i="17"/>
  <c r="F17" i="17"/>
  <c r="E17" i="17"/>
  <c r="D17" i="17"/>
  <c r="C17" i="17"/>
  <c r="B17" i="17"/>
  <c r="A17" i="17"/>
  <c r="K16" i="17"/>
  <c r="J16" i="17"/>
  <c r="I16" i="17"/>
  <c r="H16" i="17"/>
  <c r="G16" i="17"/>
  <c r="F16" i="17"/>
  <c r="E16" i="17"/>
  <c r="D16" i="17"/>
  <c r="C16" i="17"/>
  <c r="B16" i="17"/>
  <c r="A16" i="17"/>
  <c r="K15" i="17"/>
  <c r="J15" i="17"/>
  <c r="I15" i="17"/>
  <c r="H15" i="17"/>
  <c r="G15" i="17"/>
  <c r="F15" i="17"/>
  <c r="E15" i="17"/>
  <c r="D15" i="17"/>
  <c r="C15" i="17"/>
  <c r="B15" i="17"/>
  <c r="A15" i="17"/>
  <c r="K14" i="17"/>
  <c r="J14" i="17"/>
  <c r="I14" i="17"/>
  <c r="H14" i="17"/>
  <c r="G14" i="17"/>
  <c r="F14" i="17"/>
  <c r="E14" i="17"/>
  <c r="D14" i="17"/>
  <c r="C14" i="17"/>
  <c r="B14" i="17"/>
  <c r="A14" i="17"/>
  <c r="K13" i="17"/>
  <c r="J13" i="17"/>
  <c r="I13" i="17"/>
  <c r="H13" i="17"/>
  <c r="G13" i="17"/>
  <c r="F13" i="17"/>
  <c r="E13" i="17"/>
  <c r="D13" i="17"/>
  <c r="C13" i="17"/>
  <c r="B13" i="17"/>
  <c r="A13" i="17"/>
  <c r="K12" i="17"/>
  <c r="J12" i="17"/>
  <c r="I12" i="17"/>
  <c r="H12" i="17"/>
  <c r="G12" i="17"/>
  <c r="F12" i="17"/>
  <c r="E12" i="17"/>
  <c r="D12" i="17"/>
  <c r="C12" i="17"/>
  <c r="B12" i="17"/>
  <c r="A12" i="17"/>
  <c r="K11" i="17"/>
  <c r="J11" i="17"/>
  <c r="I11" i="17"/>
  <c r="H11" i="17"/>
  <c r="G11" i="17"/>
  <c r="F11" i="17"/>
  <c r="E11" i="17"/>
  <c r="D11" i="17"/>
  <c r="C11" i="17"/>
  <c r="B11" i="17"/>
  <c r="A11" i="17"/>
  <c r="K10" i="17"/>
  <c r="J10" i="17"/>
  <c r="I10" i="17"/>
  <c r="H10" i="17"/>
  <c r="G10" i="17"/>
  <c r="F10" i="17"/>
  <c r="E10" i="17"/>
  <c r="D10" i="17"/>
  <c r="C10" i="17"/>
  <c r="B10" i="17"/>
  <c r="A10" i="17"/>
  <c r="B7" i="17"/>
  <c r="B6" i="17"/>
  <c r="B5" i="17"/>
  <c r="B4" i="17"/>
  <c r="L12" i="16"/>
  <c r="K12" i="16"/>
  <c r="J12" i="16"/>
  <c r="I12" i="16"/>
  <c r="H12" i="16"/>
  <c r="G12" i="16"/>
  <c r="E12" i="16"/>
  <c r="D12" i="16"/>
  <c r="F12" i="16" s="1"/>
  <c r="C12" i="16"/>
  <c r="B12" i="16"/>
  <c r="A12" i="16"/>
  <c r="L11" i="16"/>
  <c r="K11" i="16"/>
  <c r="J11" i="16"/>
  <c r="I11" i="16"/>
  <c r="H11" i="16"/>
  <c r="G11" i="16"/>
  <c r="E11" i="16"/>
  <c r="D11" i="16"/>
  <c r="F11" i="16" s="1"/>
  <c r="C11" i="16"/>
  <c r="B11" i="16"/>
  <c r="A11" i="16"/>
  <c r="L10" i="16"/>
  <c r="K10" i="16"/>
  <c r="J10" i="16"/>
  <c r="I10" i="16"/>
  <c r="H10" i="16"/>
  <c r="G10" i="16"/>
  <c r="E10" i="16"/>
  <c r="D10" i="16"/>
  <c r="F10" i="16" s="1"/>
  <c r="C10" i="16"/>
  <c r="B10" i="16"/>
  <c r="A10" i="16"/>
  <c r="L9" i="16"/>
  <c r="K9" i="16"/>
  <c r="J9" i="16"/>
  <c r="I9" i="16"/>
  <c r="H9" i="16"/>
  <c r="G9" i="16"/>
  <c r="E9" i="16"/>
  <c r="D9" i="16"/>
  <c r="F9" i="16" s="1"/>
  <c r="C9" i="16"/>
  <c r="B9" i="16"/>
  <c r="A9" i="16"/>
  <c r="L8" i="16"/>
  <c r="K8" i="16"/>
  <c r="J8" i="16"/>
  <c r="I8" i="16"/>
  <c r="H8" i="16"/>
  <c r="G8" i="16"/>
  <c r="E8" i="16"/>
  <c r="D8" i="16"/>
  <c r="F8" i="16" s="1"/>
  <c r="C8" i="16"/>
  <c r="B8" i="16"/>
  <c r="A8" i="16"/>
  <c r="L7" i="16"/>
  <c r="K7" i="16"/>
  <c r="J7" i="16"/>
  <c r="I7" i="16"/>
  <c r="H7" i="16"/>
  <c r="G7" i="16"/>
  <c r="E7" i="16"/>
  <c r="D7" i="16"/>
  <c r="F7" i="16" s="1"/>
  <c r="C7" i="16"/>
  <c r="B7" i="16"/>
  <c r="A7" i="16"/>
  <c r="L6" i="16"/>
  <c r="K6" i="16"/>
  <c r="J6" i="16"/>
  <c r="I6" i="16"/>
  <c r="H6" i="16"/>
  <c r="G6" i="16"/>
  <c r="E6" i="16"/>
  <c r="D6" i="16"/>
  <c r="F6" i="16" s="1"/>
  <c r="C6" i="16"/>
  <c r="B6" i="16"/>
  <c r="A6" i="16"/>
  <c r="L5" i="16"/>
  <c r="K5" i="16"/>
  <c r="J5" i="16"/>
  <c r="I5" i="16"/>
  <c r="H5" i="16"/>
  <c r="G5" i="16"/>
  <c r="E5" i="16"/>
  <c r="D5" i="16"/>
  <c r="F5" i="16" s="1"/>
  <c r="C5" i="16"/>
  <c r="B5" i="16"/>
  <c r="A5" i="16"/>
  <c r="A34" i="15"/>
  <c r="B33" i="15"/>
  <c r="A33" i="15"/>
  <c r="A32" i="15"/>
  <c r="B31" i="15"/>
  <c r="A31" i="15"/>
  <c r="F30" i="15"/>
  <c r="A30" i="15"/>
  <c r="A29" i="15"/>
  <c r="A28" i="15"/>
  <c r="A27" i="15"/>
  <c r="A26" i="15"/>
  <c r="A25" i="15"/>
  <c r="C24" i="15"/>
  <c r="A24" i="15"/>
  <c r="A23" i="15"/>
  <c r="A22" i="15"/>
  <c r="F21" i="15"/>
  <c r="A21" i="15"/>
  <c r="A20" i="15"/>
  <c r="A19" i="15"/>
  <c r="A18" i="15"/>
  <c r="A17" i="15"/>
  <c r="A16" i="15"/>
  <c r="A15" i="15"/>
  <c r="A14" i="15"/>
  <c r="H13" i="15"/>
  <c r="A13" i="15"/>
  <c r="A12" i="15"/>
  <c r="B11" i="15"/>
  <c r="A11" i="15"/>
  <c r="A10" i="15"/>
  <c r="C9" i="15"/>
  <c r="B9" i="15"/>
  <c r="A9" i="15"/>
  <c r="B8" i="15"/>
  <c r="A8" i="15"/>
  <c r="A7" i="15"/>
  <c r="A6" i="15"/>
  <c r="A5" i="15"/>
  <c r="B38" i="14"/>
  <c r="B35" i="14"/>
  <c r="B36" i="14" s="1"/>
  <c r="B34" i="14"/>
  <c r="F31" i="14"/>
  <c r="D31" i="14"/>
  <c r="C31" i="14"/>
  <c r="E31" i="14" s="1"/>
  <c r="B31" i="14"/>
  <c r="A31" i="14"/>
  <c r="F30" i="14"/>
  <c r="D30" i="14"/>
  <c r="C30" i="14"/>
  <c r="E30" i="14" s="1"/>
  <c r="B30" i="14"/>
  <c r="A30" i="14"/>
  <c r="F29" i="14"/>
  <c r="D29" i="14"/>
  <c r="C29" i="14"/>
  <c r="E29" i="14" s="1"/>
  <c r="B29" i="14"/>
  <c r="A29" i="14"/>
  <c r="F28" i="14"/>
  <c r="D28" i="14"/>
  <c r="C28" i="14"/>
  <c r="E28" i="14" s="1"/>
  <c r="B28" i="14"/>
  <c r="A28" i="14"/>
  <c r="F27" i="14"/>
  <c r="D27" i="14"/>
  <c r="C27" i="14"/>
  <c r="E27" i="14" s="1"/>
  <c r="B27" i="14"/>
  <c r="A27" i="14"/>
  <c r="F26" i="14"/>
  <c r="D26" i="14"/>
  <c r="C26" i="14"/>
  <c r="E26" i="14" s="1"/>
  <c r="B26" i="14"/>
  <c r="A26" i="14"/>
  <c r="F25" i="14"/>
  <c r="D25" i="14"/>
  <c r="C25" i="14"/>
  <c r="E25" i="14" s="1"/>
  <c r="B25" i="14"/>
  <c r="A25" i="14"/>
  <c r="F24" i="14"/>
  <c r="D24" i="14"/>
  <c r="C24" i="14"/>
  <c r="E24" i="14" s="1"/>
  <c r="B24" i="14"/>
  <c r="A24" i="14"/>
  <c r="D19" i="14"/>
  <c r="C19" i="14"/>
  <c r="B19" i="14"/>
  <c r="E19" i="14" s="1"/>
  <c r="D18" i="14"/>
  <c r="C18" i="14"/>
  <c r="B18" i="14"/>
  <c r="E18" i="14" s="1"/>
  <c r="D17" i="14"/>
  <c r="C17" i="14"/>
  <c r="B17" i="14"/>
  <c r="E17" i="14" s="1"/>
  <c r="D16" i="14"/>
  <c r="C16" i="14"/>
  <c r="B16" i="14"/>
  <c r="E16" i="14" s="1"/>
  <c r="D15" i="14"/>
  <c r="C15" i="14"/>
  <c r="B15" i="14"/>
  <c r="E15" i="14" s="1"/>
  <c r="D14" i="14"/>
  <c r="C14" i="14"/>
  <c r="B14" i="14"/>
  <c r="E14" i="14" s="1"/>
  <c r="D13" i="14"/>
  <c r="C13" i="14"/>
  <c r="B13" i="14"/>
  <c r="E13" i="14" s="1"/>
  <c r="B8" i="14"/>
  <c r="B7" i="14"/>
  <c r="B6" i="14"/>
  <c r="B9" i="14" s="1"/>
  <c r="A229" i="19"/>
  <c r="A228" i="19"/>
  <c r="A227" i="19"/>
  <c r="A226" i="19"/>
  <c r="A225" i="19"/>
  <c r="A224" i="19"/>
  <c r="A223" i="19"/>
  <c r="A222" i="19"/>
  <c r="A221" i="19"/>
  <c r="A220" i="19"/>
  <c r="A219" i="19"/>
  <c r="A218" i="19"/>
  <c r="A217" i="19"/>
  <c r="A216" i="19"/>
  <c r="A215" i="19"/>
  <c r="A214" i="19"/>
  <c r="A213" i="19"/>
  <c r="A212" i="19"/>
  <c r="A211" i="19"/>
  <c r="A210" i="19"/>
  <c r="A209" i="19"/>
  <c r="A208" i="19"/>
  <c r="A207" i="19"/>
  <c r="A206" i="19"/>
  <c r="A205" i="19"/>
  <c r="A204" i="19"/>
  <c r="B203" i="19"/>
  <c r="A203" i="19"/>
  <c r="A202" i="19"/>
  <c r="A201" i="19"/>
  <c r="A200" i="19"/>
  <c r="A199" i="19"/>
  <c r="A198" i="19"/>
  <c r="A197" i="19"/>
  <c r="A196" i="19"/>
  <c r="B195" i="19"/>
  <c r="A195" i="19"/>
  <c r="A194" i="19"/>
  <c r="A193" i="19"/>
  <c r="A192" i="19"/>
  <c r="A191" i="19"/>
  <c r="A190" i="19"/>
  <c r="A189" i="19"/>
  <c r="B188" i="19"/>
  <c r="A188" i="19"/>
  <c r="A187" i="19"/>
  <c r="A186" i="19"/>
  <c r="A185" i="19"/>
  <c r="A184" i="19"/>
  <c r="A183" i="19"/>
  <c r="B182" i="19"/>
  <c r="A182" i="19"/>
  <c r="A181" i="19"/>
  <c r="A180" i="19"/>
  <c r="A179" i="19"/>
  <c r="A178" i="19"/>
  <c r="A177" i="19"/>
  <c r="A176" i="19"/>
  <c r="B175" i="19"/>
  <c r="A175" i="19"/>
  <c r="A174" i="19"/>
  <c r="A173" i="19"/>
  <c r="A172" i="19"/>
  <c r="A171" i="19"/>
  <c r="B170" i="19"/>
  <c r="A170" i="19"/>
  <c r="A169" i="19"/>
  <c r="C168" i="19"/>
  <c r="A168" i="19"/>
  <c r="A167" i="19"/>
  <c r="A166" i="19"/>
  <c r="B165" i="19"/>
  <c r="A165" i="19"/>
  <c r="A164" i="19"/>
  <c r="A163" i="19"/>
  <c r="A162" i="19"/>
  <c r="A161" i="19"/>
  <c r="A160" i="19"/>
  <c r="A159" i="19"/>
  <c r="A158" i="19"/>
  <c r="A157" i="19"/>
  <c r="A156" i="19"/>
  <c r="B155" i="19"/>
  <c r="A155" i="19"/>
  <c r="A154" i="19"/>
  <c r="A153" i="19"/>
  <c r="A152" i="19"/>
  <c r="B151" i="19"/>
  <c r="A151" i="19"/>
  <c r="B150" i="19"/>
  <c r="A150" i="19"/>
  <c r="A149" i="19"/>
  <c r="A148" i="19"/>
  <c r="A147" i="19"/>
  <c r="A146" i="19"/>
  <c r="C145" i="19"/>
  <c r="B145" i="19"/>
  <c r="A145" i="19"/>
  <c r="E145" i="19" s="1"/>
  <c r="A144" i="19"/>
  <c r="B143" i="19"/>
  <c r="A143" i="19"/>
  <c r="A142" i="19"/>
  <c r="C141" i="19"/>
  <c r="B141" i="19"/>
  <c r="A141" i="19"/>
  <c r="E141" i="19" s="1"/>
  <c r="A140" i="19"/>
  <c r="A139" i="19"/>
  <c r="A138" i="19"/>
  <c r="A137" i="19"/>
  <c r="B136" i="19"/>
  <c r="A136" i="19"/>
  <c r="C135" i="19"/>
  <c r="B135" i="19"/>
  <c r="A135" i="19"/>
  <c r="E135" i="19" s="1"/>
  <c r="A134" i="19"/>
  <c r="A133" i="19"/>
  <c r="A132" i="19"/>
  <c r="A131" i="19"/>
  <c r="A130" i="19"/>
  <c r="A129" i="19"/>
  <c r="B128" i="19"/>
  <c r="A128" i="19"/>
  <c r="E127" i="19"/>
  <c r="A127" i="19"/>
  <c r="B126" i="19"/>
  <c r="A126" i="19"/>
  <c r="A125" i="19"/>
  <c r="A124" i="19"/>
  <c r="A123" i="19"/>
  <c r="A122" i="19"/>
  <c r="C121" i="19"/>
  <c r="B121" i="19"/>
  <c r="A121" i="19"/>
  <c r="E121" i="19" s="1"/>
  <c r="C120" i="19"/>
  <c r="A120" i="19"/>
  <c r="A119" i="19"/>
  <c r="A118" i="19"/>
  <c r="A117" i="19"/>
  <c r="E116" i="19"/>
  <c r="A116" i="19"/>
  <c r="A115" i="19"/>
  <c r="A114" i="19"/>
  <c r="B113" i="19"/>
  <c r="A113" i="19"/>
  <c r="A112" i="19"/>
  <c r="B111" i="19"/>
  <c r="A111" i="19"/>
  <c r="A110" i="19"/>
  <c r="A109" i="19"/>
  <c r="A108" i="19"/>
  <c r="B107" i="19"/>
  <c r="A107" i="19"/>
  <c r="C106" i="19"/>
  <c r="A106" i="19"/>
  <c r="A105" i="19"/>
  <c r="A104" i="19"/>
  <c r="A103" i="19"/>
  <c r="A102" i="19"/>
  <c r="A101" i="19"/>
  <c r="B100" i="19"/>
  <c r="A100" i="19"/>
  <c r="A99" i="19"/>
  <c r="A98" i="19"/>
  <c r="E97" i="19"/>
  <c r="A97" i="19"/>
  <c r="A96" i="19"/>
  <c r="A95" i="19"/>
  <c r="B94" i="19"/>
  <c r="A94" i="19"/>
  <c r="B93" i="19"/>
  <c r="A93" i="19"/>
  <c r="A92" i="19"/>
  <c r="A91" i="19"/>
  <c r="A90" i="19"/>
  <c r="B89" i="19"/>
  <c r="A89" i="19"/>
  <c r="B88" i="19"/>
  <c r="A88" i="19"/>
  <c r="A87" i="19"/>
  <c r="B86" i="19"/>
  <c r="A86" i="19"/>
  <c r="A85" i="19"/>
  <c r="A84" i="19"/>
  <c r="A83" i="19"/>
  <c r="B82" i="19"/>
  <c r="A82" i="19"/>
  <c r="A81" i="19"/>
  <c r="C80" i="19"/>
  <c r="B80" i="19"/>
  <c r="A80" i="19"/>
  <c r="E80" i="19" s="1"/>
  <c r="A79" i="19"/>
  <c r="A78" i="19"/>
  <c r="C77" i="19"/>
  <c r="B77" i="19"/>
  <c r="A77" i="19"/>
  <c r="E77" i="19" s="1"/>
  <c r="B76" i="19"/>
  <c r="A76" i="19"/>
  <c r="A75" i="19"/>
  <c r="A74" i="19"/>
  <c r="A73" i="19"/>
  <c r="B72" i="19"/>
  <c r="A72" i="19"/>
  <c r="B71" i="19"/>
  <c r="A71" i="19"/>
  <c r="A70" i="19"/>
  <c r="E69" i="19"/>
  <c r="A69" i="19"/>
  <c r="A68" i="19"/>
  <c r="A67" i="19"/>
  <c r="A66" i="19"/>
  <c r="B65" i="19"/>
  <c r="A65" i="19"/>
  <c r="A64" i="19"/>
  <c r="B63" i="19"/>
  <c r="A63" i="19"/>
  <c r="A62" i="19"/>
  <c r="C61" i="19"/>
  <c r="B61" i="19"/>
  <c r="A61" i="19"/>
  <c r="E61" i="19" s="1"/>
  <c r="B60" i="19"/>
  <c r="A60" i="19"/>
  <c r="A59" i="19"/>
  <c r="B58" i="19"/>
  <c r="A58" i="19"/>
  <c r="B57" i="19"/>
  <c r="A57" i="19"/>
  <c r="A56" i="19"/>
  <c r="B55" i="19"/>
  <c r="A55" i="19"/>
  <c r="A54" i="19"/>
  <c r="A53" i="19"/>
  <c r="A52" i="19"/>
  <c r="A51" i="19"/>
  <c r="C50" i="19"/>
  <c r="B50" i="19"/>
  <c r="A50" i="19"/>
  <c r="E50" i="19" s="1"/>
  <c r="E49" i="19"/>
  <c r="A49" i="19"/>
  <c r="B48" i="19"/>
  <c r="A48" i="19"/>
  <c r="B47" i="19"/>
  <c r="A47" i="19"/>
  <c r="A46" i="19"/>
  <c r="C45" i="19"/>
  <c r="A45" i="19"/>
  <c r="B44" i="19"/>
  <c r="A44" i="19"/>
  <c r="B43" i="19"/>
  <c r="A43" i="19"/>
  <c r="A42" i="19"/>
  <c r="A41" i="19"/>
  <c r="B40" i="19"/>
  <c r="A40" i="19"/>
  <c r="B39" i="19"/>
  <c r="A39" i="19"/>
  <c r="A38" i="19"/>
  <c r="C37" i="19"/>
  <c r="B37" i="19"/>
  <c r="A37" i="19"/>
  <c r="E37" i="19" s="1"/>
  <c r="A36" i="19"/>
  <c r="A35" i="19"/>
  <c r="A34" i="19"/>
  <c r="A33" i="19"/>
  <c r="A32" i="19"/>
  <c r="A31" i="19"/>
  <c r="A30" i="19"/>
  <c r="C29" i="19"/>
  <c r="B29" i="19"/>
  <c r="A29" i="19"/>
  <c r="E29" i="19" s="1"/>
  <c r="B28" i="19"/>
  <c r="A28" i="19"/>
  <c r="A27" i="19"/>
  <c r="E26" i="19"/>
  <c r="C26" i="19"/>
  <c r="B26" i="19"/>
  <c r="A26" i="19"/>
  <c r="A25" i="19"/>
  <c r="A24" i="19"/>
  <c r="A23" i="19"/>
  <c r="A22" i="19"/>
  <c r="A21" i="19"/>
  <c r="E20" i="19"/>
  <c r="A20" i="19"/>
  <c r="A19" i="19"/>
  <c r="C18" i="19"/>
  <c r="B18" i="19"/>
  <c r="A18" i="19"/>
  <c r="E18" i="19" s="1"/>
  <c r="A17" i="19"/>
  <c r="E16" i="19"/>
  <c r="A16" i="19"/>
  <c r="C15" i="19"/>
  <c r="B15" i="19"/>
  <c r="A15" i="19"/>
  <c r="E15" i="19" s="1"/>
  <c r="A14" i="19"/>
  <c r="A13" i="19"/>
  <c r="B12" i="19"/>
  <c r="A12" i="19"/>
  <c r="A11" i="19"/>
  <c r="A10" i="19"/>
  <c r="A9" i="19"/>
  <c r="B8" i="19"/>
  <c r="A8" i="19"/>
  <c r="A7" i="19"/>
  <c r="A6" i="19"/>
  <c r="C5" i="19"/>
  <c r="B5" i="19"/>
  <c r="A5" i="19"/>
  <c r="E5" i="19" s="1"/>
  <c r="A4" i="19"/>
  <c r="B5" i="1"/>
  <c r="A2" i="14" s="1"/>
  <c r="I34" i="15" l="1"/>
  <c r="K34" i="15"/>
  <c r="G34" i="15"/>
  <c r="L34" i="15"/>
  <c r="H34" i="15"/>
  <c r="F34" i="15"/>
  <c r="C34" i="15"/>
  <c r="D34" i="15"/>
  <c r="J34" i="15"/>
  <c r="E34" i="15"/>
  <c r="B34" i="15"/>
  <c r="F33" i="15"/>
  <c r="C33" i="15"/>
  <c r="E33" i="15"/>
  <c r="H33" i="15"/>
  <c r="D33" i="15"/>
  <c r="L33" i="15"/>
  <c r="I33" i="15"/>
  <c r="J33" i="15"/>
  <c r="K33" i="15"/>
  <c r="G33" i="15"/>
  <c r="D32" i="15"/>
  <c r="H32" i="15"/>
  <c r="J32" i="15"/>
  <c r="L32" i="15"/>
  <c r="K32" i="15"/>
  <c r="I32" i="15"/>
  <c r="G32" i="15"/>
  <c r="E32" i="15"/>
  <c r="C32" i="15"/>
  <c r="F32" i="15"/>
  <c r="B32" i="15"/>
  <c r="K31" i="15"/>
  <c r="C31" i="15"/>
  <c r="L31" i="15"/>
  <c r="D31" i="15"/>
  <c r="J31" i="15"/>
  <c r="H31" i="15"/>
  <c r="F31" i="15"/>
  <c r="E31" i="15"/>
  <c r="G31" i="15"/>
  <c r="I31" i="15"/>
  <c r="D30" i="15"/>
  <c r="H30" i="15"/>
  <c r="G30" i="15"/>
  <c r="C30" i="15"/>
  <c r="B30" i="15"/>
  <c r="E30" i="15"/>
  <c r="I30" i="15"/>
  <c r="J30" i="15"/>
  <c r="K30" i="15"/>
  <c r="L30" i="15"/>
  <c r="C29" i="15"/>
  <c r="J29" i="15"/>
  <c r="E29" i="15"/>
  <c r="L29" i="15"/>
  <c r="I29" i="15"/>
  <c r="F29" i="15"/>
  <c r="H29" i="15"/>
  <c r="B29" i="15"/>
  <c r="D29" i="15"/>
  <c r="G29" i="15"/>
  <c r="K29" i="15"/>
  <c r="C28" i="15"/>
  <c r="B28" i="15"/>
  <c r="H28" i="15"/>
  <c r="K28" i="15"/>
  <c r="J28" i="15"/>
  <c r="E28" i="15"/>
  <c r="L28" i="15"/>
  <c r="I28" i="15"/>
  <c r="F28" i="15"/>
  <c r="D28" i="15"/>
  <c r="G28" i="15"/>
  <c r="E27" i="15"/>
  <c r="H27" i="15"/>
  <c r="L27" i="15"/>
  <c r="K27" i="15"/>
  <c r="I27" i="15"/>
  <c r="D27" i="15"/>
  <c r="B27" i="15"/>
  <c r="F27" i="15"/>
  <c r="J27" i="15"/>
  <c r="C27" i="15"/>
  <c r="G27" i="15"/>
  <c r="L26" i="15"/>
  <c r="I26" i="15"/>
  <c r="G26" i="15"/>
  <c r="D26" i="15"/>
  <c r="C26" i="15"/>
  <c r="J26" i="15"/>
  <c r="F26" i="15"/>
  <c r="B26" i="15"/>
  <c r="K26" i="15"/>
  <c r="H26" i="15"/>
  <c r="E26" i="15"/>
  <c r="B25" i="15"/>
  <c r="J25" i="15"/>
  <c r="F25" i="15"/>
  <c r="D25" i="15"/>
  <c r="L25" i="15"/>
  <c r="I25" i="15"/>
  <c r="G25" i="15"/>
  <c r="E25" i="15"/>
  <c r="C25" i="15"/>
  <c r="K25" i="15"/>
  <c r="H25" i="15"/>
  <c r="L24" i="15"/>
  <c r="H24" i="15"/>
  <c r="B24" i="15"/>
  <c r="E24" i="15"/>
  <c r="K24" i="15"/>
  <c r="I24" i="15"/>
  <c r="G24" i="15"/>
  <c r="D24" i="15"/>
  <c r="J24" i="15"/>
  <c r="F24" i="15"/>
  <c r="K23" i="15"/>
  <c r="J23" i="15"/>
  <c r="H23" i="15"/>
  <c r="F23" i="15"/>
  <c r="L23" i="15"/>
  <c r="C23" i="15"/>
  <c r="E23" i="15"/>
  <c r="D23" i="15"/>
  <c r="I23" i="15"/>
  <c r="B23" i="15"/>
  <c r="G23" i="15"/>
  <c r="L22" i="15"/>
  <c r="C22" i="15"/>
  <c r="B22" i="15"/>
  <c r="J22" i="15"/>
  <c r="E22" i="15"/>
  <c r="D22" i="15"/>
  <c r="G22" i="15"/>
  <c r="I22" i="15"/>
  <c r="K22" i="15"/>
  <c r="H22" i="15"/>
  <c r="F22" i="15"/>
  <c r="H21" i="15"/>
  <c r="B21" i="15"/>
  <c r="C21" i="15"/>
  <c r="D21" i="15"/>
  <c r="I21" i="15"/>
  <c r="L21" i="15"/>
  <c r="J21" i="15"/>
  <c r="G21" i="15"/>
  <c r="K21" i="15"/>
  <c r="E21" i="15"/>
  <c r="I20" i="15"/>
  <c r="L20" i="15"/>
  <c r="G20" i="15"/>
  <c r="E20" i="15"/>
  <c r="C20" i="15"/>
  <c r="D20" i="15"/>
  <c r="F20" i="15"/>
  <c r="J20" i="15"/>
  <c r="K20" i="15"/>
  <c r="H20" i="15"/>
  <c r="B20" i="15"/>
  <c r="L19" i="15"/>
  <c r="I19" i="15"/>
  <c r="G19" i="15"/>
  <c r="E19" i="15"/>
  <c r="B19" i="15"/>
  <c r="F19" i="15"/>
  <c r="J19" i="15"/>
  <c r="C19" i="15"/>
  <c r="K19" i="15"/>
  <c r="H19" i="15"/>
  <c r="D19" i="15"/>
  <c r="K18" i="15"/>
  <c r="H18" i="15"/>
  <c r="J18" i="15"/>
  <c r="C18" i="15"/>
  <c r="F18" i="15"/>
  <c r="B18" i="15"/>
  <c r="G18" i="15"/>
  <c r="D18" i="15"/>
  <c r="E18" i="15"/>
  <c r="L18" i="15"/>
  <c r="I18" i="15"/>
  <c r="E17" i="15"/>
  <c r="B17" i="15"/>
  <c r="D17" i="15"/>
  <c r="G17" i="15"/>
  <c r="C17" i="15"/>
  <c r="F17" i="15"/>
  <c r="I17" i="15"/>
  <c r="L17" i="15"/>
  <c r="K17" i="15"/>
  <c r="H17" i="15"/>
  <c r="J17" i="15"/>
  <c r="K16" i="15"/>
  <c r="B16" i="15"/>
  <c r="L16" i="15"/>
  <c r="H16" i="15"/>
  <c r="G16" i="15"/>
  <c r="D16" i="15"/>
  <c r="E16" i="15"/>
  <c r="F16" i="15"/>
  <c r="J16" i="15"/>
  <c r="I16" i="15"/>
  <c r="C16" i="15"/>
  <c r="E15" i="15"/>
  <c r="B15" i="15"/>
  <c r="F15" i="15"/>
  <c r="D15" i="15"/>
  <c r="I15" i="15"/>
  <c r="L15" i="15"/>
  <c r="C15" i="15"/>
  <c r="K15" i="15"/>
  <c r="J15" i="15"/>
  <c r="H15" i="15"/>
  <c r="G15" i="15"/>
  <c r="J14" i="15"/>
  <c r="E14" i="15"/>
  <c r="F14" i="15"/>
  <c r="H14" i="15"/>
  <c r="K14" i="15"/>
  <c r="D14" i="15"/>
  <c r="C14" i="15"/>
  <c r="G14" i="15"/>
  <c r="I14" i="15"/>
  <c r="B14" i="15"/>
  <c r="L14" i="15"/>
  <c r="L13" i="15"/>
  <c r="D13" i="15"/>
  <c r="J13" i="15"/>
  <c r="G13" i="15"/>
  <c r="K13" i="15"/>
  <c r="E13" i="15"/>
  <c r="C13" i="15"/>
  <c r="F13" i="15"/>
  <c r="B13" i="15"/>
  <c r="I13" i="15"/>
  <c r="E12" i="15"/>
  <c r="L12" i="15"/>
  <c r="B12" i="15"/>
  <c r="G12" i="15"/>
  <c r="J12" i="15"/>
  <c r="C12" i="15"/>
  <c r="F12" i="15"/>
  <c r="I12" i="15"/>
  <c r="H12" i="15"/>
  <c r="K12" i="15"/>
  <c r="D12" i="15"/>
  <c r="J11" i="15"/>
  <c r="I11" i="15"/>
  <c r="G11" i="15"/>
  <c r="K11" i="15"/>
  <c r="F11" i="15"/>
  <c r="C11" i="15"/>
  <c r="D11" i="15"/>
  <c r="L11" i="15"/>
  <c r="H11" i="15"/>
  <c r="E11" i="15"/>
  <c r="C10" i="15"/>
  <c r="K10" i="15"/>
  <c r="H10" i="15"/>
  <c r="E10" i="15"/>
  <c r="L10" i="15"/>
  <c r="G10" i="15"/>
  <c r="J10" i="15"/>
  <c r="I10" i="15"/>
  <c r="F10" i="15"/>
  <c r="D10" i="15"/>
  <c r="B10" i="15"/>
  <c r="G9" i="15"/>
  <c r="D9" i="15"/>
  <c r="L9" i="15"/>
  <c r="I9" i="15"/>
  <c r="H9" i="15"/>
  <c r="J9" i="15"/>
  <c r="E9" i="15"/>
  <c r="F9" i="15"/>
  <c r="K9" i="15"/>
  <c r="G8" i="15"/>
  <c r="C8" i="15"/>
  <c r="I8" i="15"/>
  <c r="J8" i="15"/>
  <c r="K8" i="15"/>
  <c r="D8" i="15"/>
  <c r="E8" i="15"/>
  <c r="L8" i="15"/>
  <c r="F8" i="15"/>
  <c r="H8" i="15"/>
  <c r="K7" i="15"/>
  <c r="F7" i="15"/>
  <c r="H7" i="15"/>
  <c r="J7" i="15"/>
  <c r="C7" i="15"/>
  <c r="E7" i="15"/>
  <c r="I7" i="15"/>
  <c r="L7" i="15"/>
  <c r="G7" i="15"/>
  <c r="B7" i="15"/>
  <c r="D7" i="15"/>
  <c r="F6" i="15"/>
  <c r="L6" i="15"/>
  <c r="I6" i="15"/>
  <c r="K6" i="15"/>
  <c r="C6" i="15"/>
  <c r="B6" i="15"/>
  <c r="E6" i="15"/>
  <c r="H6" i="15"/>
  <c r="J6" i="15"/>
  <c r="D6" i="15"/>
  <c r="G6" i="15"/>
  <c r="K5" i="15"/>
  <c r="B5" i="15"/>
  <c r="E5" i="15"/>
  <c r="J5" i="15"/>
  <c r="L5" i="15"/>
  <c r="C5" i="15"/>
  <c r="F5" i="15"/>
  <c r="D5" i="15"/>
  <c r="H5" i="15"/>
  <c r="G5" i="15"/>
  <c r="I5" i="15"/>
  <c r="E229" i="19"/>
  <c r="C229" i="19"/>
  <c r="B229" i="19"/>
  <c r="B228" i="19"/>
  <c r="C228" i="19"/>
  <c r="E228" i="19"/>
  <c r="C227" i="19"/>
  <c r="E227" i="19"/>
  <c r="B227" i="19"/>
  <c r="E226" i="19"/>
  <c r="C226" i="19"/>
  <c r="B226" i="19"/>
  <c r="E225" i="19"/>
  <c r="C225" i="19"/>
  <c r="B225" i="19"/>
  <c r="C224" i="19"/>
  <c r="E224" i="19"/>
  <c r="B224" i="19"/>
  <c r="E223" i="19"/>
  <c r="C223" i="19"/>
  <c r="B223" i="19"/>
  <c r="E222" i="19"/>
  <c r="C222" i="19"/>
  <c r="B222" i="19"/>
  <c r="C221" i="19"/>
  <c r="E221" i="19"/>
  <c r="B221" i="19"/>
  <c r="E220" i="19"/>
  <c r="C220" i="19"/>
  <c r="B220" i="19"/>
  <c r="E219" i="19"/>
  <c r="C219" i="19"/>
  <c r="B219" i="19"/>
  <c r="E218" i="19"/>
  <c r="C218" i="19"/>
  <c r="B218" i="19"/>
  <c r="E217" i="19"/>
  <c r="C217" i="19"/>
  <c r="B217" i="19"/>
  <c r="C216" i="19"/>
  <c r="B216" i="19"/>
  <c r="E216" i="19"/>
  <c r="E215" i="19"/>
  <c r="C215" i="19"/>
  <c r="B215" i="19"/>
  <c r="E214" i="19"/>
  <c r="C214" i="19"/>
  <c r="B214" i="19"/>
  <c r="B213" i="19"/>
  <c r="C213" i="19"/>
  <c r="E213" i="19"/>
  <c r="E212" i="19"/>
  <c r="C212" i="19"/>
  <c r="B212" i="19"/>
  <c r="E211" i="19"/>
  <c r="C211" i="19"/>
  <c r="B211" i="19"/>
  <c r="E210" i="19"/>
  <c r="C210" i="19"/>
  <c r="B210" i="19"/>
  <c r="E209" i="19"/>
  <c r="C209" i="19"/>
  <c r="B209" i="19"/>
  <c r="C208" i="19"/>
  <c r="E208" i="19"/>
  <c r="B208" i="19"/>
  <c r="B207" i="19"/>
  <c r="E207" i="19"/>
  <c r="C207" i="19"/>
  <c r="B206" i="19"/>
  <c r="C206" i="19"/>
  <c r="E206" i="19"/>
  <c r="C205" i="19"/>
  <c r="B205" i="19"/>
  <c r="E205" i="19"/>
  <c r="E204" i="19"/>
  <c r="B204" i="19"/>
  <c r="C204" i="19"/>
  <c r="C203" i="19"/>
  <c r="E203" i="19"/>
  <c r="E202" i="19"/>
  <c r="C202" i="19"/>
  <c r="B202" i="19"/>
  <c r="E201" i="19"/>
  <c r="B201" i="19"/>
  <c r="C201" i="19"/>
  <c r="B200" i="19"/>
  <c r="E200" i="19"/>
  <c r="C200" i="19"/>
  <c r="E199" i="19"/>
  <c r="C199" i="19"/>
  <c r="B199" i="19"/>
  <c r="E198" i="19"/>
  <c r="C198" i="19"/>
  <c r="B198" i="19"/>
  <c r="E197" i="19"/>
  <c r="C197" i="19"/>
  <c r="B197" i="19"/>
  <c r="B196" i="19"/>
  <c r="E196" i="19"/>
  <c r="C196" i="19"/>
  <c r="C195" i="19"/>
  <c r="E195" i="19"/>
  <c r="E194" i="19"/>
  <c r="C194" i="19"/>
  <c r="B194" i="19"/>
  <c r="E193" i="19"/>
  <c r="B193" i="19"/>
  <c r="C193" i="19"/>
  <c r="C192" i="19"/>
  <c r="B192" i="19"/>
  <c r="E192" i="19"/>
  <c r="B191" i="19"/>
  <c r="C191" i="19"/>
  <c r="E191" i="19"/>
  <c r="B190" i="19"/>
  <c r="C190" i="19"/>
  <c r="E190" i="19"/>
  <c r="B189" i="19"/>
  <c r="E189" i="19"/>
  <c r="C189" i="19"/>
  <c r="C188" i="19"/>
  <c r="E188" i="19"/>
  <c r="E187" i="19"/>
  <c r="B187" i="19"/>
  <c r="C187" i="19"/>
  <c r="C186" i="19"/>
  <c r="E186" i="19"/>
  <c r="B186" i="19"/>
  <c r="E185" i="19"/>
  <c r="B185" i="19"/>
  <c r="C185" i="19"/>
  <c r="B184" i="19"/>
  <c r="E184" i="19"/>
  <c r="C184" i="19"/>
  <c r="E183" i="19"/>
  <c r="B183" i="19"/>
  <c r="C183" i="19"/>
  <c r="C182" i="19"/>
  <c r="E182" i="19"/>
  <c r="B181" i="19"/>
  <c r="C181" i="19"/>
  <c r="E181" i="19"/>
  <c r="B180" i="19"/>
  <c r="C180" i="19"/>
  <c r="E180" i="19"/>
  <c r="C179" i="19"/>
  <c r="E179" i="19"/>
  <c r="B179" i="19"/>
  <c r="C178" i="19"/>
  <c r="B178" i="19"/>
  <c r="E178" i="19"/>
  <c r="C177" i="19"/>
  <c r="E177" i="19"/>
  <c r="B177" i="19"/>
  <c r="B176" i="19"/>
  <c r="C176" i="19"/>
  <c r="E176" i="19"/>
  <c r="C175" i="19"/>
  <c r="E175" i="19"/>
  <c r="C174" i="19"/>
  <c r="E174" i="19"/>
  <c r="B174" i="19"/>
  <c r="E173" i="19"/>
  <c r="C173" i="19"/>
  <c r="B173" i="19"/>
  <c r="C172" i="19"/>
  <c r="B172" i="19"/>
  <c r="E172" i="19"/>
  <c r="C171" i="19"/>
  <c r="E171" i="19"/>
  <c r="B171" i="19"/>
  <c r="E170" i="19"/>
  <c r="C170" i="19"/>
  <c r="C169" i="19"/>
  <c r="B169" i="19"/>
  <c r="E169" i="19"/>
  <c r="E168" i="19"/>
  <c r="B168" i="19"/>
  <c r="C167" i="19"/>
  <c r="B167" i="19"/>
  <c r="E167" i="19"/>
  <c r="B166" i="19"/>
  <c r="C166" i="19"/>
  <c r="E166" i="19"/>
  <c r="C165" i="19"/>
  <c r="E165" i="19"/>
  <c r="B164" i="19"/>
  <c r="C164" i="19"/>
  <c r="E164" i="19"/>
  <c r="B163" i="19"/>
  <c r="E163" i="19"/>
  <c r="C163" i="19"/>
  <c r="C162" i="19"/>
  <c r="B162" i="19"/>
  <c r="E162" i="19"/>
  <c r="B161" i="19"/>
  <c r="C161" i="19"/>
  <c r="E161" i="19"/>
  <c r="B160" i="19"/>
  <c r="E160" i="19"/>
  <c r="C160" i="19"/>
  <c r="C159" i="19"/>
  <c r="E159" i="19"/>
  <c r="B159" i="19"/>
  <c r="B158" i="19"/>
  <c r="C158" i="19"/>
  <c r="E158" i="19"/>
  <c r="E157" i="19"/>
  <c r="B157" i="19"/>
  <c r="C157" i="19"/>
  <c r="E156" i="19"/>
  <c r="C156" i="19"/>
  <c r="B156" i="19"/>
  <c r="E155" i="19"/>
  <c r="C155" i="19"/>
  <c r="B154" i="19"/>
  <c r="E154" i="19"/>
  <c r="C154" i="19"/>
  <c r="B153" i="19"/>
  <c r="C153" i="19"/>
  <c r="E153" i="19"/>
  <c r="E152" i="19"/>
  <c r="B152" i="19"/>
  <c r="C152" i="19"/>
  <c r="C151" i="19"/>
  <c r="E151" i="19"/>
  <c r="E150" i="19"/>
  <c r="C150" i="19"/>
  <c r="C149" i="19"/>
  <c r="E149" i="19"/>
  <c r="B149" i="19"/>
  <c r="E148" i="19"/>
  <c r="C148" i="19"/>
  <c r="B148" i="19"/>
  <c r="C147" i="19"/>
  <c r="E147" i="19"/>
  <c r="B147" i="19"/>
  <c r="E146" i="19"/>
  <c r="B146" i="19"/>
  <c r="C146" i="19"/>
  <c r="E144" i="19"/>
  <c r="C144" i="19"/>
  <c r="B144" i="19"/>
  <c r="C143" i="19"/>
  <c r="E143" i="19"/>
  <c r="C142" i="19"/>
  <c r="B142" i="19"/>
  <c r="E142" i="19"/>
  <c r="E140" i="19"/>
  <c r="C140" i="19"/>
  <c r="B140" i="19"/>
  <c r="E139" i="19"/>
  <c r="C139" i="19"/>
  <c r="B139" i="19"/>
  <c r="B138" i="19"/>
  <c r="E138" i="19"/>
  <c r="C138" i="19"/>
  <c r="E137" i="19"/>
  <c r="B137" i="19"/>
  <c r="C137" i="19"/>
  <c r="C136" i="19"/>
  <c r="E136" i="19"/>
  <c r="E134" i="19"/>
  <c r="C134" i="19"/>
  <c r="B134" i="19"/>
  <c r="B133" i="19"/>
  <c r="C133" i="19"/>
  <c r="E133" i="19"/>
  <c r="B132" i="19"/>
  <c r="C132" i="19"/>
  <c r="E132" i="19"/>
  <c r="C131" i="19"/>
  <c r="E131" i="19"/>
  <c r="B131" i="19"/>
  <c r="E130" i="19"/>
  <c r="C130" i="19"/>
  <c r="B130" i="19"/>
  <c r="C129" i="19"/>
  <c r="B129" i="19"/>
  <c r="E129" i="19"/>
  <c r="C128" i="19"/>
  <c r="E128" i="19"/>
  <c r="C127" i="19"/>
  <c r="B127" i="19"/>
  <c r="E126" i="19"/>
  <c r="C126" i="19"/>
  <c r="E125" i="19"/>
  <c r="C125" i="19"/>
  <c r="B125" i="19"/>
  <c r="B124" i="19"/>
  <c r="E124" i="19"/>
  <c r="C124" i="19"/>
  <c r="B123" i="19"/>
  <c r="C123" i="19"/>
  <c r="E123" i="19"/>
  <c r="E122" i="19"/>
  <c r="C122" i="19"/>
  <c r="B122" i="19"/>
  <c r="B120" i="19"/>
  <c r="E120" i="19"/>
  <c r="E119" i="19"/>
  <c r="C119" i="19"/>
  <c r="B119" i="19"/>
  <c r="E118" i="19"/>
  <c r="C118" i="19"/>
  <c r="B118" i="19"/>
  <c r="E117" i="19"/>
  <c r="B117" i="19"/>
  <c r="C117" i="19"/>
  <c r="C116" i="19"/>
  <c r="B116" i="19"/>
  <c r="E115" i="19"/>
  <c r="B115" i="19"/>
  <c r="C115" i="19"/>
  <c r="B114" i="19"/>
  <c r="E114" i="19"/>
  <c r="C114" i="19"/>
  <c r="C113" i="19"/>
  <c r="E113" i="19"/>
  <c r="E112" i="19"/>
  <c r="C112" i="19"/>
  <c r="B112" i="19"/>
  <c r="E111" i="19"/>
  <c r="C111" i="19"/>
  <c r="E110" i="19"/>
  <c r="C110" i="19"/>
  <c r="B110" i="19"/>
  <c r="E109" i="19"/>
  <c r="B109" i="19"/>
  <c r="C109" i="19"/>
  <c r="B108" i="19"/>
  <c r="E108" i="19"/>
  <c r="C108" i="19"/>
  <c r="E107" i="19"/>
  <c r="C107" i="19"/>
  <c r="B106" i="19"/>
  <c r="E106" i="19"/>
  <c r="E105" i="19"/>
  <c r="C105" i="19"/>
  <c r="B105" i="19"/>
  <c r="E104" i="19"/>
  <c r="B104" i="19"/>
  <c r="C104" i="19"/>
  <c r="E103" i="19"/>
  <c r="B103" i="19"/>
  <c r="C103" i="19"/>
  <c r="B102" i="19"/>
  <c r="C102" i="19"/>
  <c r="E102" i="19"/>
  <c r="B101" i="19"/>
  <c r="E101" i="19"/>
  <c r="C101" i="19"/>
  <c r="C100" i="19"/>
  <c r="E100" i="19"/>
  <c r="C99" i="19"/>
  <c r="E99" i="19"/>
  <c r="B99" i="19"/>
  <c r="B98" i="19"/>
  <c r="E98" i="19"/>
  <c r="C98" i="19"/>
  <c r="C97" i="19"/>
  <c r="B97" i="19"/>
  <c r="E96" i="19"/>
  <c r="C96" i="19"/>
  <c r="B96" i="19"/>
  <c r="E95" i="19"/>
  <c r="C95" i="19"/>
  <c r="B95" i="19"/>
  <c r="E94" i="19"/>
  <c r="C94" i="19"/>
  <c r="C93" i="19"/>
  <c r="E93" i="19"/>
  <c r="B92" i="19"/>
  <c r="E92" i="19"/>
  <c r="C92" i="19"/>
  <c r="B91" i="19"/>
  <c r="C91" i="19"/>
  <c r="E91" i="19"/>
  <c r="C90" i="19"/>
  <c r="E90" i="19"/>
  <c r="B90" i="19"/>
  <c r="C89" i="19"/>
  <c r="E89" i="19"/>
  <c r="C88" i="19"/>
  <c r="E88" i="19"/>
  <c r="C87" i="19"/>
  <c r="B87" i="19"/>
  <c r="E87" i="19"/>
  <c r="E86" i="19"/>
  <c r="C86" i="19"/>
  <c r="E85" i="19"/>
  <c r="C85" i="19"/>
  <c r="B85" i="19"/>
  <c r="B84" i="19"/>
  <c r="E84" i="19"/>
  <c r="C84" i="19"/>
  <c r="B83" i="19"/>
  <c r="E83" i="19"/>
  <c r="C83" i="19"/>
  <c r="E82" i="19"/>
  <c r="C82" i="19"/>
  <c r="E81" i="19"/>
  <c r="C81" i="19"/>
  <c r="B81" i="19"/>
  <c r="B79" i="19"/>
  <c r="E79" i="19"/>
  <c r="C79" i="19"/>
  <c r="E78" i="19"/>
  <c r="B78" i="19"/>
  <c r="C78" i="19"/>
  <c r="E76" i="19"/>
  <c r="C76" i="19"/>
  <c r="B75" i="19"/>
  <c r="C75" i="19"/>
  <c r="E75" i="19"/>
  <c r="C74" i="19"/>
  <c r="E74" i="19"/>
  <c r="B74" i="19"/>
  <c r="E73" i="19"/>
  <c r="C73" i="19"/>
  <c r="B73" i="19"/>
  <c r="E72" i="19"/>
  <c r="C72" i="19"/>
  <c r="E71" i="19"/>
  <c r="C71" i="19"/>
  <c r="B70" i="19"/>
  <c r="C70" i="19"/>
  <c r="E70" i="19"/>
  <c r="B69" i="19"/>
  <c r="C69" i="19"/>
  <c r="B68" i="19"/>
  <c r="E68" i="19"/>
  <c r="C68" i="19"/>
  <c r="B67" i="19"/>
  <c r="E67" i="19"/>
  <c r="C67" i="19"/>
  <c r="C66" i="19"/>
  <c r="B66" i="19"/>
  <c r="E66" i="19"/>
  <c r="E65" i="19"/>
  <c r="C65" i="19"/>
  <c r="B64" i="19"/>
  <c r="E64" i="19"/>
  <c r="C64" i="19"/>
  <c r="C63" i="19"/>
  <c r="E63" i="19"/>
  <c r="E62" i="19"/>
  <c r="C62" i="19"/>
  <c r="B62" i="19"/>
  <c r="C60" i="19"/>
  <c r="E60" i="19"/>
  <c r="C59" i="19"/>
  <c r="E59" i="19"/>
  <c r="B59" i="19"/>
  <c r="C58" i="19"/>
  <c r="E58" i="19"/>
  <c r="E57" i="19"/>
  <c r="C57" i="19"/>
  <c r="C56" i="19"/>
  <c r="E56" i="19"/>
  <c r="B56" i="19"/>
  <c r="E55" i="19"/>
  <c r="C55" i="19"/>
  <c r="E54" i="19"/>
  <c r="C54" i="19"/>
  <c r="B54" i="19"/>
  <c r="B53" i="19"/>
  <c r="E53" i="19"/>
  <c r="C53" i="19"/>
  <c r="E52" i="19"/>
  <c r="B52" i="19"/>
  <c r="C52" i="19"/>
  <c r="C51" i="19"/>
  <c r="E51" i="19"/>
  <c r="B51" i="19"/>
  <c r="B49" i="19"/>
  <c r="C49" i="19"/>
  <c r="E48" i="19"/>
  <c r="C48" i="19"/>
  <c r="E47" i="19"/>
  <c r="C47" i="19"/>
  <c r="B46" i="19"/>
  <c r="C46" i="19"/>
  <c r="E46" i="19"/>
  <c r="B45" i="19"/>
  <c r="E45" i="19"/>
  <c r="E44" i="19"/>
  <c r="C44" i="19"/>
  <c r="C43" i="19"/>
  <c r="E43" i="19"/>
  <c r="C42" i="19"/>
  <c r="B42" i="19"/>
  <c r="E42" i="19"/>
  <c r="E41" i="19"/>
  <c r="C41" i="19"/>
  <c r="B41" i="19"/>
  <c r="E40" i="19"/>
  <c r="C40" i="19"/>
  <c r="C39" i="19"/>
  <c r="E39" i="19"/>
  <c r="E38" i="19"/>
  <c r="B38" i="19"/>
  <c r="C38" i="19"/>
  <c r="B36" i="19"/>
  <c r="E36" i="19"/>
  <c r="C36" i="19"/>
  <c r="B35" i="19"/>
  <c r="E35" i="19"/>
  <c r="C35" i="19"/>
  <c r="B34" i="19"/>
  <c r="C34" i="19"/>
  <c r="E34" i="19"/>
  <c r="C33" i="19"/>
  <c r="E33" i="19"/>
  <c r="B33" i="19"/>
  <c r="E32" i="19"/>
  <c r="C32" i="19"/>
  <c r="B32" i="19"/>
  <c r="E31" i="19"/>
  <c r="B31" i="19"/>
  <c r="C31" i="19"/>
  <c r="C30" i="19"/>
  <c r="E30" i="19"/>
  <c r="B30" i="19"/>
  <c r="C28" i="19"/>
  <c r="E28" i="19"/>
  <c r="B27" i="19"/>
  <c r="C27" i="19"/>
  <c r="E27" i="19"/>
  <c r="E25" i="19"/>
  <c r="C25" i="19"/>
  <c r="B25" i="19"/>
  <c r="C24" i="19"/>
  <c r="E24" i="19"/>
  <c r="B24" i="19"/>
  <c r="E23" i="19"/>
  <c r="B23" i="19"/>
  <c r="C23" i="19"/>
  <c r="B22" i="19"/>
  <c r="E22" i="19"/>
  <c r="C22" i="19"/>
  <c r="C21" i="19"/>
  <c r="E21" i="19"/>
  <c r="B21" i="19"/>
  <c r="B20" i="19"/>
  <c r="C20" i="19"/>
  <c r="B19" i="19"/>
  <c r="E19" i="19"/>
  <c r="C19" i="19"/>
  <c r="C17" i="19"/>
  <c r="E17" i="19"/>
  <c r="B17" i="19"/>
  <c r="C16" i="19"/>
  <c r="B16" i="19"/>
  <c r="C14" i="19"/>
  <c r="B14" i="19"/>
  <c r="E14" i="19"/>
  <c r="C13" i="19"/>
  <c r="E13" i="19"/>
  <c r="B13" i="19"/>
  <c r="C12" i="19"/>
  <c r="E12" i="19"/>
  <c r="B11" i="19"/>
  <c r="E11" i="19"/>
  <c r="C11" i="19"/>
  <c r="C10" i="19"/>
  <c r="E10" i="19"/>
  <c r="B10" i="19"/>
  <c r="C9" i="19"/>
  <c r="E9" i="19"/>
  <c r="B9" i="19"/>
  <c r="C8" i="19"/>
  <c r="E8" i="19"/>
  <c r="E7" i="19"/>
  <c r="B7" i="19"/>
  <c r="C7" i="19"/>
  <c r="C6" i="19"/>
  <c r="B6" i="19"/>
  <c r="E6" i="19"/>
  <c r="E4" i="19"/>
  <c r="C4" i="19"/>
  <c r="D4" i="19" s="1"/>
  <c r="B4" i="19"/>
  <c r="D5" i="19" l="1"/>
  <c r="F4" i="19"/>
  <c r="D6" i="19"/>
  <c r="F5" i="19"/>
  <c r="F6" i="19" l="1"/>
  <c r="D7" i="19"/>
  <c r="F7" i="19" l="1"/>
  <c r="D8" i="19"/>
  <c r="F8" i="19" l="1"/>
  <c r="D9" i="19"/>
  <c r="D10" i="19" l="1"/>
  <c r="F9" i="19"/>
  <c r="D11" i="19" l="1"/>
  <c r="F10" i="19"/>
  <c r="D12" i="19" l="1"/>
  <c r="F11" i="19"/>
  <c r="D13" i="19" l="1"/>
  <c r="F12" i="19"/>
  <c r="D14" i="19" l="1"/>
  <c r="F13" i="19"/>
  <c r="D15" i="19" l="1"/>
  <c r="F14" i="19"/>
  <c r="F15" i="19" l="1"/>
  <c r="D16" i="19"/>
  <c r="D17" i="19" l="1"/>
  <c r="F16" i="19"/>
  <c r="F17" i="19" l="1"/>
  <c r="D18" i="19"/>
  <c r="F18" i="19" l="1"/>
  <c r="D19" i="19"/>
  <c r="D20" i="19" l="1"/>
  <c r="F19" i="19"/>
  <c r="F20" i="19" l="1"/>
  <c r="D21" i="19"/>
  <c r="D22" i="19" l="1"/>
  <c r="F21" i="19"/>
  <c r="F22" i="19" l="1"/>
  <c r="D23" i="19"/>
  <c r="D24" i="19" l="1"/>
  <c r="F23" i="19"/>
  <c r="D25" i="19" l="1"/>
  <c r="F24" i="19"/>
  <c r="D26" i="19" l="1"/>
  <c r="F25" i="19"/>
  <c r="D27" i="19" l="1"/>
  <c r="F26" i="19"/>
  <c r="D28" i="19" l="1"/>
  <c r="F27" i="19"/>
  <c r="F28" i="19" l="1"/>
  <c r="D29" i="19"/>
  <c r="F29" i="19" l="1"/>
  <c r="D30" i="19"/>
  <c r="F30" i="19" l="1"/>
  <c r="D31" i="19"/>
  <c r="F31" i="19" l="1"/>
  <c r="D32" i="19"/>
  <c r="F32" i="19" l="1"/>
  <c r="D33" i="19"/>
  <c r="F33" i="19" l="1"/>
  <c r="D34" i="19"/>
  <c r="D35" i="19" l="1"/>
  <c r="F34" i="19"/>
  <c r="F35" i="19" l="1"/>
  <c r="D36" i="19"/>
  <c r="F36" i="19" l="1"/>
  <c r="D37" i="19"/>
  <c r="D38" i="19" l="1"/>
  <c r="F37" i="19"/>
  <c r="D39" i="19" l="1"/>
  <c r="F38" i="19"/>
  <c r="F39" i="19" l="1"/>
  <c r="D40" i="19"/>
  <c r="D41" i="19" l="1"/>
  <c r="F40" i="19"/>
  <c r="F41" i="19" l="1"/>
  <c r="D42" i="19"/>
  <c r="F42" i="19" l="1"/>
  <c r="D43" i="19"/>
  <c r="F43" i="19" l="1"/>
  <c r="D44" i="19"/>
  <c r="D45" i="19" l="1"/>
  <c r="F44" i="19"/>
  <c r="F45" i="19" l="1"/>
  <c r="D46" i="19"/>
  <c r="D47" i="19" l="1"/>
  <c r="F46" i="19"/>
  <c r="D48" i="19" l="1"/>
  <c r="F47" i="19"/>
  <c r="F48" i="19" l="1"/>
  <c r="D49" i="19"/>
  <c r="D50" i="19" l="1"/>
  <c r="F49" i="19"/>
  <c r="D51" i="19" l="1"/>
  <c r="F50" i="19"/>
  <c r="F51" i="19" l="1"/>
  <c r="D52" i="19"/>
  <c r="D53" i="19" l="1"/>
  <c r="F52" i="19"/>
  <c r="F53" i="19" l="1"/>
  <c r="D54" i="19"/>
  <c r="D55" i="19" l="1"/>
  <c r="F54" i="19"/>
  <c r="F55" i="19" l="1"/>
  <c r="D56" i="19"/>
  <c r="F56" i="19" l="1"/>
  <c r="D57" i="19"/>
  <c r="F57" i="19" l="1"/>
  <c r="D58" i="19"/>
  <c r="F58" i="19" l="1"/>
  <c r="D59" i="19"/>
  <c r="D60" i="19" l="1"/>
  <c r="F59" i="19"/>
  <c r="D61" i="19" l="1"/>
  <c r="F60" i="19"/>
  <c r="F61" i="19" l="1"/>
  <c r="D62" i="19"/>
  <c r="D63" i="19" l="1"/>
  <c r="F62" i="19"/>
  <c r="D64" i="19" l="1"/>
  <c r="F63" i="19"/>
  <c r="D65" i="19" l="1"/>
  <c r="F64" i="19"/>
  <c r="F65" i="19" l="1"/>
  <c r="D66" i="19"/>
  <c r="D67" i="19" l="1"/>
  <c r="F66" i="19"/>
  <c r="F67" i="19" l="1"/>
  <c r="D68" i="19"/>
  <c r="D69" i="19" l="1"/>
  <c r="F68" i="19"/>
  <c r="D70" i="19" l="1"/>
  <c r="F69" i="19"/>
  <c r="F70" i="19" l="1"/>
  <c r="D71" i="19"/>
  <c r="D72" i="19" l="1"/>
  <c r="F71" i="19"/>
  <c r="F72" i="19" l="1"/>
  <c r="D73" i="19"/>
  <c r="F73" i="19" l="1"/>
  <c r="D74" i="19"/>
  <c r="F74" i="19" l="1"/>
  <c r="D75" i="19"/>
  <c r="D76" i="19" l="1"/>
  <c r="F75" i="19"/>
  <c r="F76" i="19" l="1"/>
  <c r="D77" i="19"/>
  <c r="D78" i="19" l="1"/>
  <c r="F77" i="19"/>
  <c r="D79" i="19" l="1"/>
  <c r="F78" i="19"/>
  <c r="F79" i="19" l="1"/>
  <c r="D80" i="19"/>
  <c r="D81" i="19" l="1"/>
  <c r="F80" i="19"/>
  <c r="F81" i="19" l="1"/>
  <c r="D82" i="19"/>
  <c r="D83" i="19" l="1"/>
  <c r="F82" i="19"/>
  <c r="D84" i="19" l="1"/>
  <c r="F83" i="19"/>
  <c r="D85" i="19" l="1"/>
  <c r="F84" i="19"/>
  <c r="D86" i="19" l="1"/>
  <c r="F85" i="19"/>
  <c r="F86" i="19" l="1"/>
  <c r="D87" i="19"/>
  <c r="F87" i="19" l="1"/>
  <c r="D88" i="19"/>
  <c r="D89" i="19" l="1"/>
  <c r="F88" i="19"/>
  <c r="D90" i="19" l="1"/>
  <c r="F89" i="19"/>
  <c r="F90" i="19" l="1"/>
  <c r="D91" i="19"/>
  <c r="D92" i="19" l="1"/>
  <c r="F91" i="19"/>
  <c r="F92" i="19" l="1"/>
  <c r="D93" i="19"/>
  <c r="D94" i="19" l="1"/>
  <c r="F93" i="19"/>
  <c r="D95" i="19" l="1"/>
  <c r="F94" i="19"/>
  <c r="D96" i="19" l="1"/>
  <c r="F95" i="19"/>
  <c r="D97" i="19" l="1"/>
  <c r="F96" i="19"/>
  <c r="D98" i="19" l="1"/>
  <c r="F97" i="19"/>
  <c r="D99" i="19" l="1"/>
  <c r="F98" i="19"/>
  <c r="D100" i="19" l="1"/>
  <c r="F99" i="19"/>
  <c r="F100" i="19" l="1"/>
  <c r="D101" i="19"/>
  <c r="F101" i="19" l="1"/>
  <c r="D102" i="19"/>
  <c r="D103" i="19" l="1"/>
  <c r="F102" i="19"/>
  <c r="D104" i="19" l="1"/>
  <c r="F103" i="19"/>
  <c r="D105" i="19" l="1"/>
  <c r="F104" i="19"/>
  <c r="F105" i="19" l="1"/>
  <c r="D106" i="19"/>
  <c r="D107" i="19" l="1"/>
  <c r="F106" i="19"/>
  <c r="D108" i="19" l="1"/>
  <c r="F107" i="19"/>
  <c r="F108" i="19" l="1"/>
  <c r="D109" i="19"/>
  <c r="F109" i="19" l="1"/>
  <c r="D110" i="19"/>
  <c r="D111" i="19" l="1"/>
  <c r="F110" i="19"/>
  <c r="F111" i="19" l="1"/>
  <c r="D112" i="19"/>
  <c r="F112" i="19" l="1"/>
  <c r="D113" i="19"/>
  <c r="F113" i="19" l="1"/>
  <c r="D114" i="19"/>
  <c r="D115" i="19" l="1"/>
  <c r="F114" i="19"/>
  <c r="F115" i="19" l="1"/>
  <c r="D116" i="19"/>
  <c r="F116" i="19" l="1"/>
  <c r="D117" i="19"/>
  <c r="D118" i="19" l="1"/>
  <c r="F117" i="19"/>
  <c r="F118" i="19" l="1"/>
  <c r="D119" i="19"/>
  <c r="F119" i="19" l="1"/>
  <c r="D120" i="19"/>
  <c r="D121" i="19" l="1"/>
  <c r="F120" i="19"/>
  <c r="F121" i="19" l="1"/>
  <c r="D122" i="19"/>
  <c r="F122" i="19" l="1"/>
  <c r="D123" i="19"/>
  <c r="F123" i="19" l="1"/>
  <c r="D124" i="19"/>
  <c r="F124" i="19" l="1"/>
  <c r="D125" i="19"/>
  <c r="D126" i="19" l="1"/>
  <c r="F125" i="19"/>
  <c r="F126" i="19" l="1"/>
  <c r="D127" i="19"/>
  <c r="F127" i="19" l="1"/>
  <c r="D128" i="19"/>
  <c r="F128" i="19" l="1"/>
  <c r="D129" i="19"/>
  <c r="D130" i="19" l="1"/>
  <c r="F129" i="19"/>
  <c r="F130" i="19" l="1"/>
  <c r="D131" i="19"/>
  <c r="F131" i="19" l="1"/>
  <c r="D132" i="19"/>
  <c r="F132" i="19" l="1"/>
  <c r="D133" i="19"/>
  <c r="F133" i="19" l="1"/>
  <c r="D134" i="19"/>
  <c r="F134" i="19" l="1"/>
  <c r="D135" i="19"/>
  <c r="D136" i="19" l="1"/>
  <c r="F135" i="19"/>
  <c r="F136" i="19" l="1"/>
  <c r="D137" i="19"/>
  <c r="D138" i="19" l="1"/>
  <c r="F137" i="19"/>
  <c r="F138" i="19" l="1"/>
  <c r="D139" i="19"/>
  <c r="F139" i="19" l="1"/>
  <c r="D140" i="19"/>
  <c r="D141" i="19" l="1"/>
  <c r="F140" i="19"/>
  <c r="F141" i="19" l="1"/>
  <c r="D142" i="19"/>
  <c r="F142" i="19" l="1"/>
  <c r="D143" i="19"/>
  <c r="F143" i="19" l="1"/>
  <c r="D144" i="19"/>
  <c r="D145" i="19" l="1"/>
  <c r="F144" i="19"/>
  <c r="F145" i="19" l="1"/>
  <c r="D146" i="19"/>
  <c r="D147" i="19" l="1"/>
  <c r="F146" i="19"/>
  <c r="F147" i="19" l="1"/>
  <c r="D148" i="19"/>
  <c r="F148" i="19" l="1"/>
  <c r="D149" i="19"/>
  <c r="F149" i="19" l="1"/>
  <c r="D150" i="19"/>
  <c r="F150" i="19" l="1"/>
  <c r="D151" i="19"/>
  <c r="D152" i="19" l="1"/>
  <c r="F151" i="19"/>
  <c r="F152" i="19" l="1"/>
  <c r="D153" i="19"/>
  <c r="F153" i="19" l="1"/>
  <c r="D154" i="19"/>
  <c r="F154" i="19" l="1"/>
  <c r="D155" i="19"/>
  <c r="F155" i="19" l="1"/>
  <c r="D156" i="19"/>
  <c r="D157" i="19" l="1"/>
  <c r="F156" i="19"/>
  <c r="D158" i="19" l="1"/>
  <c r="F157" i="19"/>
  <c r="D159" i="19" l="1"/>
  <c r="F158" i="19"/>
  <c r="D160" i="19" l="1"/>
  <c r="F159" i="19"/>
  <c r="F160" i="19" l="1"/>
  <c r="D161" i="19"/>
  <c r="D162" i="19" l="1"/>
  <c r="F161" i="19"/>
  <c r="D163" i="19" l="1"/>
  <c r="F162" i="19"/>
  <c r="D164" i="19" l="1"/>
  <c r="F163" i="19"/>
  <c r="F164" i="19" l="1"/>
  <c r="D165" i="19"/>
  <c r="F165" i="19" l="1"/>
  <c r="D166" i="19"/>
  <c r="F166" i="19" l="1"/>
  <c r="D167" i="19"/>
  <c r="D168" i="19" l="1"/>
  <c r="F167" i="19"/>
  <c r="F168" i="19" l="1"/>
  <c r="D169" i="19"/>
  <c r="D170" i="19" l="1"/>
  <c r="F169" i="19"/>
  <c r="D171" i="19" l="1"/>
  <c r="F170" i="19"/>
  <c r="D172" i="19" l="1"/>
  <c r="F171" i="19"/>
  <c r="F172" i="19" l="1"/>
  <c r="D173" i="19"/>
  <c r="D174" i="19" l="1"/>
  <c r="F173" i="19"/>
  <c r="F174" i="19" l="1"/>
  <c r="D175" i="19"/>
  <c r="D176" i="19" l="1"/>
  <c r="F175" i="19"/>
  <c r="D177" i="19" l="1"/>
  <c r="F176" i="19"/>
  <c r="D178" i="19" l="1"/>
  <c r="F177" i="19"/>
  <c r="F178" i="19" l="1"/>
  <c r="D179" i="19"/>
  <c r="D180" i="19" l="1"/>
  <c r="F179" i="19"/>
  <c r="F180" i="19" l="1"/>
  <c r="D181" i="19"/>
  <c r="D182" i="19" l="1"/>
  <c r="F181" i="19"/>
  <c r="D183" i="19" l="1"/>
  <c r="F182" i="19"/>
  <c r="F183" i="19" l="1"/>
  <c r="D184" i="19"/>
  <c r="F184" i="19" l="1"/>
  <c r="D185" i="19"/>
  <c r="D186" i="19" l="1"/>
  <c r="F185" i="19"/>
  <c r="F186" i="19" l="1"/>
  <c r="D187" i="19"/>
  <c r="D188" i="19" l="1"/>
  <c r="F187" i="19"/>
  <c r="D189" i="19" l="1"/>
  <c r="F188" i="19"/>
  <c r="F189" i="19" l="1"/>
  <c r="D190" i="19"/>
  <c r="F190" i="19" l="1"/>
  <c r="D191" i="19"/>
  <c r="F191" i="19" l="1"/>
  <c r="D192" i="19"/>
  <c r="D193" i="19" l="1"/>
  <c r="F192" i="19"/>
  <c r="D194" i="19" l="1"/>
  <c r="F193" i="19"/>
  <c r="D195" i="19" l="1"/>
  <c r="F194" i="19"/>
  <c r="D196" i="19" l="1"/>
  <c r="F195" i="19"/>
  <c r="D197" i="19" l="1"/>
  <c r="F196" i="19"/>
  <c r="F197" i="19" l="1"/>
  <c r="D198" i="19"/>
  <c r="D199" i="19" l="1"/>
  <c r="F198" i="19"/>
  <c r="F199" i="19" l="1"/>
  <c r="D200" i="19"/>
  <c r="F200" i="19" l="1"/>
  <c r="D201" i="19"/>
  <c r="D202" i="19" l="1"/>
  <c r="F201" i="19"/>
  <c r="D203" i="19" l="1"/>
  <c r="F202" i="19"/>
  <c r="F203" i="19" l="1"/>
  <c r="D204" i="19"/>
  <c r="F204" i="19" l="1"/>
  <c r="D205" i="19"/>
  <c r="F205" i="19" l="1"/>
  <c r="D206" i="19"/>
  <c r="D207" i="19" l="1"/>
  <c r="F206" i="19"/>
  <c r="F207" i="19" l="1"/>
  <c r="D208" i="19"/>
  <c r="D209" i="19" l="1"/>
  <c r="F208" i="19"/>
  <c r="D210" i="19" l="1"/>
  <c r="F209" i="19"/>
  <c r="D211" i="19" l="1"/>
  <c r="F210" i="19"/>
  <c r="F211" i="19" l="1"/>
  <c r="D212" i="19"/>
  <c r="F212" i="19" l="1"/>
  <c r="D213" i="19"/>
  <c r="F213" i="19" l="1"/>
  <c r="D214" i="19"/>
  <c r="F214" i="19" l="1"/>
  <c r="D215" i="19"/>
  <c r="F215" i="19" l="1"/>
  <c r="D216" i="19"/>
  <c r="F216" i="19" l="1"/>
  <c r="D217" i="19"/>
  <c r="F217" i="19" l="1"/>
  <c r="D218" i="19"/>
  <c r="F218" i="19" l="1"/>
  <c r="D219" i="19"/>
  <c r="F219" i="19" l="1"/>
  <c r="D220" i="19"/>
  <c r="F220" i="19" l="1"/>
  <c r="D221" i="19"/>
  <c r="F221" i="19" l="1"/>
  <c r="D222" i="19"/>
  <c r="F222" i="19" l="1"/>
  <c r="D223" i="19"/>
  <c r="F223" i="19" l="1"/>
  <c r="D224" i="19"/>
  <c r="F224" i="19" l="1"/>
  <c r="D225" i="19"/>
  <c r="F225" i="19" l="1"/>
  <c r="D226" i="19"/>
  <c r="F226" i="19" l="1"/>
  <c r="D227" i="19"/>
  <c r="F227" i="19" l="1"/>
  <c r="D228" i="19"/>
  <c r="F228" i="19" l="1"/>
  <c r="D229" i="19"/>
  <c r="F229" i="19" s="1"/>
  <c r="B37" i="14" l="1"/>
  <c r="A2"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0B8D4F-A410-4AD1-8C63-658CECA254BC}" keepAlive="1" name="Connection" type="5" refreshedVersion="8" saveData="1">
    <dbPr connection="Provider=Microsoft.Mashup.OleDb.1;Data Source=$Workbook$;Location=tReq;Extended Properties=&quot;&quot;" command="SELECT * FROM [tReq]"/>
  </connection>
  <connection id="2" xr16:uid="{0CFAA9BF-B788-425C-A9D2-D288EB1857B7}" keepAlive="1" name="Connection1" type="5" refreshedVersion="8" saveData="1">
    <dbPr connection="Provider=Microsoft.Mashup.OleDb.1;Data Source=$Workbook$;Location=tQueue;Extended Properties=&quot;&quot;" command="SELECT * FROM [tQueue]"/>
  </connection>
  <connection id="3" xr16:uid="{65D51A32-C110-4089-ACB6-1D8213DED140}" keepAlive="1" name="Connection10" type="5" refreshedVersion="8" saveData="1">
    <dbPr connection="Provider=Microsoft.Mashup.OleDb.1;Data Source=$Workbook$;Location=tTargets;Extended Properties=&quot;&quot;" command="SELECT * FROM [tTargets]"/>
  </connection>
  <connection id="4" xr16:uid="{2DB65EA6-EBA3-4F48-AE8F-E0B51D241F4C}" keepAlive="1" name="Connection2" type="5" refreshedVersion="8" saveData="1">
    <dbPr connection="Provider=Microsoft.Mashup.OleDb.1;Data Source=$Workbook$;Location=tSub;Extended Properties=&quot;&quot;" command="SELECT * FROM [tSub]"/>
  </connection>
  <connection id="5" xr16:uid="{7C8DD103-1049-4FFC-AFEA-9A49CA3177D3}" keepAlive="1" name="Connection3" type="5" refreshedVersion="8" saveData="1">
    <dbPr connection="Provider=Microsoft.Mashup.OleDb.1;Data Source=$Workbook$;Location=tKPI;Extended Properties=&quot;&quot;" command="SELECT * FROM [tKPI]"/>
  </connection>
  <connection id="6" xr16:uid="{1150CCEA-7B1A-4991-9D23-A3FB1F073CEC}" keepAlive="1" name="Connection4" type="5" refreshedVersion="8" saveData="1">
    <dbPr connection="Provider=Microsoft.Mashup.OleDb.1;Data Source=$Workbook$;Location=tTrend;Extended Properties=&quot;&quot;" command="SELECT * FROM [tTrend]"/>
  </connection>
  <connection id="7" xr16:uid="{5AACDB44-2F91-46FA-9403-4780420CEFDB}" keepAlive="1" name="Connection5" type="5" refreshedVersion="8" saveData="1">
    <dbPr connection="Provider=Microsoft.Mashup.OleDb.1;Data Source=$Workbook$;Location=tRAID;Extended Properties=&quot;&quot;" command="SELECT * FROM [tRAID]"/>
  </connection>
  <connection id="8" xr16:uid="{94B447FF-1212-40D8-BB1F-BF5988E8498A}" keepAlive="1" name="Connection6" type="5" refreshedVersion="8" saveData="1">
    <dbPr connection="Provider=Microsoft.Mashup.OleDb.1;Data Source=$Workbook$;Location=tWork;Extended Properties=&quot;&quot;" command="SELECT * FROM [tWork]"/>
  </connection>
  <connection id="9" xr16:uid="{A16E785B-59F8-403B-90D8-0F652048BC86}" keepAlive="1" name="Connection7" type="5" refreshedVersion="8" saveData="1">
    <dbPr connection="Provider=Microsoft.Mashup.OleDb.1;Data Source=$Workbook$;Location=tDQ;Extended Properties=&quot;&quot;" command="SELECT * FROM [tDQ]"/>
  </connection>
  <connection id="10" xr16:uid="{7B2A1258-BFC0-4355-BBA1-1E96A955F912}" keepAlive="1" name="Connection8" type="5" refreshedVersion="8" saveData="1">
    <dbPr connection="Provider=Microsoft.Mashup.OleDb.1;Data Source=$Workbook$;Location=tPolicy;Extended Properties=&quot;&quot;" command="SELECT * FROM [tPolicy]"/>
  </connection>
  <connection id="11" xr16:uid="{84AF979A-F3A9-4D7D-95D3-F085A74B8221}" keepAlive="1" name="Connection9" type="5" refreshedVersion="8" saveData="1">
    <dbPr connection="Provider=Microsoft.Mashup.OleDb.1;Data Source=$Workbook$;Location=tMatrix;Extended Properties=&quot;&quot;" command="SELECT * FROM [tMatrix]"/>
  </connection>
</connections>
</file>

<file path=xl/sharedStrings.xml><?xml version="1.0" encoding="utf-8"?>
<sst xmlns="http://schemas.openxmlformats.org/spreadsheetml/2006/main" count="16880" uniqueCount="2743">
  <si>
    <t>TALON ROBOTICS -- PAYLOAD DELIVERY READINESS</t>
  </si>
  <si>
    <t>Control panel. Every sheet reads its parameters from the cells below.</t>
  </si>
  <si>
    <t>PARAMETER</t>
  </si>
  <si>
    <t>VALUE</t>
  </si>
  <si>
    <t>WHAT IT CONTROLS</t>
  </si>
  <si>
    <t>Reporting date</t>
  </si>
  <si>
    <t>The as-of date for RAID ageing and overdue.</t>
  </si>
  <si>
    <t>Release candidate</t>
  </si>
  <si>
    <t>The build readiness is assessed against. Readiness is always about ONE build, never "the latest of everything".</t>
  </si>
  <si>
    <t>Extract folder</t>
  </si>
  <si>
    <t>C:\Users\inouf\OneDrive\Documents\Portfolio Projects\project-4-talon-robotics\erp_extracts</t>
  </si>
  <si>
    <t>Where Power Query looks for the CSV extracts. Edit if you move the repo, then Data &gt; Refresh All.</t>
  </si>
  <si>
    <t>Rig hours per week</t>
  </si>
  <si>
    <t>Bookable hardware-in-the-loop hours in a week. Six rigs at 30 hours. This is what bounds the queue.</t>
  </si>
  <si>
    <t>Queue rows shown</t>
  </si>
  <si>
    <t>How many ranked requirements the Verification Queue sheet displays.</t>
  </si>
  <si>
    <t>DATA DISCLOSURE</t>
  </si>
  <si>
    <t>Talon Robotics is a fictional mechatronics company. All data in this workbook is synthetic and generated by the scripts in the sql\ folder. No confidential data is used and no claim is made about any production system.</t>
  </si>
  <si>
    <t>RequirementID</t>
  </si>
  <si>
    <t>Title</t>
  </si>
  <si>
    <t>ReqType</t>
  </si>
  <si>
    <t>Priority</t>
  </si>
  <si>
    <t>SubsystemCode</t>
  </si>
  <si>
    <t>SubsystemName</t>
  </si>
  <si>
    <t>Criticality</t>
  </si>
  <si>
    <t>MinTestLevel</t>
  </si>
  <si>
    <t>RequiresIndependentTester</t>
  </si>
  <si>
    <t>TotalCases</t>
  </si>
  <si>
    <t>CasesWithRuns</t>
  </si>
  <si>
    <t>PassingCases</t>
  </si>
  <si>
    <t>BlockedCases</t>
  </si>
  <si>
    <t>LastPassBuild</t>
  </si>
  <si>
    <t>LastGoodBuild</t>
  </si>
  <si>
    <t>PassingButUnderLevelled</t>
  </si>
  <si>
    <t>PassingButSelfVerified</t>
  </si>
  <si>
    <t>HasEvidence</t>
  </si>
  <si>
    <t>MeetsPolicy</t>
  </si>
  <si>
    <t>StaleByCode</t>
  </si>
  <si>
    <t>StaleByRequirement</t>
  </si>
  <si>
    <t>IsCurrent</t>
  </si>
  <si>
    <t>VerificationState</t>
  </si>
  <si>
    <t>InterveningBuilds</t>
  </si>
  <si>
    <t>AsOfBuild</t>
  </si>
  <si>
    <t>REQ-0001</t>
  </si>
  <si>
    <t>The subsystem shall complete, within budget, command &amp; telemetry link behaviour case 1</t>
  </si>
  <si>
    <t>Performance</t>
  </si>
  <si>
    <t>MustShip</t>
  </si>
  <si>
    <t>COMM-LNK</t>
  </si>
  <si>
    <t>Command &amp; Telemetry Link</t>
  </si>
  <si>
    <t>Mission</t>
  </si>
  <si>
    <t>HIL</t>
  </si>
  <si>
    <t>Current</t>
  </si>
  <si>
    <t>REQ-0002</t>
  </si>
  <si>
    <t>The payload shall inhibit release when payload release mechanism behaviour case 2</t>
  </si>
  <si>
    <t>Safety</t>
  </si>
  <si>
    <t>ShouldShip</t>
  </si>
  <si>
    <t>REL-MECH</t>
  </si>
  <si>
    <t>Payload Release Mechanism</t>
  </si>
  <si>
    <t>Insufficient evidence</t>
  </si>
  <si>
    <t>REQ-0003</t>
  </si>
  <si>
    <t>The interface shall exchange, without loss, navigation &amp; sensor fusion behaviour case 3</t>
  </si>
  <si>
    <t>Interface</t>
  </si>
  <si>
    <t>Nice</t>
  </si>
  <si>
    <t>NAV-SENS</t>
  </si>
  <si>
    <t>Navigation &amp; Sensor Fusion</t>
  </si>
  <si>
    <t>Integration</t>
  </si>
  <si>
    <t>REQ-0004</t>
  </si>
  <si>
    <t>The system shall provide power management behaviour case 4</t>
  </si>
  <si>
    <t>Functional</t>
  </si>
  <si>
    <t>PWR-MGMT</t>
  </si>
  <si>
    <t>Power Management</t>
  </si>
  <si>
    <t>REQ-0005</t>
  </si>
  <si>
    <t>The subsystem shall complete, within budget, command &amp; telemetry link behaviour case 5</t>
  </si>
  <si>
    <t>No evidence</t>
  </si>
  <si>
    <t>REQ-0006</t>
  </si>
  <si>
    <t>The interface shall exchange, without loss, structural interface behaviour case 6</t>
  </si>
  <si>
    <t>STRUCT-I</t>
  </si>
  <si>
    <t>Structural Interface</t>
  </si>
  <si>
    <t>REQ-0007</t>
  </si>
  <si>
    <t>The subsystem shall complete, within budget, ground control software behaviour case 7</t>
  </si>
  <si>
    <t>GND-CTRL</t>
  </si>
  <si>
    <t>Ground Control Software</t>
  </si>
  <si>
    <t>Support</t>
  </si>
  <si>
    <t>REQ-0008</t>
  </si>
  <si>
    <t>The system shall provide command &amp; telemetry link behaviour case 8</t>
  </si>
  <si>
    <t>REQ-0009</t>
  </si>
  <si>
    <t>The interface shall exchange, without loss, payload release mechanism behaviour case 9</t>
  </si>
  <si>
    <t>REQ-0010</t>
  </si>
  <si>
    <t>The system shall provide ground control software behaviour case 10</t>
  </si>
  <si>
    <t>REQ-0011</t>
  </si>
  <si>
    <t>The subsystem shall complete, within budget, navigation &amp; sensor fusion behaviour case 11</t>
  </si>
  <si>
    <t>REQ-0012</t>
  </si>
  <si>
    <t>The subsystem shall complete, within budget, diagnostics &amp; logging behaviour case 12</t>
  </si>
  <si>
    <t>DIAG-LOG</t>
  </si>
  <si>
    <t>Diagnostics &amp; Logging</t>
  </si>
  <si>
    <t>Stale - subsystem changed</t>
  </si>
  <si>
    <t>REQ-0013</t>
  </si>
  <si>
    <t>The interface shall exchange, without loss, power management behaviour case 13</t>
  </si>
  <si>
    <t>REQ-0014</t>
  </si>
  <si>
    <t>The payload shall inhibit release when structural interface behaviour case 14</t>
  </si>
  <si>
    <t>REQ-0015</t>
  </si>
  <si>
    <t>The interface shall exchange, without loss, power management behaviour case 15</t>
  </si>
  <si>
    <t>REQ-0016</t>
  </si>
  <si>
    <t>The system shall provide ground control software behaviour case 16</t>
  </si>
  <si>
    <t>REQ-0017</t>
  </si>
  <si>
    <t>The interface shall exchange, without loss, diagnostics &amp; logging behaviour case 17</t>
  </si>
  <si>
    <t>REQ-0018</t>
  </si>
  <si>
    <t>The subsystem shall complete, within budget, structural interface behaviour case 18</t>
  </si>
  <si>
    <t>REQ-0019</t>
  </si>
  <si>
    <t>The payload shall inhibit release when navigation &amp; sensor fusion behaviour case 19</t>
  </si>
  <si>
    <t>REQ-0020</t>
  </si>
  <si>
    <t>The system shall provide flight control interface behaviour case 20</t>
  </si>
  <si>
    <t>FLT-CTRL</t>
  </si>
  <si>
    <t>Flight Control Interface</t>
  </si>
  <si>
    <t>REQ-0021</t>
  </si>
  <si>
    <t>The system shall provide power management behaviour case 21</t>
  </si>
  <si>
    <t>REQ-0022</t>
  </si>
  <si>
    <t>The system shall provide payload release mechanism behaviour case 22</t>
  </si>
  <si>
    <t>REQ-0023</t>
  </si>
  <si>
    <t>The interface shall exchange, without loss, navigation &amp; sensor fusion behaviour case 23</t>
  </si>
  <si>
    <t>REQ-0024</t>
  </si>
  <si>
    <t>The system shall provide ground control software behaviour case 24</t>
  </si>
  <si>
    <t>REQ-0025</t>
  </si>
  <si>
    <t>The interface shall exchange, without loss, flight control interface behaviour case 25</t>
  </si>
  <si>
    <t>REQ-0026</t>
  </si>
  <si>
    <t>The payload shall inhibit release when payload release mechanism behaviour case 26</t>
  </si>
  <si>
    <t>REQ-0027</t>
  </si>
  <si>
    <t>The payload shall inhibit release when command &amp; telemetry link behaviour case 27</t>
  </si>
  <si>
    <t>REQ-0028</t>
  </si>
  <si>
    <t>The subsystem shall complete, within budget, navigation &amp; sensor fusion behaviour case 28</t>
  </si>
  <si>
    <t>REQ-0029</t>
  </si>
  <si>
    <t>The subsystem shall complete, within budget, navigation &amp; sensor fusion behaviour case 29</t>
  </si>
  <si>
    <t>REQ-0030</t>
  </si>
  <si>
    <t>The system shall record, for certification, command &amp; telemetry link behaviour case 30</t>
  </si>
  <si>
    <t>Regulatory</t>
  </si>
  <si>
    <t>Field</t>
  </si>
  <si>
    <t>REQ-0031</t>
  </si>
  <si>
    <t>The subsystem shall complete, within budget, payload release mechanism behaviour case 31</t>
  </si>
  <si>
    <t>REQ-0032</t>
  </si>
  <si>
    <t>The subsystem shall complete, within budget, command &amp; telemetry link behaviour case 32</t>
  </si>
  <si>
    <t>REQ-0033</t>
  </si>
  <si>
    <t>The system shall provide ground control software behaviour case 33</t>
  </si>
  <si>
    <t>REQ-0034</t>
  </si>
  <si>
    <t>The system shall record, for certification, flight control interface behaviour case 34</t>
  </si>
  <si>
    <t>REQ-0035</t>
  </si>
  <si>
    <t>The payload shall inhibit release when flight control interface behaviour case 35</t>
  </si>
  <si>
    <t>REQ-0036</t>
  </si>
  <si>
    <t>The system shall provide flight control interface behaviour case 36</t>
  </si>
  <si>
    <t>REQ-0037</t>
  </si>
  <si>
    <t>The subsystem shall complete, within budget, payload release mechanism behaviour case 37</t>
  </si>
  <si>
    <t>REQ-0038</t>
  </si>
  <si>
    <t>The system shall provide navigation &amp; sensor fusion behaviour case 38</t>
  </si>
  <si>
    <t>REQ-0039</t>
  </si>
  <si>
    <t>The system shall provide ground control software behaviour case 39</t>
  </si>
  <si>
    <t>REQ-0040</t>
  </si>
  <si>
    <t>The system shall provide navigation &amp; sensor fusion behaviour case 40</t>
  </si>
  <si>
    <t>REQ-0041</t>
  </si>
  <si>
    <t>The system shall provide diagnostics &amp; logging behaviour case 41</t>
  </si>
  <si>
    <t>REQ-0042</t>
  </si>
  <si>
    <t>The system shall record, for certification, command &amp; telemetry link behaviour case 42</t>
  </si>
  <si>
    <t>REQ-0043</t>
  </si>
  <si>
    <t>The payload shall inhibit release when flight control interface behaviour case 43</t>
  </si>
  <si>
    <t>REQ-0044</t>
  </si>
  <si>
    <t>The payload shall inhibit release when power management behaviour case 44</t>
  </si>
  <si>
    <t>REQ-0045</t>
  </si>
  <si>
    <t>The interface shall exchange, without loss, command &amp; telemetry link behaviour case 45</t>
  </si>
  <si>
    <t>REQ-0046</t>
  </si>
  <si>
    <t>The system shall provide ground control software behaviour case 46</t>
  </si>
  <si>
    <t>REQ-0047</t>
  </si>
  <si>
    <t>The subsystem shall complete, within budget, navigation &amp; sensor fusion behaviour case 47</t>
  </si>
  <si>
    <t>REQ-0048</t>
  </si>
  <si>
    <t>The subsystem shall complete, within budget, command &amp; telemetry link behaviour case 48</t>
  </si>
  <si>
    <t>REQ-0049</t>
  </si>
  <si>
    <t>The subsystem shall complete, within budget, command &amp; telemetry link behaviour case 49</t>
  </si>
  <si>
    <t>REQ-0050</t>
  </si>
  <si>
    <t>The interface shall exchange, without loss, power management behaviour case 50</t>
  </si>
  <si>
    <t>REQ-0051</t>
  </si>
  <si>
    <t>The system shall provide command &amp; telemetry link behaviour case 51</t>
  </si>
  <si>
    <t>REQ-0052</t>
  </si>
  <si>
    <t>The interface shall exchange, without loss, navigation &amp; sensor fusion behaviour case 52</t>
  </si>
  <si>
    <t>REQ-0053</t>
  </si>
  <si>
    <t>The payload shall inhibit release when payload release mechanism behaviour case 53</t>
  </si>
  <si>
    <t>REQ-0054</t>
  </si>
  <si>
    <t>The system shall provide navigation &amp; sensor fusion behaviour case 54</t>
  </si>
  <si>
    <t>REQ-0056</t>
  </si>
  <si>
    <t>The system shall provide payload release mechanism behaviour case 56</t>
  </si>
  <si>
    <t>REQ-0057</t>
  </si>
  <si>
    <t>The interface shall exchange, without loss, flight control interface behaviour case 57</t>
  </si>
  <si>
    <t>REQ-0058</t>
  </si>
  <si>
    <t>The subsystem shall complete, within budget, flight control interface behaviour case 58</t>
  </si>
  <si>
    <t>REQ-0059</t>
  </si>
  <si>
    <t>The interface shall exchange, without loss, power management behaviour case 59</t>
  </si>
  <si>
    <t>REQ-0060</t>
  </si>
  <si>
    <t>The payload shall inhibit release when flight control interface behaviour case 60</t>
  </si>
  <si>
    <t>REQ-0061</t>
  </si>
  <si>
    <t>The subsystem shall complete, within budget, power management behaviour case 61</t>
  </si>
  <si>
    <t>REQ-0062</t>
  </si>
  <si>
    <t>The interface shall exchange, without loss, payload release mechanism behaviour case 62</t>
  </si>
  <si>
    <t>REQ-0063</t>
  </si>
  <si>
    <t>The system shall provide ground control software behaviour case 63</t>
  </si>
  <si>
    <t>REQ-0064</t>
  </si>
  <si>
    <t>The interface shall exchange, without loss, flight control interface behaviour case 64</t>
  </si>
  <si>
    <t>REQ-0065</t>
  </si>
  <si>
    <t>The system shall provide diagnostics &amp; logging behaviour case 65</t>
  </si>
  <si>
    <t>REQ-0066</t>
  </si>
  <si>
    <t>The subsystem shall complete, within budget, power management behaviour case 66</t>
  </si>
  <si>
    <t>REQ-0067</t>
  </si>
  <si>
    <t>The system shall provide ground control software behaviour case 67</t>
  </si>
  <si>
    <t>REQ-0068</t>
  </si>
  <si>
    <t>The interface shall exchange, without loss, payload release mechanism behaviour case 68</t>
  </si>
  <si>
    <t>REQ-0069</t>
  </si>
  <si>
    <t>The payload shall inhibit release when flight control interface behaviour case 69</t>
  </si>
  <si>
    <t>REQ-0070</t>
  </si>
  <si>
    <t>The system shall provide command &amp; telemetry link behaviour case 70</t>
  </si>
  <si>
    <t>REQ-0071</t>
  </si>
  <si>
    <t>The subsystem shall complete, within budget, command &amp; telemetry link behaviour case 71</t>
  </si>
  <si>
    <t>REQ-0072</t>
  </si>
  <si>
    <t>The interface shall exchange, without loss, payload release mechanism behaviour case 72</t>
  </si>
  <si>
    <t>REQ-0073</t>
  </si>
  <si>
    <t>The interface shall exchange, without loss, command &amp; telemetry link behaviour case 73</t>
  </si>
  <si>
    <t>REQ-0074</t>
  </si>
  <si>
    <t>The system shall provide structural interface behaviour case 74</t>
  </si>
  <si>
    <t>REQ-0075</t>
  </si>
  <si>
    <t>The interface shall exchange, without loss, power management behaviour case 75</t>
  </si>
  <si>
    <t>REQ-0076</t>
  </si>
  <si>
    <t>The subsystem shall complete, within budget, ground control software behaviour case 76</t>
  </si>
  <si>
    <t>REQ-0077</t>
  </si>
  <si>
    <t>The system shall provide payload release mechanism behaviour case 77</t>
  </si>
  <si>
    <t>REQ-0078</t>
  </si>
  <si>
    <t>The payload shall inhibit release when power management behaviour case 78</t>
  </si>
  <si>
    <t>REQ-0079</t>
  </si>
  <si>
    <t>The subsystem shall complete, within budget, diagnostics &amp; logging behaviour case 79</t>
  </si>
  <si>
    <t>REQ-0080</t>
  </si>
  <si>
    <t>The payload shall inhibit release when flight control interface behaviour case 80</t>
  </si>
  <si>
    <t>REQ-0081</t>
  </si>
  <si>
    <t>The interface shall exchange, without loss, power management behaviour case 81</t>
  </si>
  <si>
    <t>REQ-0082</t>
  </si>
  <si>
    <t>The system shall provide navigation &amp; sensor fusion behaviour case 82</t>
  </si>
  <si>
    <t>REQ-0083</t>
  </si>
  <si>
    <t>The system shall record, for certification, payload release mechanism behaviour case 83</t>
  </si>
  <si>
    <t>REQ-0085</t>
  </si>
  <si>
    <t>The interface shall exchange, without loss, payload release mechanism behaviour case 85</t>
  </si>
  <si>
    <t>REQ-0086</t>
  </si>
  <si>
    <t>The interface shall exchange, without loss, power management behaviour case 86</t>
  </si>
  <si>
    <t>REQ-0087</t>
  </si>
  <si>
    <t>The system shall provide ground control software behaviour case 87</t>
  </si>
  <si>
    <t>REQ-0088</t>
  </si>
  <si>
    <t>The subsystem shall complete, within budget, command &amp; telemetry link behaviour case 88</t>
  </si>
  <si>
    <t>REQ-0089</t>
  </si>
  <si>
    <t>The system shall record, for certification, payload release mechanism behaviour case 89</t>
  </si>
  <si>
    <t>REQ-0090</t>
  </si>
  <si>
    <t>The interface shall exchange, without loss, flight control interface behaviour case 90</t>
  </si>
  <si>
    <t>REQ-0091</t>
  </si>
  <si>
    <t>The interface shall exchange, without loss, structural interface behaviour case 91</t>
  </si>
  <si>
    <t>REQ-0092</t>
  </si>
  <si>
    <t>The payload shall inhibit release when structural interface behaviour case 92</t>
  </si>
  <si>
    <t>REQ-0093</t>
  </si>
  <si>
    <t>The subsystem shall complete, within budget, power management behaviour case 93</t>
  </si>
  <si>
    <t>REQ-0094</t>
  </si>
  <si>
    <t>The payload shall inhibit release when structural interface behaviour case 94</t>
  </si>
  <si>
    <t>REQ-0095</t>
  </si>
  <si>
    <t>The system shall provide command &amp; telemetry link behaviour case 95</t>
  </si>
  <si>
    <t>REQ-0097</t>
  </si>
  <si>
    <t>The system shall provide navigation &amp; sensor fusion behaviour case 97</t>
  </si>
  <si>
    <t>REQ-0098</t>
  </si>
  <si>
    <t>The system shall record, for certification, payload release mechanism behaviour case 98</t>
  </si>
  <si>
    <t>REQ-0099</t>
  </si>
  <si>
    <t>The system shall provide command &amp; telemetry link behaviour case 99</t>
  </si>
  <si>
    <t>REQ-0100</t>
  </si>
  <si>
    <t>The system shall provide power management behaviour case 100</t>
  </si>
  <si>
    <t>REQ-0101</t>
  </si>
  <si>
    <t>The subsystem shall complete, within budget, command &amp; telemetry link behaviour case 101</t>
  </si>
  <si>
    <t>REQ-0102</t>
  </si>
  <si>
    <t>The interface shall exchange, without loss, power management behaviour case 102</t>
  </si>
  <si>
    <t>REQ-0103</t>
  </si>
  <si>
    <t>The interface shall exchange, without loss, command &amp; telemetry link behaviour case 103</t>
  </si>
  <si>
    <t>REQ-0104</t>
  </si>
  <si>
    <t>The system shall provide structural interface behaviour case 104</t>
  </si>
  <si>
    <t>REQ-0105</t>
  </si>
  <si>
    <t>The subsystem shall complete, within budget, diagnostics &amp; logging behaviour case 105</t>
  </si>
  <si>
    <t>REQ-0106</t>
  </si>
  <si>
    <t>The payload shall inhibit release when flight control interface behaviour case 106</t>
  </si>
  <si>
    <t>REQ-0107</t>
  </si>
  <si>
    <t>The subsystem shall complete, within budget, ground control software behaviour case 107</t>
  </si>
  <si>
    <t>REQ-0108</t>
  </si>
  <si>
    <t>The subsystem shall complete, within budget, structural interface behaviour case 108</t>
  </si>
  <si>
    <t>REQ-0109</t>
  </si>
  <si>
    <t>The payload shall inhibit release when payload release mechanism behaviour case 109</t>
  </si>
  <si>
    <t>REQ-0110</t>
  </si>
  <si>
    <t>The system shall provide command &amp; telemetry link behaviour case 110</t>
  </si>
  <si>
    <t>REQ-0111</t>
  </si>
  <si>
    <t>The subsystem shall complete, within budget, navigation &amp; sensor fusion behaviour case 111</t>
  </si>
  <si>
    <t>REQ-0112</t>
  </si>
  <si>
    <t>The system shall provide diagnostics &amp; logging behaviour case 112</t>
  </si>
  <si>
    <t>REQ-0113</t>
  </si>
  <si>
    <t>The system shall record, for certification, payload release mechanism behaviour case 113</t>
  </si>
  <si>
    <t>REQ-0114</t>
  </si>
  <si>
    <t>The system shall provide navigation &amp; sensor fusion behaviour case 114</t>
  </si>
  <si>
    <t>REQ-0115</t>
  </si>
  <si>
    <t>The system shall provide flight control interface behaviour case 115</t>
  </si>
  <si>
    <t>REQ-0116</t>
  </si>
  <si>
    <t>The payload shall inhibit release when command &amp; telemetry link behaviour case 116</t>
  </si>
  <si>
    <t>REQ-0117</t>
  </si>
  <si>
    <t>The subsystem shall complete, within budget, ground control software behaviour case 117</t>
  </si>
  <si>
    <t>REQ-0118</t>
  </si>
  <si>
    <t>The system shall provide payload release mechanism behaviour case 118</t>
  </si>
  <si>
    <t>REQ-0119</t>
  </si>
  <si>
    <t>The subsystem shall complete, within budget, power management behaviour case 119</t>
  </si>
  <si>
    <t>REQ-0120</t>
  </si>
  <si>
    <t>The subsystem shall complete, within budget, flight control interface behaviour case 120</t>
  </si>
  <si>
    <t>REQ-0121</t>
  </si>
  <si>
    <t>The interface shall exchange, without loss, ground control software behaviour case 121</t>
  </si>
  <si>
    <t>REQ-0122</t>
  </si>
  <si>
    <t>The payload shall inhibit release when command &amp; telemetry link behaviour case 122</t>
  </si>
  <si>
    <t>REQ-0123</t>
  </si>
  <si>
    <t>The interface shall exchange, without loss, flight control interface behaviour case 123</t>
  </si>
  <si>
    <t>REQ-0124</t>
  </si>
  <si>
    <t>The payload shall inhibit release when power management behaviour case 124</t>
  </si>
  <si>
    <t>REQ-0125</t>
  </si>
  <si>
    <t>The interface shall exchange, without loss, flight control interface behaviour case 125</t>
  </si>
  <si>
    <t>REQ-0126</t>
  </si>
  <si>
    <t>The subsystem shall complete, within budget, command &amp; telemetry link behaviour case 126</t>
  </si>
  <si>
    <t>REQ-0127</t>
  </si>
  <si>
    <t>The subsystem shall complete, within budget, navigation &amp; sensor fusion behaviour case 127</t>
  </si>
  <si>
    <t>REQ-0128</t>
  </si>
  <si>
    <t>The system shall provide payload release mechanism behaviour case 128</t>
  </si>
  <si>
    <t>REQ-0129</t>
  </si>
  <si>
    <t>The subsystem shall complete, within budget, flight control interface behaviour case 129</t>
  </si>
  <si>
    <t>REQ-0130</t>
  </si>
  <si>
    <t>The system shall provide ground control software behaviour case 130</t>
  </si>
  <si>
    <t>REQ-0131</t>
  </si>
  <si>
    <t>The interface shall exchange, without loss, power management behaviour case 131</t>
  </si>
  <si>
    <t>REQ-0132</t>
  </si>
  <si>
    <t>The payload shall inhibit release when flight control interface behaviour case 132</t>
  </si>
  <si>
    <t>REQ-0133</t>
  </si>
  <si>
    <t>The interface shall exchange, without loss, flight control interface behaviour case 133</t>
  </si>
  <si>
    <t>REQ-0134</t>
  </si>
  <si>
    <t>The subsystem shall complete, within budget, ground control software behaviour case 134</t>
  </si>
  <si>
    <t>REQ-0137</t>
  </si>
  <si>
    <t>The system shall provide structural interface behaviour case 137</t>
  </si>
  <si>
    <t>REQ-0138</t>
  </si>
  <si>
    <t>The interface shall exchange, without loss, flight control interface behaviour case 138</t>
  </si>
  <si>
    <t>REQ-0139</t>
  </si>
  <si>
    <t>The subsystem shall complete, within budget, structural interface behaviour case 139</t>
  </si>
  <si>
    <t>REQ-0140</t>
  </si>
  <si>
    <t>The subsystem shall complete, within budget, power management behaviour case 140</t>
  </si>
  <si>
    <t>REQ-0141</t>
  </si>
  <si>
    <t>The interface shall exchange, without loss, payload release mechanism behaviour case 141</t>
  </si>
  <si>
    <t>REQ-0142</t>
  </si>
  <si>
    <t>The system shall provide ground control software behaviour case 142</t>
  </si>
  <si>
    <t>REQ-0143</t>
  </si>
  <si>
    <t>The system shall provide payload release mechanism behaviour case 143</t>
  </si>
  <si>
    <t>REQ-0144</t>
  </si>
  <si>
    <t>The system shall provide diagnostics &amp; logging behaviour case 144</t>
  </si>
  <si>
    <t>REQ-0145</t>
  </si>
  <si>
    <t>The system shall provide diagnostics &amp; logging behaviour case 145</t>
  </si>
  <si>
    <t>REQ-0146</t>
  </si>
  <si>
    <t>The payload shall inhibit release when structural interface behaviour case 146</t>
  </si>
  <si>
    <t>REQ-0147</t>
  </si>
  <si>
    <t>The interface shall exchange, without loss, payload release mechanism behaviour case 147</t>
  </si>
  <si>
    <t>REQ-0148</t>
  </si>
  <si>
    <t>The payload shall inhibit release when flight control interface behaviour case 148</t>
  </si>
  <si>
    <t>REQ-0149</t>
  </si>
  <si>
    <t>The payload shall inhibit release when payload release mechanism behaviour case 149</t>
  </si>
  <si>
    <t>REQ-0150</t>
  </si>
  <si>
    <t>The interface shall exchange, without loss, navigation &amp; sensor fusion behaviour case 150</t>
  </si>
  <si>
    <t>REQ-0151</t>
  </si>
  <si>
    <t>The system shall provide power management behaviour case 151</t>
  </si>
  <si>
    <t>REQ-0152</t>
  </si>
  <si>
    <t>The subsystem shall complete, within budget, diagnostics &amp; logging behaviour case 152</t>
  </si>
  <si>
    <t>REQ-0153</t>
  </si>
  <si>
    <t>The payload shall inhibit release when payload release mechanism behaviour case 153</t>
  </si>
  <si>
    <t>REQ-0154</t>
  </si>
  <si>
    <t>The system shall record, for certification, payload release mechanism behaviour case 154</t>
  </si>
  <si>
    <t>REQ-0155</t>
  </si>
  <si>
    <t>The system shall provide power management behaviour case 155</t>
  </si>
  <si>
    <t>REQ-0156</t>
  </si>
  <si>
    <t>The system shall provide ground control software behaviour case 156</t>
  </si>
  <si>
    <t>REQ-0157</t>
  </si>
  <si>
    <t>The payload shall inhibit release when payload release mechanism behaviour case 157</t>
  </si>
  <si>
    <t>REQ-0158</t>
  </si>
  <si>
    <t>The payload shall inhibit release when structural interface behaviour case 158</t>
  </si>
  <si>
    <t>REQ-0159</t>
  </si>
  <si>
    <t>The interface shall exchange, without loss, navigation &amp; sensor fusion behaviour case 159</t>
  </si>
  <si>
    <t>REQ-0160</t>
  </si>
  <si>
    <t>The system shall provide navigation &amp; sensor fusion behaviour case 160</t>
  </si>
  <si>
    <t>REQ-0161</t>
  </si>
  <si>
    <t>The system shall record, for certification, power management behaviour case 161</t>
  </si>
  <si>
    <t>REQ-0162</t>
  </si>
  <si>
    <t>The subsystem shall complete, within budget, power management behaviour case 162</t>
  </si>
  <si>
    <t>REQ-0163</t>
  </si>
  <si>
    <t>The system shall provide diagnostics &amp; logging behaviour case 163</t>
  </si>
  <si>
    <t>REQ-0164</t>
  </si>
  <si>
    <t>The subsystem shall complete, within budget, payload release mechanism behaviour case 164</t>
  </si>
  <si>
    <t>REQ-0165</t>
  </si>
  <si>
    <t>The system shall provide payload release mechanism behaviour case 165</t>
  </si>
  <si>
    <t>REQ-0166</t>
  </si>
  <si>
    <t>The payload shall inhibit release when payload release mechanism behaviour case 166</t>
  </si>
  <si>
    <t>REQ-0167</t>
  </si>
  <si>
    <t>The payload shall inhibit release when payload release mechanism behaviour case 167</t>
  </si>
  <si>
    <t>REQ-0168</t>
  </si>
  <si>
    <t>The system shall provide ground control software behaviour case 168</t>
  </si>
  <si>
    <t>REQ-0169</t>
  </si>
  <si>
    <t>The subsystem shall complete, within budget, payload release mechanism behaviour case 169</t>
  </si>
  <si>
    <t>REQ-0170</t>
  </si>
  <si>
    <t>The system shall provide ground control software behaviour case 170</t>
  </si>
  <si>
    <t>REQ-0171</t>
  </si>
  <si>
    <t>The subsystem shall complete, within budget, power management behaviour case 171</t>
  </si>
  <si>
    <t>REQ-0172</t>
  </si>
  <si>
    <t>The payload shall inhibit release when navigation &amp; sensor fusion behaviour case 172</t>
  </si>
  <si>
    <t>REQ-0173</t>
  </si>
  <si>
    <t>The system shall provide command &amp; telemetry link behaviour case 173</t>
  </si>
  <si>
    <t>REQ-0175</t>
  </si>
  <si>
    <t>The subsystem shall complete, within budget, command &amp; telemetry link behaviour case 175</t>
  </si>
  <si>
    <t>REQ-0176</t>
  </si>
  <si>
    <t>The system shall record, for certification, payload release mechanism behaviour case 176</t>
  </si>
  <si>
    <t>REQ-0177</t>
  </si>
  <si>
    <t>The system shall provide command &amp; telemetry link behaviour case 177</t>
  </si>
  <si>
    <t>REQ-0178</t>
  </si>
  <si>
    <t>The system shall provide flight control interface behaviour case 178</t>
  </si>
  <si>
    <t>REQ-0180</t>
  </si>
  <si>
    <t>The interface shall exchange, without loss, ground control software behaviour case 180</t>
  </si>
  <si>
    <t>REQ-0181</t>
  </si>
  <si>
    <t>The payload shall inhibit release when payload release mechanism behaviour case 181</t>
  </si>
  <si>
    <t>REQ-0182</t>
  </si>
  <si>
    <t>The subsystem shall complete, within budget, structural interface behaviour case 182</t>
  </si>
  <si>
    <t>REQ-0184</t>
  </si>
  <si>
    <t>The subsystem shall complete, within budget, power management behaviour case 184</t>
  </si>
  <si>
    <t>REQ-0185</t>
  </si>
  <si>
    <t>The system shall provide ground control software behaviour case 185</t>
  </si>
  <si>
    <t>REQ-0186</t>
  </si>
  <si>
    <t>The interface shall exchange, without loss, navigation &amp; sensor fusion behaviour case 186</t>
  </si>
  <si>
    <t>REQ-0187</t>
  </si>
  <si>
    <t>The system shall record, for certification, flight control interface behaviour case 187</t>
  </si>
  <si>
    <t>REQ-0188</t>
  </si>
  <si>
    <t>The system shall provide structural interface behaviour case 188</t>
  </si>
  <si>
    <t>REQ-0189</t>
  </si>
  <si>
    <t>The payload shall inhibit release when flight control interface behaviour case 189</t>
  </si>
  <si>
    <t>REQ-0190</t>
  </si>
  <si>
    <t>The system shall provide command &amp; telemetry link behaviour case 190</t>
  </si>
  <si>
    <t>REQ-0191</t>
  </si>
  <si>
    <t>The payload shall inhibit release when payload release mechanism behaviour case 191</t>
  </si>
  <si>
    <t>REQ-0193</t>
  </si>
  <si>
    <t>The system shall provide command &amp; telemetry link behaviour case 193</t>
  </si>
  <si>
    <t>REQ-0194</t>
  </si>
  <si>
    <t>The system shall record, for certification, power management behaviour case 194</t>
  </si>
  <si>
    <t>REQ-0195</t>
  </si>
  <si>
    <t>The subsystem shall complete, within budget, navigation &amp; sensor fusion behaviour case 195</t>
  </si>
  <si>
    <t>REQ-0196</t>
  </si>
  <si>
    <t>The payload shall inhibit release when command &amp; telemetry link behaviour case 196</t>
  </si>
  <si>
    <t>REQ-0197</t>
  </si>
  <si>
    <t>The system shall provide navigation &amp; sensor fusion behaviour case 197</t>
  </si>
  <si>
    <t>REQ-0198</t>
  </si>
  <si>
    <t>The system shall record, for certification, payload release mechanism behaviour case 198</t>
  </si>
  <si>
    <t>REQ-0199</t>
  </si>
  <si>
    <t>The subsystem shall complete, within budget, diagnostics &amp; logging behaviour case 199</t>
  </si>
  <si>
    <t>REQ-0200</t>
  </si>
  <si>
    <t>The system shall provide navigation &amp; sensor fusion behaviour case 200</t>
  </si>
  <si>
    <t>REQ-0201</t>
  </si>
  <si>
    <t>The interface shall exchange, without loss, diagnostics &amp; logging behaviour case 201</t>
  </si>
  <si>
    <t>REQ-0203</t>
  </si>
  <si>
    <t>The payload shall inhibit release when flight control interface behaviour case 203</t>
  </si>
  <si>
    <t>REQ-0204</t>
  </si>
  <si>
    <t>The system shall provide navigation &amp; sensor fusion behaviour case 204</t>
  </si>
  <si>
    <t>REQ-0205</t>
  </si>
  <si>
    <t>The subsystem shall complete, within budget, power management behaviour case 205</t>
  </si>
  <si>
    <t>REQ-0206</t>
  </si>
  <si>
    <t>The subsystem shall complete, within budget, navigation &amp; sensor fusion behaviour case 206</t>
  </si>
  <si>
    <t>REQ-0207</t>
  </si>
  <si>
    <t>The interface shall exchange, without loss, diagnostics &amp; logging behaviour case 207</t>
  </si>
  <si>
    <t>REQ-0208</t>
  </si>
  <si>
    <t>The interface shall exchange, without loss, flight control interface behaviour case 208</t>
  </si>
  <si>
    <t>REQ-0209</t>
  </si>
  <si>
    <t>The system shall provide navigation &amp; sensor fusion behaviour case 209</t>
  </si>
  <si>
    <t>REQ-0210</t>
  </si>
  <si>
    <t>The payload shall inhibit release when flight control interface behaviour case 210</t>
  </si>
  <si>
    <t>REQ-0211</t>
  </si>
  <si>
    <t>The interface shall exchange, without loss, payload release mechanism behaviour case 211</t>
  </si>
  <si>
    <t>REQ-0212</t>
  </si>
  <si>
    <t>The subsystem shall complete, within budget, diagnostics &amp; logging behaviour case 212</t>
  </si>
  <si>
    <t>REQ-0213</t>
  </si>
  <si>
    <t>The interface shall exchange, without loss, command &amp; telemetry link behaviour case 213</t>
  </si>
  <si>
    <t>REQ-0214</t>
  </si>
  <si>
    <t>The system shall provide ground control software behaviour case 214</t>
  </si>
  <si>
    <t>REQ-0215</t>
  </si>
  <si>
    <t>The system shall provide navigation &amp; sensor fusion behaviour case 215</t>
  </si>
  <si>
    <t>REQ-0216</t>
  </si>
  <si>
    <t>The interface shall exchange, without loss, command &amp; telemetry link behaviour case 216</t>
  </si>
  <si>
    <t>REQ-0217</t>
  </si>
  <si>
    <t>The payload shall inhibit release when payload release mechanism behaviour case 217</t>
  </si>
  <si>
    <t>REQ-0218</t>
  </si>
  <si>
    <t>The interface shall exchange, without loss, power management behaviour case 218</t>
  </si>
  <si>
    <t>REQ-0219</t>
  </si>
  <si>
    <t>The system shall provide ground control software behaviour case 219</t>
  </si>
  <si>
    <t>REQ-0220</t>
  </si>
  <si>
    <t>The subsystem shall complete, within budget, navigation &amp; sensor fusion behaviour case 220</t>
  </si>
  <si>
    <t>REQ-0221</t>
  </si>
  <si>
    <t>The payload shall inhibit release when command &amp; telemetry link behaviour case 221</t>
  </si>
  <si>
    <t>REQ-0222</t>
  </si>
  <si>
    <t>The system shall provide payload release mechanism behaviour case 222</t>
  </si>
  <si>
    <t>REQ-0223</t>
  </si>
  <si>
    <t>The subsystem shall complete, within budget, ground control software behaviour case 223</t>
  </si>
  <si>
    <t>REQ-0224</t>
  </si>
  <si>
    <t>The payload shall inhibit release when command &amp; telemetry link behaviour case 224</t>
  </si>
  <si>
    <t>REQ-0225</t>
  </si>
  <si>
    <t>The payload shall inhibit release when flight control interface behaviour case 225</t>
  </si>
  <si>
    <t>REQ-0226</t>
  </si>
  <si>
    <t>The payload shall inhibit release when structural interface behaviour case 226</t>
  </si>
  <si>
    <t>REQ-0227</t>
  </si>
  <si>
    <t>The interface shall exchange, without loss, power management behaviour case 227</t>
  </si>
  <si>
    <t>REQ-0228</t>
  </si>
  <si>
    <t>The system shall record, for certification, command &amp; telemetry link behaviour case 228</t>
  </si>
  <si>
    <t>REQ-0229</t>
  </si>
  <si>
    <t>The interface shall exchange, without loss, power management behaviour case 229</t>
  </si>
  <si>
    <t>REQ-0230</t>
  </si>
  <si>
    <t>The system shall provide flight control interface behaviour case 230</t>
  </si>
  <si>
    <t>REQ-0231</t>
  </si>
  <si>
    <t>The interface shall exchange, without loss, command &amp; telemetry link behaviour case 231</t>
  </si>
  <si>
    <t>REQ-0232</t>
  </si>
  <si>
    <t>The payload shall inhibit release when payload release mechanism behaviour case 232</t>
  </si>
  <si>
    <t>REQ-0233</t>
  </si>
  <si>
    <t>The interface shall exchange, without loss, navigation &amp; sensor fusion behaviour case 233</t>
  </si>
  <si>
    <t>REQ-0234</t>
  </si>
  <si>
    <t>The system shall provide ground control software behaviour case 234</t>
  </si>
  <si>
    <t>REQ-0235</t>
  </si>
  <si>
    <t>The system shall record, for certification, flight control interface behaviour case 235</t>
  </si>
  <si>
    <t>REQ-0236</t>
  </si>
  <si>
    <t>The subsystem shall complete, within budget, ground control software behaviour case 236</t>
  </si>
  <si>
    <t>REQ-0237</t>
  </si>
  <si>
    <t>The subsystem shall complete, within budget, power management behaviour case 237</t>
  </si>
  <si>
    <t>REQ-0239</t>
  </si>
  <si>
    <t>The interface shall exchange, without loss, power management behaviour case 239</t>
  </si>
  <si>
    <t>REQ-0240</t>
  </si>
  <si>
    <t>The system shall provide payload release mechanism behaviour case 240</t>
  </si>
  <si>
    <t>REQ-0241</t>
  </si>
  <si>
    <t>The system shall provide ground control software behaviour case 241</t>
  </si>
  <si>
    <t>REQ-0242</t>
  </si>
  <si>
    <t>The payload shall inhibit release when command &amp; telemetry link behaviour case 242</t>
  </si>
  <si>
    <t>REQ-0243</t>
  </si>
  <si>
    <t>The payload shall inhibit release when flight control interface behaviour case 243</t>
  </si>
  <si>
    <t>REQ-0244</t>
  </si>
  <si>
    <t>The interface shall exchange, without loss, command &amp; telemetry link behaviour case 244</t>
  </si>
  <si>
    <t>REQ-0245</t>
  </si>
  <si>
    <t>The subsystem shall complete, within budget, flight control interface behaviour case 245</t>
  </si>
  <si>
    <t>REQ-0246</t>
  </si>
  <si>
    <t>The payload shall inhibit release when payload release mechanism behaviour case 246</t>
  </si>
  <si>
    <t>REQ-0247</t>
  </si>
  <si>
    <t>The subsystem shall complete, within budget, command &amp; telemetry link behaviour case 247</t>
  </si>
  <si>
    <t>REQ-0248</t>
  </si>
  <si>
    <t>The subsystem shall complete, within budget, power management behaviour case 248</t>
  </si>
  <si>
    <t>REQ-0249</t>
  </si>
  <si>
    <t>The subsystem shall complete, within budget, command &amp; telemetry link behaviour case 249</t>
  </si>
  <si>
    <t>REQ-0250</t>
  </si>
  <si>
    <t>The interface shall exchange, without loss, diagnostics &amp; logging behaviour case 250</t>
  </si>
  <si>
    <t>REQ-0251</t>
  </si>
  <si>
    <t>The system shall provide ground control software behaviour case 251</t>
  </si>
  <si>
    <t>REQ-0252</t>
  </si>
  <si>
    <t>The payload shall inhibit release when payload release mechanism behaviour case 252</t>
  </si>
  <si>
    <t>REQ-0253</t>
  </si>
  <si>
    <t>The system shall record, for certification, flight control interface behaviour case 253</t>
  </si>
  <si>
    <t>Stale - requirement changed</t>
  </si>
  <si>
    <t>REQ-0254</t>
  </si>
  <si>
    <t>The interface shall exchange, without loss, command &amp; telemetry link behaviour case 254</t>
  </si>
  <si>
    <t>REQ-0255</t>
  </si>
  <si>
    <t>The payload shall inhibit release when flight control interface behaviour case 255</t>
  </si>
  <si>
    <t>REQ-0256</t>
  </si>
  <si>
    <t>The subsystem shall complete, within budget, power management behaviour case 256</t>
  </si>
  <si>
    <t>REQ-0257</t>
  </si>
  <si>
    <t>The interface shall exchange, without loss, power management behaviour case 257</t>
  </si>
  <si>
    <t>REQ-0258</t>
  </si>
  <si>
    <t>The payload shall inhibit release when payload release mechanism behaviour case 258</t>
  </si>
  <si>
    <t>REQ-0259</t>
  </si>
  <si>
    <t>The system shall provide ground control software behaviour case 259</t>
  </si>
  <si>
    <t>REQ-0260</t>
  </si>
  <si>
    <t>The interface shall exchange, without loss, payload release mechanism behaviour case 260</t>
  </si>
  <si>
    <t>REQ-0261</t>
  </si>
  <si>
    <t>The system shall provide ground control software behaviour case 261</t>
  </si>
  <si>
    <t>REQ-0262</t>
  </si>
  <si>
    <t>The subsystem shall complete, within budget, payload release mechanism behaviour case 262</t>
  </si>
  <si>
    <t>REQ-0263</t>
  </si>
  <si>
    <t>The system shall provide command &amp; telemetry link behaviour case 263</t>
  </si>
  <si>
    <t>REQ-0264</t>
  </si>
  <si>
    <t>The system shall provide structural interface behaviour case 264</t>
  </si>
  <si>
    <t>REQ-0265</t>
  </si>
  <si>
    <t>The subsystem shall complete, within budget, navigation &amp; sensor fusion behaviour case 265</t>
  </si>
  <si>
    <t>REQ-0266</t>
  </si>
  <si>
    <t>The interface shall exchange, without loss, payload release mechanism behaviour case 266</t>
  </si>
  <si>
    <t>REQ-0267</t>
  </si>
  <si>
    <t>The interface shall exchange, without loss, power management behaviour case 267</t>
  </si>
  <si>
    <t>REQ-0268</t>
  </si>
  <si>
    <t>The system shall provide power management behaviour case 268</t>
  </si>
  <si>
    <t>REQ-0269</t>
  </si>
  <si>
    <t>The subsystem shall complete, within budget, payload release mechanism behaviour case 269</t>
  </si>
  <si>
    <t>REQ-0271</t>
  </si>
  <si>
    <t>The system shall provide power management behaviour case 271</t>
  </si>
  <si>
    <t>REQ-0272</t>
  </si>
  <si>
    <t>The payload shall inhibit release when power management behaviour case 272</t>
  </si>
  <si>
    <t>REQ-0273</t>
  </si>
  <si>
    <t>The interface shall exchange, without loss, power management behaviour case 273</t>
  </si>
  <si>
    <t>REQ-0274</t>
  </si>
  <si>
    <t>The subsystem shall complete, within budget, flight control interface behaviour case 274</t>
  </si>
  <si>
    <t>REQ-0275</t>
  </si>
  <si>
    <t>The interface shall exchange, without loss, payload release mechanism behaviour case 275</t>
  </si>
  <si>
    <t>REQ-0276</t>
  </si>
  <si>
    <t>The interface shall exchange, without loss, navigation &amp; sensor fusion behaviour case 276</t>
  </si>
  <si>
    <t>REQ-0277</t>
  </si>
  <si>
    <t>The subsystem shall complete, within budget, power management behaviour case 277</t>
  </si>
  <si>
    <t>REQ-0278</t>
  </si>
  <si>
    <t>The system shall record, for certification, flight control interface behaviour case 278</t>
  </si>
  <si>
    <t>REQ-0279</t>
  </si>
  <si>
    <t>The system shall provide ground control software behaviour case 279</t>
  </si>
  <si>
    <t>REQ-0280</t>
  </si>
  <si>
    <t>The payload shall inhibit release when flight control interface behaviour case 280</t>
  </si>
  <si>
    <t>REQ-0281</t>
  </si>
  <si>
    <t>The interface shall exchange, without loss, navigation &amp; sensor fusion behaviour case 281</t>
  </si>
  <si>
    <t>REQ-0282</t>
  </si>
  <si>
    <t>The system shall provide ground control software behaviour case 282</t>
  </si>
  <si>
    <t>REQ-0283</t>
  </si>
  <si>
    <t>The subsystem shall complete, within budget, payload release mechanism behaviour case 283</t>
  </si>
  <si>
    <t>REQ-0284</t>
  </si>
  <si>
    <t>The subsystem shall complete, within budget, payload release mechanism behaviour case 284</t>
  </si>
  <si>
    <t>REQ-0285</t>
  </si>
  <si>
    <t>The subsystem shall complete, within budget, power management behaviour case 285</t>
  </si>
  <si>
    <t>REQ-0286</t>
  </si>
  <si>
    <t>The payload shall inhibit release when navigation &amp; sensor fusion behaviour case 286</t>
  </si>
  <si>
    <t>REQ-0287</t>
  </si>
  <si>
    <t>The interface shall exchange, without loss, payload release mechanism behaviour case 287</t>
  </si>
  <si>
    <t>REQ-0288</t>
  </si>
  <si>
    <t>The interface shall exchange, without loss, payload release mechanism behaviour case 288</t>
  </si>
  <si>
    <t>REQ-0289</t>
  </si>
  <si>
    <t>The system shall record, for certification, flight control interface behaviour case 289</t>
  </si>
  <si>
    <t>REQ-0290</t>
  </si>
  <si>
    <t>The system shall record, for certification, structural interface behaviour case 290</t>
  </si>
  <si>
    <t>REQ-0291</t>
  </si>
  <si>
    <t>The subsystem shall complete, within budget, structural interface behaviour case 291</t>
  </si>
  <si>
    <t>REQ-0292</t>
  </si>
  <si>
    <t>The system shall provide navigation &amp; sensor fusion behaviour case 292</t>
  </si>
  <si>
    <t>REQ-0293</t>
  </si>
  <si>
    <t>The interface shall exchange, without loss, ground control software behaviour case 293</t>
  </si>
  <si>
    <t>REQ-0294</t>
  </si>
  <si>
    <t>The subsystem shall complete, within budget, flight control interface behaviour case 294</t>
  </si>
  <si>
    <t>REQ-0295</t>
  </si>
  <si>
    <t>The system shall record, for certification, power management behaviour case 295</t>
  </si>
  <si>
    <t>REQ-0296</t>
  </si>
  <si>
    <t>The subsystem shall complete, within budget, power management behaviour case 296</t>
  </si>
  <si>
    <t>REQ-0297</t>
  </si>
  <si>
    <t>The interface shall exchange, without loss, navigation &amp; sensor fusion behaviour case 297</t>
  </si>
  <si>
    <t>REQ-0298</t>
  </si>
  <si>
    <t>The system shall provide payload release mechanism behaviour case 298</t>
  </si>
  <si>
    <t>REQ-0299</t>
  </si>
  <si>
    <t>The system shall provide ground control software behaviour case 299</t>
  </si>
  <si>
    <t>REQ-0300</t>
  </si>
  <si>
    <t>The payload shall inhibit release when flight control interface behaviour case 300</t>
  </si>
  <si>
    <t>REQ-0301</t>
  </si>
  <si>
    <t>The payload shall inhibit release when structural interface behaviour case 301</t>
  </si>
  <si>
    <t>REQ-0302</t>
  </si>
  <si>
    <t>The interface shall exchange, without loss, power management behaviour case 302</t>
  </si>
  <si>
    <t>REQ-0303</t>
  </si>
  <si>
    <t>The subsystem shall complete, within budget, command &amp; telemetry link behaviour case 303</t>
  </si>
  <si>
    <t>REQ-0304</t>
  </si>
  <si>
    <t>The subsystem shall complete, within budget, navigation &amp; sensor fusion behaviour case 304</t>
  </si>
  <si>
    <t>REQ-0305</t>
  </si>
  <si>
    <t>The interface shall exchange, without loss, diagnostics &amp; logging behaviour case 305</t>
  </si>
  <si>
    <t>REQ-0306</t>
  </si>
  <si>
    <t>The system shall provide flight control interface behaviour case 306</t>
  </si>
  <si>
    <t>REQ-0307</t>
  </si>
  <si>
    <t>The subsystem shall complete, within budget, power management behaviour case 307</t>
  </si>
  <si>
    <t>REQ-0308</t>
  </si>
  <si>
    <t>The system shall record, for certification, flight control interface behaviour case 308</t>
  </si>
  <si>
    <t>REQ-0309</t>
  </si>
  <si>
    <t>The payload shall inhibit release when flight control interface behaviour case 309</t>
  </si>
  <si>
    <t>REQ-0310</t>
  </si>
  <si>
    <t>The system shall provide power management behaviour case 310</t>
  </si>
  <si>
    <t>REQ-0311</t>
  </si>
  <si>
    <t>The system shall provide ground control software behaviour case 311</t>
  </si>
  <si>
    <t>REQ-0312</t>
  </si>
  <si>
    <t>The system shall record, for certification, payload release mechanism behaviour case 312</t>
  </si>
  <si>
    <t>REQ-0313</t>
  </si>
  <si>
    <t>The interface shall exchange, without loss, diagnostics &amp; logging behaviour case 313</t>
  </si>
  <si>
    <t>REQ-0314</t>
  </si>
  <si>
    <t>The system shall provide command &amp; telemetry link behaviour case 314</t>
  </si>
  <si>
    <t>REQ-0315</t>
  </si>
  <si>
    <t>The payload shall inhibit release when payload release mechanism behaviour case 315</t>
  </si>
  <si>
    <t>REQ-0316</t>
  </si>
  <si>
    <t>The payload shall inhibit release when power management behaviour case 316</t>
  </si>
  <si>
    <t>REQ-0317</t>
  </si>
  <si>
    <t>The system shall provide diagnostics &amp; logging behaviour case 317</t>
  </si>
  <si>
    <t>REQ-0318</t>
  </si>
  <si>
    <t>The interface shall exchange, without loss, navigation &amp; sensor fusion behaviour case 318</t>
  </si>
  <si>
    <t>REQ-0319</t>
  </si>
  <si>
    <t>The interface shall exchange, without loss, ground control software behaviour case 319</t>
  </si>
  <si>
    <t>REQ-0320</t>
  </si>
  <si>
    <t>The system shall provide flight control interface behaviour case 320</t>
  </si>
  <si>
    <t>REQ-0321</t>
  </si>
  <si>
    <t>The payload shall inhibit release when structural interface behaviour case 321</t>
  </si>
  <si>
    <t>REQ-0322</t>
  </si>
  <si>
    <t>The system shall provide structural interface behaviour case 322</t>
  </si>
  <si>
    <t>REQ-0323</t>
  </si>
  <si>
    <t>The system shall provide ground control software behaviour case 323</t>
  </si>
  <si>
    <t>REQ-0324</t>
  </si>
  <si>
    <t>The system shall provide flight control interface behaviour case 324</t>
  </si>
  <si>
    <t>REQ-0325</t>
  </si>
  <si>
    <t>The subsystem shall complete, within budget, navigation &amp; sensor fusion behaviour case 325</t>
  </si>
  <si>
    <t>REQ-0326</t>
  </si>
  <si>
    <t>The interface shall exchange, without loss, navigation &amp; sensor fusion behaviour case 326</t>
  </si>
  <si>
    <t>REQ-0327</t>
  </si>
  <si>
    <t>The system shall provide diagnostics &amp; logging behaviour case 327</t>
  </si>
  <si>
    <t>REQ-0328</t>
  </si>
  <si>
    <t>The subsystem shall complete, within budget, ground control software behaviour case 328</t>
  </si>
  <si>
    <t>REQ-0329</t>
  </si>
  <si>
    <t>The system shall provide power management behaviour case 329</t>
  </si>
  <si>
    <t>REQ-0331</t>
  </si>
  <si>
    <t>The system shall provide ground control software behaviour case 331</t>
  </si>
  <si>
    <t>REQ-0332</t>
  </si>
  <si>
    <t>The payload shall inhibit release when navigation &amp; sensor fusion behaviour case 332</t>
  </si>
  <si>
    <t>REQ-0333</t>
  </si>
  <si>
    <t>The system shall provide navigation &amp; sensor fusion behaviour case 333</t>
  </si>
  <si>
    <t>REQ-0334</t>
  </si>
  <si>
    <t>The system shall provide diagnostics &amp; logging behaviour case 334</t>
  </si>
  <si>
    <t>REQ-0335</t>
  </si>
  <si>
    <t>The system shall provide diagnostics &amp; logging behaviour case 335</t>
  </si>
  <si>
    <t>REQ-0336</t>
  </si>
  <si>
    <t>The payload shall inhibit release when payload release mechanism behaviour case 336</t>
  </si>
  <si>
    <t>REQ-0337</t>
  </si>
  <si>
    <t>The subsystem shall complete, within budget, flight control interface behaviour case 337</t>
  </si>
  <si>
    <t>REQ-0338</t>
  </si>
  <si>
    <t>The system shall provide payload release mechanism behaviour case 338</t>
  </si>
  <si>
    <t>REQ-0339</t>
  </si>
  <si>
    <t>The system shall provide command &amp; telemetry link behaviour case 339</t>
  </si>
  <si>
    <t>REQ-0340</t>
  </si>
  <si>
    <t>The system shall provide flight control interface behaviour case 340</t>
  </si>
  <si>
    <t>REQ-0341</t>
  </si>
  <si>
    <t>The interface shall exchange, without loss, navigation &amp; sensor fusion behaviour case 341</t>
  </si>
  <si>
    <t>REQ-0342</t>
  </si>
  <si>
    <t>The subsystem shall complete, within budget, flight control interface behaviour case 342</t>
  </si>
  <si>
    <t>REQ-0343</t>
  </si>
  <si>
    <t>The payload shall inhibit release when power management behaviour case 343</t>
  </si>
  <si>
    <t>REQ-0344</t>
  </si>
  <si>
    <t>The system shall provide ground control software behaviour case 344</t>
  </si>
  <si>
    <t>REQ-0345</t>
  </si>
  <si>
    <t>The subsystem shall complete, within budget, payload release mechanism behaviour case 345</t>
  </si>
  <si>
    <t>REQ-0346</t>
  </si>
  <si>
    <t>The system shall provide ground control software behaviour case 346</t>
  </si>
  <si>
    <t>REQ-0347</t>
  </si>
  <si>
    <t>The system shall provide ground control software behaviour case 347</t>
  </si>
  <si>
    <t>REQ-0348</t>
  </si>
  <si>
    <t>The system shall provide payload release mechanism behaviour case 348</t>
  </si>
  <si>
    <t>REQ-0349</t>
  </si>
  <si>
    <t>The payload shall inhibit release when flight control interface behaviour case 349</t>
  </si>
  <si>
    <t>REQ-0350</t>
  </si>
  <si>
    <t>The payload shall inhibit release when flight control interface behaviour case 350</t>
  </si>
  <si>
    <t>REQ-0351</t>
  </si>
  <si>
    <t>The system shall provide ground control software behaviour case 351</t>
  </si>
  <si>
    <t>REQ-0352</t>
  </si>
  <si>
    <t>The system shall provide navigation &amp; sensor fusion behaviour case 352</t>
  </si>
  <si>
    <t>REQ-0353</t>
  </si>
  <si>
    <t>The system shall provide flight control interface behaviour case 353</t>
  </si>
  <si>
    <t>REQ-0354</t>
  </si>
  <si>
    <t>The system shall provide ground control software behaviour case 354</t>
  </si>
  <si>
    <t>REQ-0355</t>
  </si>
  <si>
    <t>The interface shall exchange, without loss, diagnostics &amp; logging behaviour case 355</t>
  </si>
  <si>
    <t>REQ-0356</t>
  </si>
  <si>
    <t>The payload shall inhibit release when structural interface behaviour case 356</t>
  </si>
  <si>
    <t>REQ-0357</t>
  </si>
  <si>
    <t>The payload shall inhibit release when payload release mechanism behaviour case 357</t>
  </si>
  <si>
    <t>REQ-0358</t>
  </si>
  <si>
    <t>The subsystem shall complete, within budget, command &amp; telemetry link behaviour case 358</t>
  </si>
  <si>
    <t>REQ-0359</t>
  </si>
  <si>
    <t>The payload shall inhibit release when flight control interface behaviour case 359</t>
  </si>
  <si>
    <t>REQ-0360</t>
  </si>
  <si>
    <t>The payload shall inhibit release when command &amp; telemetry link behaviour case 360</t>
  </si>
  <si>
    <t>REQ-0361</t>
  </si>
  <si>
    <t>The subsystem shall complete, within budget, payload release mechanism behaviour case 361</t>
  </si>
  <si>
    <t>REQ-0362</t>
  </si>
  <si>
    <t>The subsystem shall complete, within budget, command &amp; telemetry link behaviour case 362</t>
  </si>
  <si>
    <t>REQ-0363</t>
  </si>
  <si>
    <t>The subsystem shall complete, within budget, flight control interface behaviour case 363</t>
  </si>
  <si>
    <t>REQ-0365</t>
  </si>
  <si>
    <t>The system shall record, for certification, payload release mechanism behaviour case 365</t>
  </si>
  <si>
    <t>REQ-0366</t>
  </si>
  <si>
    <t>The system shall provide ground control software behaviour case 366</t>
  </si>
  <si>
    <t>REQ-0367</t>
  </si>
  <si>
    <t>The interface shall exchange, without loss, navigation &amp; sensor fusion behaviour case 367</t>
  </si>
  <si>
    <t>REQ-0368</t>
  </si>
  <si>
    <t>The system shall record, for certification, flight control interface behaviour case 368</t>
  </si>
  <si>
    <t>REQ-0369</t>
  </si>
  <si>
    <t>The system shall provide flight control interface behaviour case 369</t>
  </si>
  <si>
    <t>REQ-0370</t>
  </si>
  <si>
    <t>The system shall provide command &amp; telemetry link behaviour case 370</t>
  </si>
  <si>
    <t>REQ-0371</t>
  </si>
  <si>
    <t>The interface shall exchange, without loss, command &amp; telemetry link behaviour case 371</t>
  </si>
  <si>
    <t>REQ-0372</t>
  </si>
  <si>
    <t>The payload shall inhibit release when flight control interface behaviour case 372</t>
  </si>
  <si>
    <t>REQ-0373</t>
  </si>
  <si>
    <t>The system shall provide command &amp; telemetry link behaviour case 373</t>
  </si>
  <si>
    <t>REQ-0374</t>
  </si>
  <si>
    <t>The interface shall exchange, without loss, navigation &amp; sensor fusion behaviour case 374</t>
  </si>
  <si>
    <t>REQ-0375</t>
  </si>
  <si>
    <t>The interface shall exchange, without loss, flight control interface behaviour case 375</t>
  </si>
  <si>
    <t>REQ-0376</t>
  </si>
  <si>
    <t>The system shall record, for certification, payload release mechanism behaviour case 376</t>
  </si>
  <si>
    <t>REQ-0377</t>
  </si>
  <si>
    <t>The payload shall inhibit release when flight control interface behaviour case 377</t>
  </si>
  <si>
    <t>REQ-0378</t>
  </si>
  <si>
    <t>The payload shall inhibit release when power management behaviour case 378</t>
  </si>
  <si>
    <t>REQ-0379</t>
  </si>
  <si>
    <t>The system shall provide structural interface behaviour case 379</t>
  </si>
  <si>
    <t>REQ-0380</t>
  </si>
  <si>
    <t>The subsystem shall complete, within budget, payload release mechanism behaviour case 380</t>
  </si>
  <si>
    <t>REQ-0382</t>
  </si>
  <si>
    <t>The payload shall inhibit release when flight control interface behaviour case 382</t>
  </si>
  <si>
    <t>REQ-0383</t>
  </si>
  <si>
    <t>The system shall provide ground control software behaviour case 383</t>
  </si>
  <si>
    <t>REQ-0385</t>
  </si>
  <si>
    <t>The subsystem shall complete, within budget, command &amp; telemetry link behaviour case 385</t>
  </si>
  <si>
    <t>REQ-0386</t>
  </si>
  <si>
    <t>The system shall provide navigation &amp; sensor fusion behaviour case 386</t>
  </si>
  <si>
    <t>REQ-0387</t>
  </si>
  <si>
    <t>The system shall provide navigation &amp; sensor fusion behaviour case 387</t>
  </si>
  <si>
    <t>REQ-0388</t>
  </si>
  <si>
    <t>The subsystem shall complete, within budget, diagnostics &amp; logging behaviour case 388</t>
  </si>
  <si>
    <t>REQ-0389</t>
  </si>
  <si>
    <t>The system shall provide ground control software behaviour case 389</t>
  </si>
  <si>
    <t>REQ-0390</t>
  </si>
  <si>
    <t>The interface shall exchange, without loss, command &amp; telemetry link behaviour case 390</t>
  </si>
  <si>
    <t>REQ-0391</t>
  </si>
  <si>
    <t>The system shall provide power management behaviour case 391</t>
  </si>
  <si>
    <t>REQ-0392</t>
  </si>
  <si>
    <t>The system shall record, for certification, flight control interface behaviour case 392</t>
  </si>
  <si>
    <t>REQ-0393</t>
  </si>
  <si>
    <t>The system shall provide payload release mechanism behaviour case 393</t>
  </si>
  <si>
    <t>REQ-0394</t>
  </si>
  <si>
    <t>The system shall record, for certification, navigation &amp; sensor fusion behaviour case 394</t>
  </si>
  <si>
    <t>REQ-0395</t>
  </si>
  <si>
    <t>The subsystem shall complete, within budget, power management behaviour case 395</t>
  </si>
  <si>
    <t>REQ-0396</t>
  </si>
  <si>
    <t>The subsystem shall complete, within budget, payload release mechanism behaviour case 396</t>
  </si>
  <si>
    <t>REQ-0397</t>
  </si>
  <si>
    <t>The system shall provide payload release mechanism behaviour case 397</t>
  </si>
  <si>
    <t>REQ-0398</t>
  </si>
  <si>
    <t>The subsystem shall complete, within budget, command &amp; telemetry link behaviour case 398</t>
  </si>
  <si>
    <t>REQ-0399</t>
  </si>
  <si>
    <t>The system shall provide diagnostics &amp; logging behaviour case 399</t>
  </si>
  <si>
    <t>REQ-0400</t>
  </si>
  <si>
    <t>The subsystem shall complete, within budget, power management behaviour case 400</t>
  </si>
  <si>
    <t>REQ-0401</t>
  </si>
  <si>
    <t>The interface shall exchange, without loss, payload release mechanism behaviour case 401</t>
  </si>
  <si>
    <t>REQ-0402</t>
  </si>
  <si>
    <t>The system shall provide ground control software behaviour case 402</t>
  </si>
  <si>
    <t>REQ-0403</t>
  </si>
  <si>
    <t>The system shall provide diagnostics &amp; logging behaviour case 403</t>
  </si>
  <si>
    <t>REQ-0404</t>
  </si>
  <si>
    <t>The system shall record, for certification, power management behaviour case 404</t>
  </si>
  <si>
    <t>REQ-0405</t>
  </si>
  <si>
    <t>The subsystem shall complete, within budget, diagnostics &amp; logging behaviour case 405</t>
  </si>
  <si>
    <t>REQ-0406</t>
  </si>
  <si>
    <t>The subsystem shall complete, within budget, payload release mechanism behaviour case 406</t>
  </si>
  <si>
    <t>REQ-0407</t>
  </si>
  <si>
    <t>The interface shall exchange, without loss, flight control interface behaviour case 407</t>
  </si>
  <si>
    <t>REQ-0408</t>
  </si>
  <si>
    <t>The system shall provide navigation &amp; sensor fusion behaviour case 408</t>
  </si>
  <si>
    <t>REQ-0409</t>
  </si>
  <si>
    <t>The system shall provide command &amp; telemetry link behaviour case 409</t>
  </si>
  <si>
    <t>REQ-0410</t>
  </si>
  <si>
    <t>The system shall provide command &amp; telemetry link behaviour case 410</t>
  </si>
  <si>
    <t>REQ-0411</t>
  </si>
  <si>
    <t>The interface shall exchange, without loss, command &amp; telemetry link behaviour case 411</t>
  </si>
  <si>
    <t>REQ-0412</t>
  </si>
  <si>
    <t>The system shall record, for certification, payload release mechanism behaviour case 412</t>
  </si>
  <si>
    <t>REQ-0413</t>
  </si>
  <si>
    <t>The interface shall exchange, without loss, command &amp; telemetry link behaviour case 413</t>
  </si>
  <si>
    <t>REQ-0414</t>
  </si>
  <si>
    <t>The interface shall exchange, without loss, command &amp; telemetry link behaviour case 414</t>
  </si>
  <si>
    <t>REQ-0415</t>
  </si>
  <si>
    <t>The interface shall exchange, without loss, structural interface behaviour case 415</t>
  </si>
  <si>
    <t>REQ-0416</t>
  </si>
  <si>
    <t>The payload shall inhibit release when command &amp; telemetry link behaviour case 416</t>
  </si>
  <si>
    <t>REQ-0417</t>
  </si>
  <si>
    <t>The system shall record, for certification, flight control interface behaviour case 417</t>
  </si>
  <si>
    <t>REQ-0418</t>
  </si>
  <si>
    <t>The system shall provide diagnostics &amp; logging behaviour case 418</t>
  </si>
  <si>
    <t>REQ-0419</t>
  </si>
  <si>
    <t>The interface shall exchange, without loss, diagnostics &amp; logging behaviour case 419</t>
  </si>
  <si>
    <t>REQ-0420</t>
  </si>
  <si>
    <t>The interface shall exchange, without loss, power management behaviour case 420</t>
  </si>
  <si>
    <t>REQ-0421</t>
  </si>
  <si>
    <t>The payload shall inhibit release when navigation &amp; sensor fusion behaviour case 421</t>
  </si>
  <si>
    <t>REQ-0423</t>
  </si>
  <si>
    <t>The payload shall inhibit release when flight control interface behaviour case 423</t>
  </si>
  <si>
    <t>REQ-0424</t>
  </si>
  <si>
    <t>The payload shall inhibit release when structural interface behaviour case 424</t>
  </si>
  <si>
    <t>REQ-0425</t>
  </si>
  <si>
    <t>The subsystem shall complete, within budget, command &amp; telemetry link behaviour case 425</t>
  </si>
  <si>
    <t>REQ-0426</t>
  </si>
  <si>
    <t>The system shall record, for certification, structural interface behaviour case 426</t>
  </si>
  <si>
    <t>REQ-0427</t>
  </si>
  <si>
    <t>The payload shall inhibit release when flight control interface behaviour case 427</t>
  </si>
  <si>
    <t>REQ-0428</t>
  </si>
  <si>
    <t>The interface shall exchange, without loss, ground control software behaviour case 428</t>
  </si>
  <si>
    <t>REQ-0429</t>
  </si>
  <si>
    <t>The payload shall inhibit release when payload release mechanism behaviour case 429</t>
  </si>
  <si>
    <t>REQ-0431</t>
  </si>
  <si>
    <t>The subsystem shall complete, within budget, command &amp; telemetry link behaviour case 431</t>
  </si>
  <si>
    <t>REQ-0432</t>
  </si>
  <si>
    <t>The system shall provide diagnostics &amp; logging behaviour case 432</t>
  </si>
  <si>
    <t>REQ-0433</t>
  </si>
  <si>
    <t>The interface shall exchange, without loss, power management behaviour case 433</t>
  </si>
  <si>
    <t>REQ-0434</t>
  </si>
  <si>
    <t>The payload shall inhibit release when structural interface behaviour case 434</t>
  </si>
  <si>
    <t>REQ-0435</t>
  </si>
  <si>
    <t>The system shall record, for certification, power management behaviour case 435</t>
  </si>
  <si>
    <t>REQ-0436</t>
  </si>
  <si>
    <t>The interface shall exchange, without loss, power management behaviour case 436</t>
  </si>
  <si>
    <t>REQ-0437</t>
  </si>
  <si>
    <t>The subsystem shall complete, within budget, power management behaviour case 437</t>
  </si>
  <si>
    <t>REQ-0438</t>
  </si>
  <si>
    <t>The system shall provide flight control interface behaviour case 438</t>
  </si>
  <si>
    <t>REQ-0439</t>
  </si>
  <si>
    <t>The payload shall inhibit release when payload release mechanism behaviour case 439</t>
  </si>
  <si>
    <t>REQ-0440</t>
  </si>
  <si>
    <t>The subsystem shall complete, within budget, navigation &amp; sensor fusion behaviour case 440</t>
  </si>
  <si>
    <t>REQ-0441</t>
  </si>
  <si>
    <t>The system shall provide power management behaviour case 441</t>
  </si>
  <si>
    <t>REQ-0442</t>
  </si>
  <si>
    <t>The payload shall inhibit release when payload release mechanism behaviour case 442</t>
  </si>
  <si>
    <t>REQ-0443</t>
  </si>
  <si>
    <t>The system shall provide command &amp; telemetry link behaviour case 443</t>
  </si>
  <si>
    <t>REQ-0444</t>
  </si>
  <si>
    <t>The payload shall inhibit release when navigation &amp; sensor fusion behaviour case 444</t>
  </si>
  <si>
    <t>REQ-0445</t>
  </si>
  <si>
    <t>The system shall provide power management behaviour case 445</t>
  </si>
  <si>
    <t>REQ-0446</t>
  </si>
  <si>
    <t>The interface shall exchange, without loss, payload release mechanism behaviour case 446</t>
  </si>
  <si>
    <t>REQ-0447</t>
  </si>
  <si>
    <t>The interface shall exchange, without loss, navigation &amp; sensor fusion behaviour case 447</t>
  </si>
  <si>
    <t>REQ-0448</t>
  </si>
  <si>
    <t>The subsystem shall complete, within budget, power management behaviour case 448</t>
  </si>
  <si>
    <t>REQ-0449</t>
  </si>
  <si>
    <t>The payload shall inhibit release when payload release mechanism behaviour case 449</t>
  </si>
  <si>
    <t>REQ-0450</t>
  </si>
  <si>
    <t>The system shall provide diagnostics &amp; logging behaviour case 450</t>
  </si>
  <si>
    <t>REQ-0451</t>
  </si>
  <si>
    <t>The system shall provide diagnostics &amp; logging behaviour case 451</t>
  </si>
  <si>
    <t>REQ-0452</t>
  </si>
  <si>
    <t>The system shall record, for certification, power management behaviour case 452</t>
  </si>
  <si>
    <t>REQ-0453</t>
  </si>
  <si>
    <t>The system shall provide power management behaviour case 453</t>
  </si>
  <si>
    <t>REQ-0454</t>
  </si>
  <si>
    <t>The interface shall exchange, without loss, payload release mechanism behaviour case 454</t>
  </si>
  <si>
    <t>REQ-0455</t>
  </si>
  <si>
    <t>The subsystem shall complete, within budget, command &amp; telemetry link behaviour case 455</t>
  </si>
  <si>
    <t>REQ-0456</t>
  </si>
  <si>
    <t>The subsystem shall complete, within budget, command &amp; telemetry link behaviour case 456</t>
  </si>
  <si>
    <t>REQ-0457</t>
  </si>
  <si>
    <t>The system shall record, for certification, power management behaviour case 457</t>
  </si>
  <si>
    <t>REQ-0458</t>
  </si>
  <si>
    <t>The system shall provide navigation &amp; sensor fusion behaviour case 458</t>
  </si>
  <si>
    <t>REQ-0459</t>
  </si>
  <si>
    <t>The system shall provide power management behaviour case 459</t>
  </si>
  <si>
    <t>REQ-0460</t>
  </si>
  <si>
    <t>The subsystem shall complete, within budget, navigation &amp; sensor fusion behaviour case 460</t>
  </si>
  <si>
    <t>REQ-0461</t>
  </si>
  <si>
    <t>The system shall provide power management behaviour case 461</t>
  </si>
  <si>
    <t>REQ-0462</t>
  </si>
  <si>
    <t>The subsystem shall complete, within budget, command &amp; telemetry link behaviour case 462</t>
  </si>
  <si>
    <t>REQ-0463</t>
  </si>
  <si>
    <t>The payload shall inhibit release when flight control interface behaviour case 463</t>
  </si>
  <si>
    <t>REQ-0464</t>
  </si>
  <si>
    <t>The system shall record, for certification, power management behaviour case 464</t>
  </si>
  <si>
    <t>REQ-0465</t>
  </si>
  <si>
    <t>The system shall provide navigation &amp; sensor fusion behaviour case 465</t>
  </si>
  <si>
    <t>REQ-0466</t>
  </si>
  <si>
    <t>The system shall provide payload release mechanism behaviour case 466</t>
  </si>
  <si>
    <t>REQ-0467</t>
  </si>
  <si>
    <t>The system shall record, for certification, flight control interface behaviour case 467</t>
  </si>
  <si>
    <t>REQ-0468</t>
  </si>
  <si>
    <t>The system shall provide ground control software behaviour case 468</t>
  </si>
  <si>
    <t>REQ-0469</t>
  </si>
  <si>
    <t>The payload shall inhibit release when payload release mechanism behaviour case 469</t>
  </si>
  <si>
    <t>REQ-0470</t>
  </si>
  <si>
    <t>The interface shall exchange, without loss, power management behaviour case 470</t>
  </si>
  <si>
    <t>REQ-0471</t>
  </si>
  <si>
    <t>The system shall provide command &amp; telemetry link behaviour case 471</t>
  </si>
  <si>
    <t>REQ-0472</t>
  </si>
  <si>
    <t>The payload shall inhibit release when flight control interface behaviour case 472</t>
  </si>
  <si>
    <t>REQ-0473</t>
  </si>
  <si>
    <t>The system shall provide payload release mechanism behaviour case 473</t>
  </si>
  <si>
    <t>REQ-0474</t>
  </si>
  <si>
    <t>The interface shall exchange, without loss, diagnostics &amp; logging behaviour case 474</t>
  </si>
  <si>
    <t>REQ-0475</t>
  </si>
  <si>
    <t>The subsystem shall complete, within budget, payload release mechanism behaviour case 475</t>
  </si>
  <si>
    <t>REQ-0476</t>
  </si>
  <si>
    <t>The system shall provide power management behaviour case 476</t>
  </si>
  <si>
    <t>REQ-0477</t>
  </si>
  <si>
    <t>The system shall provide ground control software behaviour case 477</t>
  </si>
  <si>
    <t>REQ-0478</t>
  </si>
  <si>
    <t>The subsystem shall complete, within budget, flight control interface behaviour case 478</t>
  </si>
  <si>
    <t>REQ-0479</t>
  </si>
  <si>
    <t>The interface shall exchange, without loss, command &amp; telemetry link behaviour case 479</t>
  </si>
  <si>
    <t>REQ-0480</t>
  </si>
  <si>
    <t>The system shall provide power management behaviour case 480</t>
  </si>
  <si>
    <t>REQ-0481</t>
  </si>
  <si>
    <t>The system shall provide payload release mechanism behaviour case 481</t>
  </si>
  <si>
    <t>REQ-0482</t>
  </si>
  <si>
    <t>The interface shall exchange, without loss, ground control software behaviour case 482</t>
  </si>
  <si>
    <t>REQ-0483</t>
  </si>
  <si>
    <t>The system shall provide command &amp; telemetry link behaviour case 483</t>
  </si>
  <si>
    <t>REQ-0484</t>
  </si>
  <si>
    <t>The interface shall exchange, without loss, diagnostics &amp; logging behaviour case 484</t>
  </si>
  <si>
    <t>REQ-0485</t>
  </si>
  <si>
    <t>The subsystem shall complete, within budget, flight control interface behaviour case 485</t>
  </si>
  <si>
    <t>REQ-0486</t>
  </si>
  <si>
    <t>The interface shall exchange, without loss, power management behaviour case 486</t>
  </si>
  <si>
    <t>REQ-0487</t>
  </si>
  <si>
    <t>The subsystem shall complete, within budget, ground control software behaviour case 487</t>
  </si>
  <si>
    <t>REQ-0488</t>
  </si>
  <si>
    <t>The payload shall inhibit release when payload release mechanism behaviour case 488</t>
  </si>
  <si>
    <t>REQ-0489</t>
  </si>
  <si>
    <t>The system shall provide navigation &amp; sensor fusion behaviour case 489</t>
  </si>
  <si>
    <t>REQ-0490</t>
  </si>
  <si>
    <t>The system shall provide navigation &amp; sensor fusion behaviour case 490</t>
  </si>
  <si>
    <t>REQ-0491</t>
  </si>
  <si>
    <t>The system shall provide diagnostics &amp; logging behaviour case 491</t>
  </si>
  <si>
    <t>REQ-0492</t>
  </si>
  <si>
    <t>The system shall provide ground control software behaviour case 492</t>
  </si>
  <si>
    <t>REQ-0493</t>
  </si>
  <si>
    <t>The payload shall inhibit release when payload release mechanism behaviour case 493</t>
  </si>
  <si>
    <t>REQ-0494</t>
  </si>
  <si>
    <t>The system shall provide power management behaviour case 494</t>
  </si>
  <si>
    <t>REQ-0495</t>
  </si>
  <si>
    <t>The system shall provide payload release mechanism behaviour case 495</t>
  </si>
  <si>
    <t>REQ-0496</t>
  </si>
  <si>
    <t>The payload shall inhibit release when navigation &amp; sensor fusion behaviour case 496</t>
  </si>
  <si>
    <t>REQ-0497</t>
  </si>
  <si>
    <t>The interface shall exchange, without loss, payload release mechanism behaviour case 497</t>
  </si>
  <si>
    <t>REQ-0498</t>
  </si>
  <si>
    <t>The interface shall exchange, without loss, command &amp; telemetry link behaviour case 498</t>
  </si>
  <si>
    <t>REQ-0499</t>
  </si>
  <si>
    <t>The system shall provide payload release mechanism behaviour case 499</t>
  </si>
  <si>
    <t>REQ-0500</t>
  </si>
  <si>
    <t>The system shall provide navigation &amp; sensor fusion behaviour case 500</t>
  </si>
  <si>
    <t>REQ-0501</t>
  </si>
  <si>
    <t>The subsystem shall complete, within budget, flight control interface behaviour case 501</t>
  </si>
  <si>
    <t>REQ-0502</t>
  </si>
  <si>
    <t>The subsystem shall complete, within budget, payload release mechanism behaviour case 502</t>
  </si>
  <si>
    <t>REQ-0503</t>
  </si>
  <si>
    <t>The system shall record, for certification, structural interface behaviour case 503</t>
  </si>
  <si>
    <t>REQ-0504</t>
  </si>
  <si>
    <t>The system shall provide command &amp; telemetry link behaviour case 504</t>
  </si>
  <si>
    <t>REQ-0505</t>
  </si>
  <si>
    <t>The system shall provide flight control interface behaviour case 505</t>
  </si>
  <si>
    <t>REQ-0506</t>
  </si>
  <si>
    <t>The interface shall exchange, without loss, command &amp; telemetry link behaviour case 506</t>
  </si>
  <si>
    <t>REQ-0507</t>
  </si>
  <si>
    <t>The interface shall exchange, without loss, ground control software behaviour case 507</t>
  </si>
  <si>
    <t>REQ-0508</t>
  </si>
  <si>
    <t>The system shall provide diagnostics &amp; logging behaviour case 508</t>
  </si>
  <si>
    <t>REQ-0509</t>
  </si>
  <si>
    <t>The system shall provide power management behaviour case 509</t>
  </si>
  <si>
    <t>REQ-0510</t>
  </si>
  <si>
    <t>The interface shall exchange, without loss, ground control software behaviour case 510</t>
  </si>
  <si>
    <t>REQ-0511</t>
  </si>
  <si>
    <t>The interface shall exchange, without loss, power management behaviour case 511</t>
  </si>
  <si>
    <t>REQ-0512</t>
  </si>
  <si>
    <t>The system shall provide diagnostics &amp; logging behaviour case 512</t>
  </si>
  <si>
    <t>REQ-0514</t>
  </si>
  <si>
    <t>The payload shall inhibit release when flight control interface behaviour case 514</t>
  </si>
  <si>
    <t>REQ-0515</t>
  </si>
  <si>
    <t>The payload shall inhibit release when payload release mechanism behaviour case 515</t>
  </si>
  <si>
    <t>REQ-0516</t>
  </si>
  <si>
    <t>The system shall provide ground control software behaviour case 516</t>
  </si>
  <si>
    <t>REQ-0517</t>
  </si>
  <si>
    <t>The subsystem shall complete, within budget, payload release mechanism behaviour case 517</t>
  </si>
  <si>
    <t>REQ-0518</t>
  </si>
  <si>
    <t>The system shall provide payload release mechanism behaviour case 518</t>
  </si>
  <si>
    <t>REQ-0519</t>
  </si>
  <si>
    <t>The system shall provide ground control software behaviour case 519</t>
  </si>
  <si>
    <t>REQ-0520</t>
  </si>
  <si>
    <t>The system shall provide navigation &amp; sensor fusion behaviour case 520</t>
  </si>
  <si>
    <t>REQ-0521</t>
  </si>
  <si>
    <t>The payload shall inhibit release when payload release mechanism behaviour case 521</t>
  </si>
  <si>
    <t>REQ-0522</t>
  </si>
  <si>
    <t>The subsystem shall complete, within budget, flight control interface behaviour case 522</t>
  </si>
  <si>
    <t>REQ-0523</t>
  </si>
  <si>
    <t>The payload shall inhibit release when payload release mechanism behaviour case 523</t>
  </si>
  <si>
    <t>REQ-0524</t>
  </si>
  <si>
    <t>The system shall provide navigation &amp; sensor fusion behaviour case 524</t>
  </si>
  <si>
    <t>REQ-0525</t>
  </si>
  <si>
    <t>The interface shall exchange, without loss, command &amp; telemetry link behaviour case 525</t>
  </si>
  <si>
    <t>REQ-0526</t>
  </si>
  <si>
    <t>The system shall provide diagnostics &amp; logging behaviour case 526</t>
  </si>
  <si>
    <t>REQ-0527</t>
  </si>
  <si>
    <t>The system shall provide ground control software behaviour case 527</t>
  </si>
  <si>
    <t>REQ-0528</t>
  </si>
  <si>
    <t>The payload shall inhibit release when flight control interface behaviour case 528</t>
  </si>
  <si>
    <t>REQ-0529</t>
  </si>
  <si>
    <t>The subsystem shall complete, within budget, navigation &amp; sensor fusion behaviour case 529</t>
  </si>
  <si>
    <t>REQ-0530</t>
  </si>
  <si>
    <t>The interface shall exchange, without loss, diagnostics &amp; logging behaviour case 530</t>
  </si>
  <si>
    <t>REQ-0531</t>
  </si>
  <si>
    <t>The payload shall inhibit release when flight control interface behaviour case 531</t>
  </si>
  <si>
    <t>REQ-0532</t>
  </si>
  <si>
    <t>The subsystem shall complete, within budget, navigation &amp; sensor fusion behaviour case 532</t>
  </si>
  <si>
    <t>REQ-0533</t>
  </si>
  <si>
    <t>The system shall provide navigation &amp; sensor fusion behaviour case 533</t>
  </si>
  <si>
    <t>REQ-0534</t>
  </si>
  <si>
    <t>The system shall provide power management behaviour case 534</t>
  </si>
  <si>
    <t>REQ-0537</t>
  </si>
  <si>
    <t>The payload shall inhibit release when command &amp; telemetry link behaviour case 537</t>
  </si>
  <si>
    <t>REQ-0538</t>
  </si>
  <si>
    <t>The system shall provide diagnostics &amp; logging behaviour case 538</t>
  </si>
  <si>
    <t>REQ-0539</t>
  </si>
  <si>
    <t>The interface shall exchange, without loss, ground control software behaviour case 539</t>
  </si>
  <si>
    <t>REQ-0540</t>
  </si>
  <si>
    <t>The system shall provide flight control interface behaviour case 540</t>
  </si>
  <si>
    <t>PriorityRank</t>
  </si>
  <si>
    <t>OwnerID</t>
  </si>
  <si>
    <t>OwnerName</t>
  </si>
  <si>
    <t>OwnerTeam</t>
  </si>
  <si>
    <t>Cases</t>
  </si>
  <si>
    <t>RigHours</t>
  </si>
  <si>
    <t>AirframeHours</t>
  </si>
  <si>
    <t>TestMinutes</t>
  </si>
  <si>
    <t>CumulativeRigHours</t>
  </si>
  <si>
    <t>PriorityScore</t>
  </si>
  <si>
    <t>ActionCode</t>
  </si>
  <si>
    <t>NeedsNewCase</t>
  </si>
  <si>
    <t>IsThisWeek</t>
  </si>
  <si>
    <t>RecommendedAction</t>
  </si>
  <si>
    <t>P-009</t>
  </si>
  <si>
    <t>Imani Petrovic</t>
  </si>
  <si>
    <t>Avionics</t>
  </si>
  <si>
    <t>REVIEW_THEN_RERUN</t>
  </si>
  <si>
    <t>The requirement itself was modified after it was verified. Confirm the test still checks the right thing, then re-run -- re-running first risks certifying against the old wording.</t>
  </si>
  <si>
    <t>P-007</t>
  </si>
  <si>
    <t>Grace Baptiste</t>
  </si>
  <si>
    <t>Integration &amp; Test</t>
  </si>
  <si>
    <t>P-019</t>
  </si>
  <si>
    <t>Sana Nakamura</t>
  </si>
  <si>
    <t>P-021</t>
  </si>
  <si>
    <t>Ulrike Dalgleish</t>
  </si>
  <si>
    <t>VERIFY</t>
  </si>
  <si>
    <t>No passing evidence exists. Write and run the test before the gate review; this is not a re-run, it is first-time verification.</t>
  </si>
  <si>
    <t>P-001</t>
  </si>
  <si>
    <t>Aditi Halvorsen</t>
  </si>
  <si>
    <t>P-011</t>
  </si>
  <si>
    <t>Katya Fairweather</t>
  </si>
  <si>
    <t>P-008</t>
  </si>
  <si>
    <t>Hiroshi Ibarra</t>
  </si>
  <si>
    <t>Payload</t>
  </si>
  <si>
    <t>RERUN</t>
  </si>
  <si>
    <t>Evidence was valid at build 59 but the subsystem has changed in 21 builds since. Re-run on the release candidate.</t>
  </si>
  <si>
    <t>P-017</t>
  </si>
  <si>
    <t>Quentin Zielinski</t>
  </si>
  <si>
    <t>Evidence was valid at build 55 but the subsystem has changed in 22 builds since. Re-run on the release candidate.</t>
  </si>
  <si>
    <t>P-005</t>
  </si>
  <si>
    <t>Elena Lindqvist</t>
  </si>
  <si>
    <t>Evidence was valid at build 67 but the subsystem has changed in 15 builds since. Re-run on the release candidate.</t>
  </si>
  <si>
    <t>P-006</t>
  </si>
  <si>
    <t>Farid Saltzman</t>
  </si>
  <si>
    <t>Ground Segment</t>
  </si>
  <si>
    <t>Evidence was valid at build 42 but the subsystem has changed in 27 builds since. Re-run on the release candidate.</t>
  </si>
  <si>
    <t>P-016</t>
  </si>
  <si>
    <t>Priya Quintana</t>
  </si>
  <si>
    <t>Evidence was valid at build 41 but the subsystem has changed in 25 builds since. Re-run on the release candidate.</t>
  </si>
  <si>
    <t>Evidence was valid at build 66 but the subsystem has changed in 16 builds since. Re-run on the release candidate.</t>
  </si>
  <si>
    <t>Evidence was valid at build 68 but the subsystem has changed in 14 builds since. Re-run on the release candidate.</t>
  </si>
  <si>
    <t>P-003</t>
  </si>
  <si>
    <t>Camille Villalobos</t>
  </si>
  <si>
    <t>Evidence was valid at build 40 but the subsystem has changed in 25 builds since. Re-run on the release candidate.</t>
  </si>
  <si>
    <t>Evidence was valid at build 51 but the subsystem has changed in 23 builds since. Re-run on the release candidate.</t>
  </si>
  <si>
    <t>P-004</t>
  </si>
  <si>
    <t>Dmitri Eriksen</t>
  </si>
  <si>
    <t>Evidence was valid at build 49 but the subsystem has changed in 22 builds since. Re-run on the release candidate.</t>
  </si>
  <si>
    <t>Evidence was valid at build 30 but the subsystem has changed in 33 builds since. Re-run on the release candidate.</t>
  </si>
  <si>
    <t>Evidence was valid at build 54 but the subsystem has changed in 22 builds since. Re-run on the release candidate.</t>
  </si>
  <si>
    <t>P-010</t>
  </si>
  <si>
    <t>Jonas Weatherby</t>
  </si>
  <si>
    <t>Evidence was valid at build 29 but the subsystem has changed in 33 builds since. Re-run on the release candidate.</t>
  </si>
  <si>
    <t>Evidence was valid at build 32 but the subsystem has changed in 33 builds since. Re-run on the release candidate.</t>
  </si>
  <si>
    <t>P-014</t>
  </si>
  <si>
    <t>Nils Castellan</t>
  </si>
  <si>
    <t>Evidence was valid at build 64 but the subsystem has changed in 18 builds since. Re-run on the release candidate.</t>
  </si>
  <si>
    <t>P-018</t>
  </si>
  <si>
    <t>Rafael Grigorescu</t>
  </si>
  <si>
    <t>Evidence was valid at build 53 but the subsystem has changed in 22 builds since. Re-run on the release candidate.</t>
  </si>
  <si>
    <t>Evidence was valid at build 71 but the subsystem has changed in 12 builds since. Re-run on the release candidate.</t>
  </si>
  <si>
    <t>Evidence was valid at build 65 but the subsystem has changed in 16 builds since. Re-run on the release candidate.</t>
  </si>
  <si>
    <t>P-013</t>
  </si>
  <si>
    <t>Mei Thackeray</t>
  </si>
  <si>
    <t>P-020</t>
  </si>
  <si>
    <t>Tomas Ustinov</t>
  </si>
  <si>
    <t>Evidence was valid at build 36 but the subsystem has changed in 28 builds since. Re-run on the release candidate.</t>
  </si>
  <si>
    <t>P-012</t>
  </si>
  <si>
    <t>Liam Moreau</t>
  </si>
  <si>
    <t>Evidence was valid at build 51 but the subsystem has changed in 22 builds since. Re-run on the release candidate.</t>
  </si>
  <si>
    <t>P-015</t>
  </si>
  <si>
    <t>Olabisi Jindal</t>
  </si>
  <si>
    <t>Evidence was valid at build 44 but the subsystem has changed in 26 builds since. Re-run on the release candidate.</t>
  </si>
  <si>
    <t>Evidence was valid at build 63 but the subsystem has changed in 18 builds since. Re-run on the release candidate.</t>
  </si>
  <si>
    <t>Evidence was valid at build 34 but the subsystem has changed in 31 builds since. Re-run on the release candidate.</t>
  </si>
  <si>
    <t>Evidence was valid at build 35 but the subsystem has changed in 28 builds since. Re-run on the release candidate.</t>
  </si>
  <si>
    <t>Evidence was valid at build 69 but the subsystem has changed in 14 builds since. Re-run on the release candidate.</t>
  </si>
  <si>
    <t>Evidence was valid at build 60 but the subsystem has changed in 20 builds since. Re-run on the release candidate.</t>
  </si>
  <si>
    <t>Evidence was valid at build 31 but the subsystem has changed in 29 builds since. Re-run on the release candidate.</t>
  </si>
  <si>
    <t>Evidence was valid at build 37 but the subsystem has changed in 29 builds since. Re-run on the release candidate.</t>
  </si>
  <si>
    <t>Evidence was valid at build 33 but the subsystem has changed in 32 builds since. Re-run on the release candidate.</t>
  </si>
  <si>
    <t>RAISE_TEST_LEVEL</t>
  </si>
  <si>
    <t>Passing evidence sits below the Integration level this requirement type demands, and a lower-level pass is not admissible. No Integration-level test exists yet: write one and run it against real neighbours; no rig time is needed.</t>
  </si>
  <si>
    <t>Passing evidence sits below the HIL level this requirement type demands, and a lower-level pass is not admissible. Run its tests at or above that level on the rig.</t>
  </si>
  <si>
    <t>Passing evidence sits below the HIL level this requirement type demands, and a lower-level pass is not admissible. No HIL-level test exists yet: write one and run it on the rig.</t>
  </si>
  <si>
    <t>P-002</t>
  </si>
  <si>
    <t>Bruno Oyelaran</t>
  </si>
  <si>
    <t>INDEPENDENT_WITNESS</t>
  </si>
  <si>
    <t>Verified by its own owner at build 57, and the subsystem or the requirement has changed since. Re-run it on the release candidate witnessed by a second engineer; a countersignature now would certify superseded evidence.</t>
  </si>
  <si>
    <t>Passing evidence sits below the Field level this requirement type demands, and a lower-level pass is not admissible. No Field-level test exists yet: write one and run it on the airframe -- a flight slot, not rig time.</t>
  </si>
  <si>
    <t>Passing evidence sits below the Field level this requirement type demands, and a lower-level pass is not admissible. Run its tests at or above that level on the airframe -- a flight slot, not rig time.</t>
  </si>
  <si>
    <t>Evidence was valid at build 28 but the subsystem has changed in 10 builds since. Re-run on the release candidate.</t>
  </si>
  <si>
    <t>Evidence was valid at build 31 but the subsystem has changed in 9 builds since. Re-run on the release candidate.</t>
  </si>
  <si>
    <t>Evidence was valid at build 60 but the subsystem has changed in 2 builds since. Re-run on the release candidate.</t>
  </si>
  <si>
    <t>Evidence was valid at build 33 but the subsystem has changed in 13 builds since. Re-run on the release candidate.</t>
  </si>
  <si>
    <t>Evidence was valid at build 30 but the subsystem has changed in 14 builds since. Re-run on the release candidate.</t>
  </si>
  <si>
    <t>Evidence was valid at build 39 but the subsystem has changed in 12 builds since. Re-run on the release candidate.</t>
  </si>
  <si>
    <t>Verified by its own owner against a policy requiring independence. Nothing has changed since that pass, so a second engineer reviews and countersigns it; no re-execution and no rig time.</t>
  </si>
  <si>
    <t>Passing evidence sits below the Integration level this requirement type demands, and a lower-level pass is not admissible. Run its tests at or above that level on the rig.</t>
  </si>
  <si>
    <t>Evidence was valid at build 41 but the subsystem has changed in 10 builds since. Re-run on the release candidate.</t>
  </si>
  <si>
    <t>Evidence was valid at build 64 but the subsystem has changed in 1 builds since. Re-run on the release candidate.</t>
  </si>
  <si>
    <t>Evidence was valid at build 39 but the subsystem has changed in 4 builds since. Re-run on the release candidate.</t>
  </si>
  <si>
    <t>Evidence was valid at build 42 but the subsystem has changed in 4 builds since. Re-run on the release candidate.</t>
  </si>
  <si>
    <t>Evidence was valid at build 29 but the subsystem has changed in 11 builds since. Re-run on the release candidate.</t>
  </si>
  <si>
    <t>Evidence was valid at build 39 but the subsystem has changed in 9 builds since. Re-run on the release candidate.</t>
  </si>
  <si>
    <t>Evidence was valid at build 50 but the subsystem has changed in 7 builds since. Re-run on the release candidate.</t>
  </si>
  <si>
    <t>Evidence was valid at build 31 but the subsystem has changed in 10 builds since. Re-run on the release candidate.</t>
  </si>
  <si>
    <t>Evidence was valid at build 43 but the subsystem has changed in 27 builds since. Re-run on the release candidate.</t>
  </si>
  <si>
    <t>Evidence was valid at build 64 but the subsystem has changed in 17 builds since. Re-run on the release candidate.</t>
  </si>
  <si>
    <t>Evidence was valid at build 62 but the subsystem has changed in 19 builds since. Re-run on the release candidate.</t>
  </si>
  <si>
    <t>Evidence was valid at build 61 but the subsystem has changed in 20 builds since. Re-run on the release candidate.</t>
  </si>
  <si>
    <t>Evidence was valid at build 70 but the subsystem has changed in 13 builds since. Re-run on the release candidate.</t>
  </si>
  <si>
    <t>Evidence was valid at build 38 but the subsystem has changed in 27 builds since. Re-run on the release candidate.</t>
  </si>
  <si>
    <t>Evidence was valid at build 57 but the subsystem has changed in 22 builds since. Re-run on the release candidate.</t>
  </si>
  <si>
    <t>Evidence was valid at build 36 but the subsystem has changed in 30 builds since. Re-run on the release candidate.</t>
  </si>
  <si>
    <t>Evidence was valid at build 44 but the subsystem has changed in 24 builds since. Re-run on the release candidate.</t>
  </si>
  <si>
    <t>Evidence was valid at build 49 but the subsystem has changed in 24 builds since. Re-run on the release candidate.</t>
  </si>
  <si>
    <t>Passing evidence sits below the Integration level this requirement type demands, and a lower-level pass is not admissible. Run its tests at or above that level against real neighbours; no rig time is needed.</t>
  </si>
  <si>
    <t>Evidence was valid at build 70 but the subsystem has changed in 2 builds since. Re-run on the release candidate.</t>
  </si>
  <si>
    <t>Evidence was valid at build 33 but the subsystem has changed in 12 builds since. Re-run on the release candidate.</t>
  </si>
  <si>
    <t>Evidence was valid at build 65 but the subsystem has changed in 17 builds since. Re-run on the release candidate.</t>
  </si>
  <si>
    <t>Evidence was valid at build 34 but the subsystem has changed in 28 builds since. Re-run on the release candidate.</t>
  </si>
  <si>
    <t>Evidence was valid at build 63 but the subsystem has changed in 2 builds since. Re-run on the release candidate.</t>
  </si>
  <si>
    <t>Evidence was valid at build 54 but the subsystem has changed in 5 builds since. Re-run on the release candidate.</t>
  </si>
  <si>
    <t>Evidence was valid at build 32 but the subsystem has changed in 4 builds since. Re-run on the release candidate.</t>
  </si>
  <si>
    <t>Evidence was valid at build 58 but the subsystem has changed in 5 builds since. Re-run on the release candidate.</t>
  </si>
  <si>
    <t>Evidence was valid at build 69 but the subsystem has changed in 2 builds since. Re-run on the release candidate.</t>
  </si>
  <si>
    <t>Evidence was valid at build 49 but the subsystem has changed in 6 builds since. Re-run on the release candidate.</t>
  </si>
  <si>
    <t>Evidence was valid at build 67 but the subsystem has changed in 2 builds since. Re-run on the release candidate.</t>
  </si>
  <si>
    <t>Evidence was valid at build 46 but the subsystem has changed in 2 builds since. Re-run on the release candidate.</t>
  </si>
  <si>
    <t>Evidence was valid at build 48 but the subsystem has changed in 2 builds since. Re-run on the release candidate.</t>
  </si>
  <si>
    <t>RequiresHILRig</t>
  </si>
  <si>
    <t>Requirements</t>
  </si>
  <si>
    <t>CurrentAll</t>
  </si>
  <si>
    <t>CurrentMustShip</t>
  </si>
  <si>
    <t>NoEvidence</t>
  </si>
  <si>
    <t>Insufficient</t>
  </si>
  <si>
    <t>StaleByReq</t>
  </si>
  <si>
    <t>ReadinessPct</t>
  </si>
  <si>
    <t>BuildsChanged</t>
  </si>
  <si>
    <t>LinesChanged</t>
  </si>
  <si>
    <t>LastChangeBuild</t>
  </si>
  <si>
    <t>RigHoursOutstanding</t>
  </si>
  <si>
    <t>AirframeHoursOutstanding</t>
  </si>
  <si>
    <t>AsOfDate</t>
  </si>
  <si>
    <t>MustShipCount</t>
  </si>
  <si>
    <t>WorkItemCompletionPct</t>
  </si>
  <si>
    <t>VerificationCoveragePct</t>
  </si>
  <si>
    <t>ShipReadinessPct</t>
  </si>
  <si>
    <t>StaleVerificationPct</t>
  </si>
  <si>
    <t>PolicyCompliancePct</t>
  </si>
  <si>
    <t>NoEvidenceCount</t>
  </si>
  <si>
    <t>InsufficientCount</t>
  </si>
  <si>
    <t>StaleCount</t>
  </si>
  <si>
    <t>CurrentCount</t>
  </si>
  <si>
    <t>BlockedTestPct</t>
  </si>
  <si>
    <t>CriticalRAIDOpen</t>
  </si>
  <si>
    <t>OverdueRAIDPct</t>
  </si>
  <si>
    <t>TotalRAIDExposure</t>
  </si>
  <si>
    <t>BuildNumber</t>
  </si>
  <si>
    <t>BuildID</t>
  </si>
  <si>
    <t>BuildDate</t>
  </si>
  <si>
    <t>ReadinessGapVsReported</t>
  </si>
  <si>
    <t>B-040</t>
  </si>
  <si>
    <t>B-044</t>
  </si>
  <si>
    <t>B-048</t>
  </si>
  <si>
    <t>B-052</t>
  </si>
  <si>
    <t>B-056</t>
  </si>
  <si>
    <t>B-060</t>
  </si>
  <si>
    <t>B-064</t>
  </si>
  <si>
    <t>B-068</t>
  </si>
  <si>
    <t>B-072</t>
  </si>
  <si>
    <t>B-076</t>
  </si>
  <si>
    <t>B-080</t>
  </si>
  <si>
    <t>B-084</t>
  </si>
  <si>
    <t>B-088</t>
  </si>
  <si>
    <t>RAIDID</t>
  </si>
  <si>
    <t>RAIDType</t>
  </si>
  <si>
    <t>RaisedDate</t>
  </si>
  <si>
    <t>DueDate</t>
  </si>
  <si>
    <t>ClosedDate</t>
  </si>
  <si>
    <t>Probability</t>
  </si>
  <si>
    <t>Impact</t>
  </si>
  <si>
    <t>ExposureScore</t>
  </si>
  <si>
    <t>ExposureBand</t>
  </si>
  <si>
    <t>RAIDStatus</t>
  </si>
  <si>
    <t>IsOpen</t>
  </si>
  <si>
    <t>IsOverdue</t>
  </si>
  <si>
    <t>DaysOverdue</t>
  </si>
  <si>
    <t>AgeDays</t>
  </si>
  <si>
    <t>MitigationNote</t>
  </si>
  <si>
    <t>RAID-041</t>
  </si>
  <si>
    <t>Issue</t>
  </si>
  <si>
    <t>Issue on Power Management: rig availability is below the rate needed to clear outstanding verification</t>
  </si>
  <si>
    <t>Critical</t>
  </si>
  <si>
    <t>Closed</t>
  </si>
  <si>
    <t>Closed: mitigation completed and evidence attached to the verification record.</t>
  </si>
  <si>
    <t>RAID-045</t>
  </si>
  <si>
    <t>Issue on Payload Release Mechanism: rig availability is below the rate needed to clear outstanding verification</t>
  </si>
  <si>
    <t>Open</t>
  </si>
  <si>
    <t>Open: no mitigation started. Requires a decision at the next programme board.</t>
  </si>
  <si>
    <t>RAID-055</t>
  </si>
  <si>
    <t>Risk</t>
  </si>
  <si>
    <t>Risk on Payload Release Mechanism: late design change may invalidate completed qualification evidence</t>
  </si>
  <si>
    <t>RAID-061</t>
  </si>
  <si>
    <t>Issue on Command &amp; Telemetry Link: rig availability is below the rate needed to clear outstanding verification</t>
  </si>
  <si>
    <t>RAID-083</t>
  </si>
  <si>
    <t>Dependency</t>
  </si>
  <si>
    <t>Dependency on Power Management: awaiting supplier confirmation before verification can close</t>
  </si>
  <si>
    <t>RAID-091</t>
  </si>
  <si>
    <t>Risk on Power Management: late design change may invalidate completed qualification evidence</t>
  </si>
  <si>
    <t>RAID-032</t>
  </si>
  <si>
    <t>Risk on Diagnostics &amp; Logging: late design change may invalidate completed qualification evidence</t>
  </si>
  <si>
    <t>Mitigating</t>
  </si>
  <si>
    <t>Mitigation in progress; owner reporting weekly to the programme board.</t>
  </si>
  <si>
    <t>RAID-075</t>
  </si>
  <si>
    <t>Assumption</t>
  </si>
  <si>
    <t>Assumption on Command &amp; Telemetry Link: assumed unchanged from the previous airframe, not yet confirmed</t>
  </si>
  <si>
    <t>RAID-086</t>
  </si>
  <si>
    <t>Dependency on Structural Interface: awaiting supplier confirmation before verification can close</t>
  </si>
  <si>
    <t>RAID-051</t>
  </si>
  <si>
    <t>Risk on Flight Control Interface: late design change may invalidate completed qualification evidence</t>
  </si>
  <si>
    <t>RAID-090</t>
  </si>
  <si>
    <t>Issue on Flight Control Interface: rig availability is below the rate needed to clear outstanding verification</t>
  </si>
  <si>
    <t>RAID-004</t>
  </si>
  <si>
    <t>RAID-015</t>
  </si>
  <si>
    <t>RAID-018</t>
  </si>
  <si>
    <t>Dependency on Payload Release Mechanism: awaiting supplier confirmation before verification can close</t>
  </si>
  <si>
    <t>RAID-033</t>
  </si>
  <si>
    <t>Risk on Ground Control Software: late design change may invalidate completed qualification evidence</t>
  </si>
  <si>
    <t>RAID-042</t>
  </si>
  <si>
    <t>RAID-072</t>
  </si>
  <si>
    <t>RAID-073</t>
  </si>
  <si>
    <t>RAID-043</t>
  </si>
  <si>
    <t>High</t>
  </si>
  <si>
    <t>RAID-048</t>
  </si>
  <si>
    <t>RAID-005</t>
  </si>
  <si>
    <t>Assumption on Structural Interface: assumed unchanged from the previous airframe, not yet confirmed</t>
  </si>
  <si>
    <t>RAID-009</t>
  </si>
  <si>
    <t>RAID-027</t>
  </si>
  <si>
    <t>Risk on Structural Interface: late design change may invalidate completed qualification evidence</t>
  </si>
  <si>
    <t>RAID-068</t>
  </si>
  <si>
    <t>Risk on Navigation &amp; Sensor Fusion: late design change may invalidate completed qualification evidence</t>
  </si>
  <si>
    <t>RAID-017</t>
  </si>
  <si>
    <t>Assumption on Flight Control Interface: assumed unchanged from the previous airframe, not yet confirmed</t>
  </si>
  <si>
    <t>RAID-021</t>
  </si>
  <si>
    <t>Issue on Navigation &amp; Sensor Fusion: rig availability is below the rate needed to clear outstanding verification</t>
  </si>
  <si>
    <t>RAID-028</t>
  </si>
  <si>
    <t>RAID-030</t>
  </si>
  <si>
    <t>Assumption on Diagnostics &amp; Logging: assumed unchanged from the previous airframe, not yet confirmed</t>
  </si>
  <si>
    <t>RAID-036</t>
  </si>
  <si>
    <t>RAID-039</t>
  </si>
  <si>
    <t>RAID-053</t>
  </si>
  <si>
    <t>Assumption on Navigation &amp; Sensor Fusion: assumed unchanged from the previous airframe, not yet confirmed</t>
  </si>
  <si>
    <t>RAID-059</t>
  </si>
  <si>
    <t>Dependency on Flight Control Interface: awaiting supplier confirmation before verification can close</t>
  </si>
  <si>
    <t>RAID-080</t>
  </si>
  <si>
    <t>Issue on Ground Control Software: rig availability is below the rate needed to clear outstanding verification</t>
  </si>
  <si>
    <t>RAID-084</t>
  </si>
  <si>
    <t>RAID-001</t>
  </si>
  <si>
    <t>Medium</t>
  </si>
  <si>
    <t>RAID-011</t>
  </si>
  <si>
    <t>Dependency on Navigation &amp; Sensor Fusion: awaiting supplier confirmation before verification can close</t>
  </si>
  <si>
    <t>RAID-014</t>
  </si>
  <si>
    <t>RAID-016</t>
  </si>
  <si>
    <t>RAID-031</t>
  </si>
  <si>
    <t>RAID-034</t>
  </si>
  <si>
    <t>RAID-044</t>
  </si>
  <si>
    <t>RAID-049</t>
  </si>
  <si>
    <t>RAID-058</t>
  </si>
  <si>
    <t>Assumption on Power Management: assumed unchanged from the previous airframe, not yet confirmed</t>
  </si>
  <si>
    <t>RAID-060</t>
  </si>
  <si>
    <t>RAID-064</t>
  </si>
  <si>
    <t>RAID-065</t>
  </si>
  <si>
    <t>RAID-066</t>
  </si>
  <si>
    <t>RAID-071</t>
  </si>
  <si>
    <t>RAID-008</t>
  </si>
  <si>
    <t>RAID-025</t>
  </si>
  <si>
    <t>RAID-057</t>
  </si>
  <si>
    <t>RAID-062</t>
  </si>
  <si>
    <t>RAID-087</t>
  </si>
  <si>
    <t>RAID-020</t>
  </si>
  <si>
    <t>RAID-056</t>
  </si>
  <si>
    <t>RAID-069</t>
  </si>
  <si>
    <t>Risk on Command &amp; Telemetry Link: late design change may invalidate completed qualification evidence</t>
  </si>
  <si>
    <t>RAID-078</t>
  </si>
  <si>
    <t>RAID-092</t>
  </si>
  <si>
    <t>RAID-003</t>
  </si>
  <si>
    <t>RAID-029</t>
  </si>
  <si>
    <t>RAID-052</t>
  </si>
  <si>
    <t>RAID-054</t>
  </si>
  <si>
    <t>RAID-070</t>
  </si>
  <si>
    <t>RAID-081</t>
  </si>
  <si>
    <t>RAID-082</t>
  </si>
  <si>
    <t>RAID-093</t>
  </si>
  <si>
    <t>RAID-095</t>
  </si>
  <si>
    <t>RAID-035</t>
  </si>
  <si>
    <t>RAID-006</t>
  </si>
  <si>
    <t>Low</t>
  </si>
  <si>
    <t>RAID-010</t>
  </si>
  <si>
    <t>RAID-019</t>
  </si>
  <si>
    <t>RAID-094</t>
  </si>
  <si>
    <t>RAID-002</t>
  </si>
  <si>
    <t>RAID-012</t>
  </si>
  <si>
    <t>RAID-022</t>
  </si>
  <si>
    <t>RAID-023</t>
  </si>
  <si>
    <t>RAID-024</t>
  </si>
  <si>
    <t>RAID-026</t>
  </si>
  <si>
    <t>RAID-037</t>
  </si>
  <si>
    <t>RAID-038</t>
  </si>
  <si>
    <t>RAID-040</t>
  </si>
  <si>
    <t>RAID-046</t>
  </si>
  <si>
    <t>RAID-079</t>
  </si>
  <si>
    <t>RAID-085</t>
  </si>
  <si>
    <t>RAID-088</t>
  </si>
  <si>
    <t>RAID-013</t>
  </si>
  <si>
    <t>RAID-047</t>
  </si>
  <si>
    <t>RAID-063</t>
  </si>
  <si>
    <t>RAID-074</t>
  </si>
  <si>
    <t>RAID-076</t>
  </si>
  <si>
    <t>RAID-007</t>
  </si>
  <si>
    <t>RAID-050</t>
  </si>
  <si>
    <t>RAID-067</t>
  </si>
  <si>
    <t>RAID-077</t>
  </si>
  <si>
    <t>Assumption on Payload Release Mechanism: assumed unchanged from the previous airframe, not yet confirmed</t>
  </si>
  <si>
    <t>RAID-089</t>
  </si>
  <si>
    <t>RAID-096</t>
  </si>
  <si>
    <t>Dependency on Ground Control Software: awaiting supplier confirmation before verification can close</t>
  </si>
  <si>
    <t>WorkItemID</t>
  </si>
  <si>
    <t>AssignedToID</t>
  </si>
  <si>
    <t>AssignedToName</t>
  </si>
  <si>
    <t>OpenedDate</t>
  </si>
  <si>
    <t>EstimateHours</t>
  </si>
  <si>
    <t>ActualHours</t>
  </si>
  <si>
    <t>WorkItemStatus</t>
  </si>
  <si>
    <t>WI-0001</t>
  </si>
  <si>
    <t>WI-0002</t>
  </si>
  <si>
    <t>WI-0003</t>
  </si>
  <si>
    <t>WI-0004</t>
  </si>
  <si>
    <t>WI-0005</t>
  </si>
  <si>
    <t>WI-0006</t>
  </si>
  <si>
    <t>WI-0007</t>
  </si>
  <si>
    <t>WI-0008</t>
  </si>
  <si>
    <t>WI-0009</t>
  </si>
  <si>
    <t>WI-0010</t>
  </si>
  <si>
    <t>WI-0011</t>
  </si>
  <si>
    <t>WI-0012</t>
  </si>
  <si>
    <t>InProgress</t>
  </si>
  <si>
    <t>WI-0013</t>
  </si>
  <si>
    <t>WI-0014</t>
  </si>
  <si>
    <t>WI-0015</t>
  </si>
  <si>
    <t>WI-0016</t>
  </si>
  <si>
    <t>WI-0017</t>
  </si>
  <si>
    <t>WI-0018</t>
  </si>
  <si>
    <t>WI-0019</t>
  </si>
  <si>
    <t>WI-0020</t>
  </si>
  <si>
    <t>WI-0021</t>
  </si>
  <si>
    <t>WI-0022</t>
  </si>
  <si>
    <t>WI-0023</t>
  </si>
  <si>
    <t>WI-0024</t>
  </si>
  <si>
    <t>WI-0025</t>
  </si>
  <si>
    <t>WI-0026</t>
  </si>
  <si>
    <t>WI-0027</t>
  </si>
  <si>
    <t>WI-0028</t>
  </si>
  <si>
    <t>WI-0029</t>
  </si>
  <si>
    <t>WI-0030</t>
  </si>
  <si>
    <t>WI-0031</t>
  </si>
  <si>
    <t>WI-0032</t>
  </si>
  <si>
    <t>WI-0033</t>
  </si>
  <si>
    <t>WI-0034</t>
  </si>
  <si>
    <t>WI-0035</t>
  </si>
  <si>
    <t>WI-0036</t>
  </si>
  <si>
    <t>WI-0037</t>
  </si>
  <si>
    <t>WI-0038</t>
  </si>
  <si>
    <t>WI-0039</t>
  </si>
  <si>
    <t>WI-0040</t>
  </si>
  <si>
    <t>WI-0041</t>
  </si>
  <si>
    <t>WI-0042</t>
  </si>
  <si>
    <t>WI-0043</t>
  </si>
  <si>
    <t>WI-0044</t>
  </si>
  <si>
    <t>WI-0045</t>
  </si>
  <si>
    <t>WI-0046</t>
  </si>
  <si>
    <t>WI-0047</t>
  </si>
  <si>
    <t>WI-0048</t>
  </si>
  <si>
    <t>WI-0049</t>
  </si>
  <si>
    <t>WI-0050</t>
  </si>
  <si>
    <t>WI-0051</t>
  </si>
  <si>
    <t>WI-0052</t>
  </si>
  <si>
    <t>WI-0053</t>
  </si>
  <si>
    <t>WI-0054</t>
  </si>
  <si>
    <t>WI-0055</t>
  </si>
  <si>
    <t>WI-0056</t>
  </si>
  <si>
    <t>WI-0057</t>
  </si>
  <si>
    <t>WI-0058</t>
  </si>
  <si>
    <t>WI-0059</t>
  </si>
  <si>
    <t>WI-0060</t>
  </si>
  <si>
    <t>WI-0061</t>
  </si>
  <si>
    <t>WI-0062</t>
  </si>
  <si>
    <t>WI-0063</t>
  </si>
  <si>
    <t>WI-0064</t>
  </si>
  <si>
    <t>WI-0065</t>
  </si>
  <si>
    <t>WI-0066</t>
  </si>
  <si>
    <t>WI-0067</t>
  </si>
  <si>
    <t>WI-0068</t>
  </si>
  <si>
    <t>WI-0069</t>
  </si>
  <si>
    <t>WI-0070</t>
  </si>
  <si>
    <t>WI-0071</t>
  </si>
  <si>
    <t>WI-0072</t>
  </si>
  <si>
    <t>WI-0073</t>
  </si>
  <si>
    <t>WI-0074</t>
  </si>
  <si>
    <t>WI-0075</t>
  </si>
  <si>
    <t>WI-0076</t>
  </si>
  <si>
    <t>WI-0077</t>
  </si>
  <si>
    <t>WI-0078</t>
  </si>
  <si>
    <t>WI-0079</t>
  </si>
  <si>
    <t>WI-0080</t>
  </si>
  <si>
    <t>WI-0081</t>
  </si>
  <si>
    <t>WI-0082</t>
  </si>
  <si>
    <t>WI-0083</t>
  </si>
  <si>
    <t>WI-0084</t>
  </si>
  <si>
    <t>WI-0085</t>
  </si>
  <si>
    <t>WI-0086</t>
  </si>
  <si>
    <t>WI-0087</t>
  </si>
  <si>
    <t>WI-0088</t>
  </si>
  <si>
    <t>WI-0089</t>
  </si>
  <si>
    <t>WI-0090</t>
  </si>
  <si>
    <t>WI-0091</t>
  </si>
  <si>
    <t>WI-0092</t>
  </si>
  <si>
    <t>WI-0093</t>
  </si>
  <si>
    <t>WI-0094</t>
  </si>
  <si>
    <t>WI-0095</t>
  </si>
  <si>
    <t>WI-0096</t>
  </si>
  <si>
    <t>WI-0097</t>
  </si>
  <si>
    <t>WI-0098</t>
  </si>
  <si>
    <t>WI-0099</t>
  </si>
  <si>
    <t>WI-0100</t>
  </si>
  <si>
    <t>WI-0101</t>
  </si>
  <si>
    <t>WI-0102</t>
  </si>
  <si>
    <t>WI-0103</t>
  </si>
  <si>
    <t>WI-0104</t>
  </si>
  <si>
    <t>WI-0105</t>
  </si>
  <si>
    <t>WI-0106</t>
  </si>
  <si>
    <t>WI-0107</t>
  </si>
  <si>
    <t>WI-0108</t>
  </si>
  <si>
    <t>WI-0109</t>
  </si>
  <si>
    <t>WI-0110</t>
  </si>
  <si>
    <t>WI-0111</t>
  </si>
  <si>
    <t>WI-0112</t>
  </si>
  <si>
    <t>WI-0113</t>
  </si>
  <si>
    <t>WI-0114</t>
  </si>
  <si>
    <t>WI-0115</t>
  </si>
  <si>
    <t>WI-0116</t>
  </si>
  <si>
    <t>WI-0117</t>
  </si>
  <si>
    <t>WI-0118</t>
  </si>
  <si>
    <t>WI-0119</t>
  </si>
  <si>
    <t>WI-0120</t>
  </si>
  <si>
    <t>WI-0121</t>
  </si>
  <si>
    <t>WI-0122</t>
  </si>
  <si>
    <t>WI-0123</t>
  </si>
  <si>
    <t>WI-0124</t>
  </si>
  <si>
    <t>WI-0125</t>
  </si>
  <si>
    <t>WI-0126</t>
  </si>
  <si>
    <t>WI-0127</t>
  </si>
  <si>
    <t>WI-0128</t>
  </si>
  <si>
    <t>WI-0129</t>
  </si>
  <si>
    <t>WI-0130</t>
  </si>
  <si>
    <t>WI-0131</t>
  </si>
  <si>
    <t>WI-0132</t>
  </si>
  <si>
    <t>WI-0133</t>
  </si>
  <si>
    <t>WI-0134</t>
  </si>
  <si>
    <t>WI-0135</t>
  </si>
  <si>
    <t>WI-0136</t>
  </si>
  <si>
    <t>WI-0137</t>
  </si>
  <si>
    <t>WI-0138</t>
  </si>
  <si>
    <t>WI-0139</t>
  </si>
  <si>
    <t>WI-0140</t>
  </si>
  <si>
    <t>WI-0141</t>
  </si>
  <si>
    <t>WI-0142</t>
  </si>
  <si>
    <t>WI-0143</t>
  </si>
  <si>
    <t>WI-0144</t>
  </si>
  <si>
    <t>WI-0145</t>
  </si>
  <si>
    <t>WI-0146</t>
  </si>
  <si>
    <t>WI-0147</t>
  </si>
  <si>
    <t>WI-0148</t>
  </si>
  <si>
    <t>WI-0149</t>
  </si>
  <si>
    <t>WI-0150</t>
  </si>
  <si>
    <t>WI-0151</t>
  </si>
  <si>
    <t>WI-0152</t>
  </si>
  <si>
    <t>WI-0153</t>
  </si>
  <si>
    <t>WI-0154</t>
  </si>
  <si>
    <t>WI-0155</t>
  </si>
  <si>
    <t>WI-0156</t>
  </si>
  <si>
    <t>WI-0157</t>
  </si>
  <si>
    <t>WI-0158</t>
  </si>
  <si>
    <t>WI-0159</t>
  </si>
  <si>
    <t>WI-0160</t>
  </si>
  <si>
    <t>WI-0161</t>
  </si>
  <si>
    <t>WI-0162</t>
  </si>
  <si>
    <t>WI-0163</t>
  </si>
  <si>
    <t>WI-0164</t>
  </si>
  <si>
    <t>WI-0165</t>
  </si>
  <si>
    <t>WI-0166</t>
  </si>
  <si>
    <t>WI-0167</t>
  </si>
  <si>
    <t>WI-0168</t>
  </si>
  <si>
    <t>WI-0169</t>
  </si>
  <si>
    <t>WI-0170</t>
  </si>
  <si>
    <t>WI-0171</t>
  </si>
  <si>
    <t>WI-0172</t>
  </si>
  <si>
    <t>WI-0173</t>
  </si>
  <si>
    <t>WI-0174</t>
  </si>
  <si>
    <t>WI-0175</t>
  </si>
  <si>
    <t>WI-0176</t>
  </si>
  <si>
    <t>WI-0177</t>
  </si>
  <si>
    <t>WI-0178</t>
  </si>
  <si>
    <t>WI-0179</t>
  </si>
  <si>
    <t>WI-0180</t>
  </si>
  <si>
    <t>WI-0181</t>
  </si>
  <si>
    <t>WI-0182</t>
  </si>
  <si>
    <t>WI-0183</t>
  </si>
  <si>
    <t>WI-0184</t>
  </si>
  <si>
    <t>WI-0185</t>
  </si>
  <si>
    <t>WI-0186</t>
  </si>
  <si>
    <t>WI-0187</t>
  </si>
  <si>
    <t>WI-0188</t>
  </si>
  <si>
    <t>WI-0189</t>
  </si>
  <si>
    <t>WI-0190</t>
  </si>
  <si>
    <t>WI-0191</t>
  </si>
  <si>
    <t>WI-0192</t>
  </si>
  <si>
    <t>WI-0193</t>
  </si>
  <si>
    <t>WI-0194</t>
  </si>
  <si>
    <t>WI-0195</t>
  </si>
  <si>
    <t>WI-0196</t>
  </si>
  <si>
    <t>WI-0197</t>
  </si>
  <si>
    <t>WI-0198</t>
  </si>
  <si>
    <t>WI-0199</t>
  </si>
  <si>
    <t>WI-0200</t>
  </si>
  <si>
    <t>WI-0201</t>
  </si>
  <si>
    <t>WI-0202</t>
  </si>
  <si>
    <t>WI-0203</t>
  </si>
  <si>
    <t>WI-0204</t>
  </si>
  <si>
    <t>WI-0205</t>
  </si>
  <si>
    <t>WI-0206</t>
  </si>
  <si>
    <t>WI-0207</t>
  </si>
  <si>
    <t>WI-0208</t>
  </si>
  <si>
    <t>WI-0209</t>
  </si>
  <si>
    <t>WI-0210</t>
  </si>
  <si>
    <t>WI-0211</t>
  </si>
  <si>
    <t>WI-0212</t>
  </si>
  <si>
    <t>WI-0213</t>
  </si>
  <si>
    <t>WI-0214</t>
  </si>
  <si>
    <t>WI-0215</t>
  </si>
  <si>
    <t>WI-0216</t>
  </si>
  <si>
    <t>WI-0217</t>
  </si>
  <si>
    <t>WI-0218</t>
  </si>
  <si>
    <t>WI-0219</t>
  </si>
  <si>
    <t>WI-0220</t>
  </si>
  <si>
    <t>WI-0221</t>
  </si>
  <si>
    <t>WI-0222</t>
  </si>
  <si>
    <t>WI-0223</t>
  </si>
  <si>
    <t>WI-0224</t>
  </si>
  <si>
    <t>WI-0225</t>
  </si>
  <si>
    <t>WI-0226</t>
  </si>
  <si>
    <t>WI-0227</t>
  </si>
  <si>
    <t>WI-0228</t>
  </si>
  <si>
    <t>WI-0229</t>
  </si>
  <si>
    <t>WI-0230</t>
  </si>
  <si>
    <t>WI-0231</t>
  </si>
  <si>
    <t>WI-0232</t>
  </si>
  <si>
    <t>WI-0233</t>
  </si>
  <si>
    <t>WI-0234</t>
  </si>
  <si>
    <t>WI-0235</t>
  </si>
  <si>
    <t>WI-0236</t>
  </si>
  <si>
    <t>WI-0237</t>
  </si>
  <si>
    <t>WI-0238</t>
  </si>
  <si>
    <t>WI-0239</t>
  </si>
  <si>
    <t>WI-0240</t>
  </si>
  <si>
    <t>WI-0241</t>
  </si>
  <si>
    <t>WI-0242</t>
  </si>
  <si>
    <t>WI-0243</t>
  </si>
  <si>
    <t>WI-0244</t>
  </si>
  <si>
    <t>WI-0245</t>
  </si>
  <si>
    <t>WI-0246</t>
  </si>
  <si>
    <t>WI-0247</t>
  </si>
  <si>
    <t>WI-0248</t>
  </si>
  <si>
    <t>WI-0249</t>
  </si>
  <si>
    <t>WI-0250</t>
  </si>
  <si>
    <t>WI-0251</t>
  </si>
  <si>
    <t>WI-0252</t>
  </si>
  <si>
    <t>WI-0253</t>
  </si>
  <si>
    <t>WI-0254</t>
  </si>
  <si>
    <t>WI-0255</t>
  </si>
  <si>
    <t>WI-0256</t>
  </si>
  <si>
    <t>WI-0257</t>
  </si>
  <si>
    <t>WI-0258</t>
  </si>
  <si>
    <t>WI-0259</t>
  </si>
  <si>
    <t>WI-0260</t>
  </si>
  <si>
    <t>WI-0261</t>
  </si>
  <si>
    <t>WI-0262</t>
  </si>
  <si>
    <t>WI-0263</t>
  </si>
  <si>
    <t>WI-0264</t>
  </si>
  <si>
    <t>WI-0265</t>
  </si>
  <si>
    <t>WI-0266</t>
  </si>
  <si>
    <t>WI-0267</t>
  </si>
  <si>
    <t>WI-0268</t>
  </si>
  <si>
    <t>WI-0269</t>
  </si>
  <si>
    <t>WI-0270</t>
  </si>
  <si>
    <t>WI-0271</t>
  </si>
  <si>
    <t>WI-0272</t>
  </si>
  <si>
    <t>WI-0273</t>
  </si>
  <si>
    <t>WI-0274</t>
  </si>
  <si>
    <t>WI-0275</t>
  </si>
  <si>
    <t>WI-0276</t>
  </si>
  <si>
    <t>WI-0277</t>
  </si>
  <si>
    <t>WI-0278</t>
  </si>
  <si>
    <t>WI-0279</t>
  </si>
  <si>
    <t>WI-0280</t>
  </si>
  <si>
    <t>WI-0281</t>
  </si>
  <si>
    <t>WI-0282</t>
  </si>
  <si>
    <t>WI-0283</t>
  </si>
  <si>
    <t>WI-0284</t>
  </si>
  <si>
    <t>WI-0285</t>
  </si>
  <si>
    <t>WI-0286</t>
  </si>
  <si>
    <t>WI-0287</t>
  </si>
  <si>
    <t>WI-0288</t>
  </si>
  <si>
    <t>WI-0289</t>
  </si>
  <si>
    <t>WI-0290</t>
  </si>
  <si>
    <t>WI-0291</t>
  </si>
  <si>
    <t>WI-0292</t>
  </si>
  <si>
    <t>WI-0293</t>
  </si>
  <si>
    <t>WI-0294</t>
  </si>
  <si>
    <t>WI-0295</t>
  </si>
  <si>
    <t>WI-0296</t>
  </si>
  <si>
    <t>WI-0297</t>
  </si>
  <si>
    <t>WI-0298</t>
  </si>
  <si>
    <t>WI-0299</t>
  </si>
  <si>
    <t>WI-0300</t>
  </si>
  <si>
    <t>WI-0301</t>
  </si>
  <si>
    <t>WI-0302</t>
  </si>
  <si>
    <t>WI-0303</t>
  </si>
  <si>
    <t>WI-0304</t>
  </si>
  <si>
    <t>WI-0305</t>
  </si>
  <si>
    <t>WI-0306</t>
  </si>
  <si>
    <t>WI-0307</t>
  </si>
  <si>
    <t>WI-0308</t>
  </si>
  <si>
    <t>WI-0309</t>
  </si>
  <si>
    <t>WI-0310</t>
  </si>
  <si>
    <t>WI-0311</t>
  </si>
  <si>
    <t>WI-0312</t>
  </si>
  <si>
    <t>WI-0313</t>
  </si>
  <si>
    <t>WI-0314</t>
  </si>
  <si>
    <t>WI-0315</t>
  </si>
  <si>
    <t>WI-0316</t>
  </si>
  <si>
    <t>WI-0317</t>
  </si>
  <si>
    <t>WI-0318</t>
  </si>
  <si>
    <t>WI-0319</t>
  </si>
  <si>
    <t>WI-0320</t>
  </si>
  <si>
    <t>WI-0321</t>
  </si>
  <si>
    <t>WI-0322</t>
  </si>
  <si>
    <t>WI-0323</t>
  </si>
  <si>
    <t>WI-0324</t>
  </si>
  <si>
    <t>WI-0325</t>
  </si>
  <si>
    <t>WI-0326</t>
  </si>
  <si>
    <t>WI-0327</t>
  </si>
  <si>
    <t>WI-0328</t>
  </si>
  <si>
    <t>WI-0329</t>
  </si>
  <si>
    <t>WI-0330</t>
  </si>
  <si>
    <t>WI-0331</t>
  </si>
  <si>
    <t>WI-0332</t>
  </si>
  <si>
    <t>WI-0333</t>
  </si>
  <si>
    <t>WI-0334</t>
  </si>
  <si>
    <t>WI-0335</t>
  </si>
  <si>
    <t>WI-0336</t>
  </si>
  <si>
    <t>WI-0337</t>
  </si>
  <si>
    <t>WI-0338</t>
  </si>
  <si>
    <t>WI-0339</t>
  </si>
  <si>
    <t>WI-0340</t>
  </si>
  <si>
    <t>WI-0341</t>
  </si>
  <si>
    <t>WI-0342</t>
  </si>
  <si>
    <t>WI-0343</t>
  </si>
  <si>
    <t>WI-0344</t>
  </si>
  <si>
    <t>WI-0345</t>
  </si>
  <si>
    <t>WI-0346</t>
  </si>
  <si>
    <t>WI-0347</t>
  </si>
  <si>
    <t>WI-0348</t>
  </si>
  <si>
    <t>WI-0349</t>
  </si>
  <si>
    <t>WI-0350</t>
  </si>
  <si>
    <t>WI-0351</t>
  </si>
  <si>
    <t>WI-0352</t>
  </si>
  <si>
    <t>WI-0353</t>
  </si>
  <si>
    <t>WI-0354</t>
  </si>
  <si>
    <t>WI-0355</t>
  </si>
  <si>
    <t>WI-0356</t>
  </si>
  <si>
    <t>WI-0357</t>
  </si>
  <si>
    <t>WI-0358</t>
  </si>
  <si>
    <t>WI-0359</t>
  </si>
  <si>
    <t>WI-0360</t>
  </si>
  <si>
    <t>WI-0361</t>
  </si>
  <si>
    <t>WI-0362</t>
  </si>
  <si>
    <t>WI-0363</t>
  </si>
  <si>
    <t>WI-0364</t>
  </si>
  <si>
    <t>WI-0365</t>
  </si>
  <si>
    <t>WI-0366</t>
  </si>
  <si>
    <t>WI-0367</t>
  </si>
  <si>
    <t>WI-0368</t>
  </si>
  <si>
    <t>WI-0369</t>
  </si>
  <si>
    <t>WI-0370</t>
  </si>
  <si>
    <t>WI-0371</t>
  </si>
  <si>
    <t>WI-0372</t>
  </si>
  <si>
    <t>WI-0373</t>
  </si>
  <si>
    <t>WI-0374</t>
  </si>
  <si>
    <t>WI-0375</t>
  </si>
  <si>
    <t>WI-0376</t>
  </si>
  <si>
    <t>WI-0377</t>
  </si>
  <si>
    <t>WI-0378</t>
  </si>
  <si>
    <t>WI-0379</t>
  </si>
  <si>
    <t>WI-0380</t>
  </si>
  <si>
    <t>WI-0381</t>
  </si>
  <si>
    <t>WI-0382</t>
  </si>
  <si>
    <t>WI-0383</t>
  </si>
  <si>
    <t>WI-0384</t>
  </si>
  <si>
    <t>WI-0385</t>
  </si>
  <si>
    <t>WI-0386</t>
  </si>
  <si>
    <t>WI-0387</t>
  </si>
  <si>
    <t>WI-0388</t>
  </si>
  <si>
    <t>WI-0389</t>
  </si>
  <si>
    <t>WI-0390</t>
  </si>
  <si>
    <t>WI-0391</t>
  </si>
  <si>
    <t>WI-0392</t>
  </si>
  <si>
    <t>WI-0393</t>
  </si>
  <si>
    <t>WI-0394</t>
  </si>
  <si>
    <t>WI-0395</t>
  </si>
  <si>
    <t>WI-0396</t>
  </si>
  <si>
    <t>WI-0397</t>
  </si>
  <si>
    <t>WI-0398</t>
  </si>
  <si>
    <t>WI-0399</t>
  </si>
  <si>
    <t>WI-0400</t>
  </si>
  <si>
    <t>WI-0401</t>
  </si>
  <si>
    <t>WI-0402</t>
  </si>
  <si>
    <t>WI-0403</t>
  </si>
  <si>
    <t>WI-0404</t>
  </si>
  <si>
    <t>WI-0405</t>
  </si>
  <si>
    <t>WI-0406</t>
  </si>
  <si>
    <t>WI-0407</t>
  </si>
  <si>
    <t>WI-0408</t>
  </si>
  <si>
    <t>WI-0409</t>
  </si>
  <si>
    <t>WI-0410</t>
  </si>
  <si>
    <t>WI-0411</t>
  </si>
  <si>
    <t>WI-0412</t>
  </si>
  <si>
    <t>WI-0413</t>
  </si>
  <si>
    <t>WI-0414</t>
  </si>
  <si>
    <t>WI-0415</t>
  </si>
  <si>
    <t>WI-0416</t>
  </si>
  <si>
    <t>WI-0417</t>
  </si>
  <si>
    <t>WI-0418</t>
  </si>
  <si>
    <t>WI-0419</t>
  </si>
  <si>
    <t>WI-0420</t>
  </si>
  <si>
    <t>WI-0421</t>
  </si>
  <si>
    <t>WI-0422</t>
  </si>
  <si>
    <t>WI-0423</t>
  </si>
  <si>
    <t>WI-0424</t>
  </si>
  <si>
    <t>WI-0425</t>
  </si>
  <si>
    <t>WI-0426</t>
  </si>
  <si>
    <t>WI-0427</t>
  </si>
  <si>
    <t>WI-0428</t>
  </si>
  <si>
    <t>WI-0429</t>
  </si>
  <si>
    <t>WI-0430</t>
  </si>
  <si>
    <t>WI-0431</t>
  </si>
  <si>
    <t>WI-0432</t>
  </si>
  <si>
    <t>WI-0433</t>
  </si>
  <si>
    <t>WI-0434</t>
  </si>
  <si>
    <t>WI-0435</t>
  </si>
  <si>
    <t>WI-0436</t>
  </si>
  <si>
    <t>WI-0437</t>
  </si>
  <si>
    <t>WI-0438</t>
  </si>
  <si>
    <t>WI-0439</t>
  </si>
  <si>
    <t>WI-0440</t>
  </si>
  <si>
    <t>WI-0441</t>
  </si>
  <si>
    <t>WI-0442</t>
  </si>
  <si>
    <t>WI-0443</t>
  </si>
  <si>
    <t>WI-0444</t>
  </si>
  <si>
    <t>WI-0445</t>
  </si>
  <si>
    <t>WI-0446</t>
  </si>
  <si>
    <t>WI-0447</t>
  </si>
  <si>
    <t>WI-0448</t>
  </si>
  <si>
    <t>WI-0449</t>
  </si>
  <si>
    <t>WI-0450</t>
  </si>
  <si>
    <t>WI-0451</t>
  </si>
  <si>
    <t>WI-0452</t>
  </si>
  <si>
    <t>WI-0453</t>
  </si>
  <si>
    <t>WI-0454</t>
  </si>
  <si>
    <t>WI-0455</t>
  </si>
  <si>
    <t>WI-0456</t>
  </si>
  <si>
    <t>WI-0457</t>
  </si>
  <si>
    <t>WI-0458</t>
  </si>
  <si>
    <t>WI-0459</t>
  </si>
  <si>
    <t>WI-0460</t>
  </si>
  <si>
    <t>WI-0461</t>
  </si>
  <si>
    <t>WI-0462</t>
  </si>
  <si>
    <t>WI-0463</t>
  </si>
  <si>
    <t>WI-0464</t>
  </si>
  <si>
    <t>WI-0465</t>
  </si>
  <si>
    <t>WI-0466</t>
  </si>
  <si>
    <t>WI-0467</t>
  </si>
  <si>
    <t>WI-0468</t>
  </si>
  <si>
    <t>WI-0469</t>
  </si>
  <si>
    <t>WI-0470</t>
  </si>
  <si>
    <t>WI-0471</t>
  </si>
  <si>
    <t>WI-0472</t>
  </si>
  <si>
    <t>WI-0473</t>
  </si>
  <si>
    <t>WI-0474</t>
  </si>
  <si>
    <t>WI-0475</t>
  </si>
  <si>
    <t>WI-0476</t>
  </si>
  <si>
    <t>WI-0477</t>
  </si>
  <si>
    <t>WI-0478</t>
  </si>
  <si>
    <t>WI-0479</t>
  </si>
  <si>
    <t>WI-0480</t>
  </si>
  <si>
    <t>WI-0481</t>
  </si>
  <si>
    <t>WI-0482</t>
  </si>
  <si>
    <t>WI-0483</t>
  </si>
  <si>
    <t>WI-0484</t>
  </si>
  <si>
    <t>WI-0485</t>
  </si>
  <si>
    <t>WI-0486</t>
  </si>
  <si>
    <t>WI-0487</t>
  </si>
  <si>
    <t>WI-0488</t>
  </si>
  <si>
    <t>WI-0489</t>
  </si>
  <si>
    <t>WI-0490</t>
  </si>
  <si>
    <t>WI-0491</t>
  </si>
  <si>
    <t>WI-0492</t>
  </si>
  <si>
    <t>WI-0493</t>
  </si>
  <si>
    <t>WI-0494</t>
  </si>
  <si>
    <t>WI-0495</t>
  </si>
  <si>
    <t>WI-0496</t>
  </si>
  <si>
    <t>WI-0497</t>
  </si>
  <si>
    <t>WI-0498</t>
  </si>
  <si>
    <t>WI-0499</t>
  </si>
  <si>
    <t>WI-0500</t>
  </si>
  <si>
    <t>WI-0501</t>
  </si>
  <si>
    <t>WI-0502</t>
  </si>
  <si>
    <t>WI-0503</t>
  </si>
  <si>
    <t>WI-0504</t>
  </si>
  <si>
    <t>WI-0505</t>
  </si>
  <si>
    <t>WI-0506</t>
  </si>
  <si>
    <t>WI-0507</t>
  </si>
  <si>
    <t>WI-0508</t>
  </si>
  <si>
    <t>WI-0509</t>
  </si>
  <si>
    <t>WI-0510</t>
  </si>
  <si>
    <t>WI-0511</t>
  </si>
  <si>
    <t>WI-0512</t>
  </si>
  <si>
    <t>WI-0513</t>
  </si>
  <si>
    <t>WI-0514</t>
  </si>
  <si>
    <t>WI-0515</t>
  </si>
  <si>
    <t>WI-0516</t>
  </si>
  <si>
    <t>WI-0517</t>
  </si>
  <si>
    <t>WI-0518</t>
  </si>
  <si>
    <t>WI-0519</t>
  </si>
  <si>
    <t>WI-0520</t>
  </si>
  <si>
    <t>WI-0521</t>
  </si>
  <si>
    <t>WI-0522</t>
  </si>
  <si>
    <t>WI-0523</t>
  </si>
  <si>
    <t>WI-0524</t>
  </si>
  <si>
    <t>WI-0525</t>
  </si>
  <si>
    <t>WI-0526</t>
  </si>
  <si>
    <t>WI-0527</t>
  </si>
  <si>
    <t>WI-0528</t>
  </si>
  <si>
    <t>WI-0529</t>
  </si>
  <si>
    <t>WI-0530</t>
  </si>
  <si>
    <t>WI-0531</t>
  </si>
  <si>
    <t>WI-0532</t>
  </si>
  <si>
    <t>WI-0533</t>
  </si>
  <si>
    <t>WI-0534</t>
  </si>
  <si>
    <t>WI-0535</t>
  </si>
  <si>
    <t>WI-0536</t>
  </si>
  <si>
    <t>WI-0537</t>
  </si>
  <si>
    <t>WI-0538</t>
  </si>
  <si>
    <t>WI-0539</t>
  </si>
  <si>
    <t>WI-0540</t>
  </si>
  <si>
    <t>WI-0541</t>
  </si>
  <si>
    <t>WI-0542</t>
  </si>
  <si>
    <t>WI-0543</t>
  </si>
  <si>
    <t>WI-0544</t>
  </si>
  <si>
    <t>WI-0545</t>
  </si>
  <si>
    <t>WI-0546</t>
  </si>
  <si>
    <t>WI-0547</t>
  </si>
  <si>
    <t>WI-0548</t>
  </si>
  <si>
    <t>WI-0549</t>
  </si>
  <si>
    <t>WI-0550</t>
  </si>
  <si>
    <t>WI-0551</t>
  </si>
  <si>
    <t>WI-0552</t>
  </si>
  <si>
    <t>WI-0553</t>
  </si>
  <si>
    <t>WI-0554</t>
  </si>
  <si>
    <t>WI-0555</t>
  </si>
  <si>
    <t>WI-0556</t>
  </si>
  <si>
    <t>WI-0557</t>
  </si>
  <si>
    <t>WI-0558</t>
  </si>
  <si>
    <t>WI-0559</t>
  </si>
  <si>
    <t>WI-0560</t>
  </si>
  <si>
    <t>WI-0561</t>
  </si>
  <si>
    <t>WI-0562</t>
  </si>
  <si>
    <t>WI-0563</t>
  </si>
  <si>
    <t>WI-0564</t>
  </si>
  <si>
    <t>WI-0565</t>
  </si>
  <si>
    <t>WI-0566</t>
  </si>
  <si>
    <t>WI-0567</t>
  </si>
  <si>
    <t>WI-0568</t>
  </si>
  <si>
    <t>WI-0569</t>
  </si>
  <si>
    <t>WI-0570</t>
  </si>
  <si>
    <t>WI-0571</t>
  </si>
  <si>
    <t>WI-0572</t>
  </si>
  <si>
    <t>WI-0573</t>
  </si>
  <si>
    <t>WI-0574</t>
  </si>
  <si>
    <t>WI-0575</t>
  </si>
  <si>
    <t>WI-0576</t>
  </si>
  <si>
    <t>WI-0577</t>
  </si>
  <si>
    <t>WI-0578</t>
  </si>
  <si>
    <t>WI-0579</t>
  </si>
  <si>
    <t>WI-0580</t>
  </si>
  <si>
    <t>WI-0581</t>
  </si>
  <si>
    <t>WI-0582</t>
  </si>
  <si>
    <t>WI-0583</t>
  </si>
  <si>
    <t>WI-0584</t>
  </si>
  <si>
    <t>WI-0585</t>
  </si>
  <si>
    <t>WI-0586</t>
  </si>
  <si>
    <t>WI-0587</t>
  </si>
  <si>
    <t>WI-0588</t>
  </si>
  <si>
    <t>WI-0589</t>
  </si>
  <si>
    <t>WI-0590</t>
  </si>
  <si>
    <t>WI-0591</t>
  </si>
  <si>
    <t>WI-0592</t>
  </si>
  <si>
    <t>WI-0593</t>
  </si>
  <si>
    <t>WI-0594</t>
  </si>
  <si>
    <t>WI-0595</t>
  </si>
  <si>
    <t>WI-0596</t>
  </si>
  <si>
    <t>WI-0597</t>
  </si>
  <si>
    <t>WI-0598</t>
  </si>
  <si>
    <t>WI-0599</t>
  </si>
  <si>
    <t>WI-0600</t>
  </si>
  <si>
    <t>WI-0601</t>
  </si>
  <si>
    <t>WI-0602</t>
  </si>
  <si>
    <t>WI-0603</t>
  </si>
  <si>
    <t>WI-0604</t>
  </si>
  <si>
    <t>WI-0605</t>
  </si>
  <si>
    <t>WI-0606</t>
  </si>
  <si>
    <t>WI-0607</t>
  </si>
  <si>
    <t>WI-0608</t>
  </si>
  <si>
    <t>WI-0609</t>
  </si>
  <si>
    <t>WI-0610</t>
  </si>
  <si>
    <t>WI-0611</t>
  </si>
  <si>
    <t>WI-0612</t>
  </si>
  <si>
    <t>WI-0613</t>
  </si>
  <si>
    <t>WI-0614</t>
  </si>
  <si>
    <t>WI-0615</t>
  </si>
  <si>
    <t>WI-0616</t>
  </si>
  <si>
    <t>WI-0617</t>
  </si>
  <si>
    <t>WI-0618</t>
  </si>
  <si>
    <t>WI-0619</t>
  </si>
  <si>
    <t>WI-0620</t>
  </si>
  <si>
    <t>WI-0621</t>
  </si>
  <si>
    <t>WI-0622</t>
  </si>
  <si>
    <t>WI-0623</t>
  </si>
  <si>
    <t>WI-0624</t>
  </si>
  <si>
    <t>WI-0625</t>
  </si>
  <si>
    <t>WI-0626</t>
  </si>
  <si>
    <t>WI-0627</t>
  </si>
  <si>
    <t>WI-0628</t>
  </si>
  <si>
    <t>WI-0629</t>
  </si>
  <si>
    <t>WI-0630</t>
  </si>
  <si>
    <t>WI-0631</t>
  </si>
  <si>
    <t>WI-0632</t>
  </si>
  <si>
    <t>WI-0633</t>
  </si>
  <si>
    <t>WI-0634</t>
  </si>
  <si>
    <t>WI-0635</t>
  </si>
  <si>
    <t>WI-0636</t>
  </si>
  <si>
    <t>WI-0637</t>
  </si>
  <si>
    <t>WI-0638</t>
  </si>
  <si>
    <t>WI-0639</t>
  </si>
  <si>
    <t>WI-0640</t>
  </si>
  <si>
    <t>WI-0641</t>
  </si>
  <si>
    <t>WI-0642</t>
  </si>
  <si>
    <t>WI-0643</t>
  </si>
  <si>
    <t>WI-0644</t>
  </si>
  <si>
    <t>WI-0645</t>
  </si>
  <si>
    <t>WI-0646</t>
  </si>
  <si>
    <t>WI-0647</t>
  </si>
  <si>
    <t>WI-0648</t>
  </si>
  <si>
    <t>WI-0649</t>
  </si>
  <si>
    <t>WI-0650</t>
  </si>
  <si>
    <t>WI-0651</t>
  </si>
  <si>
    <t>WI-0652</t>
  </si>
  <si>
    <t>WI-0653</t>
  </si>
  <si>
    <t>WI-0654</t>
  </si>
  <si>
    <t>WI-0655</t>
  </si>
  <si>
    <t>WI-0656</t>
  </si>
  <si>
    <t>WI-0657</t>
  </si>
  <si>
    <t>WI-0658</t>
  </si>
  <si>
    <t>WI-0659</t>
  </si>
  <si>
    <t>WI-0660</t>
  </si>
  <si>
    <t>WI-0661</t>
  </si>
  <si>
    <t>WI-0662</t>
  </si>
  <si>
    <t>WI-0663</t>
  </si>
  <si>
    <t>WI-0664</t>
  </si>
  <si>
    <t>WI-0665</t>
  </si>
  <si>
    <t>WI-0666</t>
  </si>
  <si>
    <t>WI-0667</t>
  </si>
  <si>
    <t>WI-0668</t>
  </si>
  <si>
    <t>WI-0669</t>
  </si>
  <si>
    <t>WI-0670</t>
  </si>
  <si>
    <t>WI-0671</t>
  </si>
  <si>
    <t>WI-0672</t>
  </si>
  <si>
    <t>WI-0673</t>
  </si>
  <si>
    <t>WI-0674</t>
  </si>
  <si>
    <t>WI-0675</t>
  </si>
  <si>
    <t>WI-0676</t>
  </si>
  <si>
    <t>WI-0677</t>
  </si>
  <si>
    <t>WI-0678</t>
  </si>
  <si>
    <t>WI-0679</t>
  </si>
  <si>
    <t>WI-0680</t>
  </si>
  <si>
    <t>WI-0681</t>
  </si>
  <si>
    <t>WI-0682</t>
  </si>
  <si>
    <t>WI-0683</t>
  </si>
  <si>
    <t>WI-0684</t>
  </si>
  <si>
    <t>WI-0685</t>
  </si>
  <si>
    <t>WI-0686</t>
  </si>
  <si>
    <t>WI-0687</t>
  </si>
  <si>
    <t>WI-0688</t>
  </si>
  <si>
    <t>WI-0689</t>
  </si>
  <si>
    <t>WI-0690</t>
  </si>
  <si>
    <t>WI-0691</t>
  </si>
  <si>
    <t>WI-0692</t>
  </si>
  <si>
    <t>WI-0693</t>
  </si>
  <si>
    <t>WI-0694</t>
  </si>
  <si>
    <t>WI-0695</t>
  </si>
  <si>
    <t>WI-0696</t>
  </si>
  <si>
    <t>WI-0697</t>
  </si>
  <si>
    <t>WI-0698</t>
  </si>
  <si>
    <t>WI-0699</t>
  </si>
  <si>
    <t>WI-0700</t>
  </si>
  <si>
    <t>WI-0701</t>
  </si>
  <si>
    <t>WI-0702</t>
  </si>
  <si>
    <t>WI-0703</t>
  </si>
  <si>
    <t>WI-0704</t>
  </si>
  <si>
    <t>WI-0705</t>
  </si>
  <si>
    <t>WI-0706</t>
  </si>
  <si>
    <t>WI-0707</t>
  </si>
  <si>
    <t>WI-0708</t>
  </si>
  <si>
    <t>WI-0709</t>
  </si>
  <si>
    <t>WI-0710</t>
  </si>
  <si>
    <t>WI-0711</t>
  </si>
  <si>
    <t>WI-0712</t>
  </si>
  <si>
    <t>WI-0713</t>
  </si>
  <si>
    <t>WI-0714</t>
  </si>
  <si>
    <t>WI-0715</t>
  </si>
  <si>
    <t>WI-0716</t>
  </si>
  <si>
    <t>WI-0717</t>
  </si>
  <si>
    <t>WI-0718</t>
  </si>
  <si>
    <t>WI-0719</t>
  </si>
  <si>
    <t>WI-0720</t>
  </si>
  <si>
    <t>WI-0721</t>
  </si>
  <si>
    <t>WI-0722</t>
  </si>
  <si>
    <t>WI-0723</t>
  </si>
  <si>
    <t>WI-0724</t>
  </si>
  <si>
    <t>WI-0725</t>
  </si>
  <si>
    <t>WI-0726</t>
  </si>
  <si>
    <t>WI-0727</t>
  </si>
  <si>
    <t>WI-0728</t>
  </si>
  <si>
    <t>WI-0729</t>
  </si>
  <si>
    <t>WI-0730</t>
  </si>
  <si>
    <t>WI-0731</t>
  </si>
  <si>
    <t>WI-0732</t>
  </si>
  <si>
    <t>WI-0733</t>
  </si>
  <si>
    <t>WI-0734</t>
  </si>
  <si>
    <t>WI-0735</t>
  </si>
  <si>
    <t>WI-0736</t>
  </si>
  <si>
    <t>WI-0737</t>
  </si>
  <si>
    <t>WI-0738</t>
  </si>
  <si>
    <t>WI-0739</t>
  </si>
  <si>
    <t>WI-0740</t>
  </si>
  <si>
    <t>WI-0741</t>
  </si>
  <si>
    <t>WI-0742</t>
  </si>
  <si>
    <t>WI-0743</t>
  </si>
  <si>
    <t>WI-0744</t>
  </si>
  <si>
    <t>WI-0745</t>
  </si>
  <si>
    <t>WI-0746</t>
  </si>
  <si>
    <t>WI-0747</t>
  </si>
  <si>
    <t>WI-0748</t>
  </si>
  <si>
    <t>WI-0749</t>
  </si>
  <si>
    <t>WI-0750</t>
  </si>
  <si>
    <t>WI-0751</t>
  </si>
  <si>
    <t>WI-0752</t>
  </si>
  <si>
    <t>WI-0753</t>
  </si>
  <si>
    <t>WI-0754</t>
  </si>
  <si>
    <t>WI-0755</t>
  </si>
  <si>
    <t>WI-0756</t>
  </si>
  <si>
    <t>WI-0757</t>
  </si>
  <si>
    <t>WI-0758</t>
  </si>
  <si>
    <t>WI-0759</t>
  </si>
  <si>
    <t>WI-0760</t>
  </si>
  <si>
    <t>WI-0761</t>
  </si>
  <si>
    <t>WI-0762</t>
  </si>
  <si>
    <t>WI-0763</t>
  </si>
  <si>
    <t>WI-0764</t>
  </si>
  <si>
    <t>WI-0765</t>
  </si>
  <si>
    <t>WI-0766</t>
  </si>
  <si>
    <t>WI-0767</t>
  </si>
  <si>
    <t>WI-0768</t>
  </si>
  <si>
    <t>WI-0769</t>
  </si>
  <si>
    <t>WI-0770</t>
  </si>
  <si>
    <t>WI-0771</t>
  </si>
  <si>
    <t>WI-0772</t>
  </si>
  <si>
    <t>WI-0773</t>
  </si>
  <si>
    <t>WI-0774</t>
  </si>
  <si>
    <t>WI-0775</t>
  </si>
  <si>
    <t>WI-0776</t>
  </si>
  <si>
    <t>WI-0777</t>
  </si>
  <si>
    <t>WI-0778</t>
  </si>
  <si>
    <t>WI-0779</t>
  </si>
  <si>
    <t>WI-0780</t>
  </si>
  <si>
    <t>WI-0781</t>
  </si>
  <si>
    <t>WI-0782</t>
  </si>
  <si>
    <t>WI-0783</t>
  </si>
  <si>
    <t>WI-0784</t>
  </si>
  <si>
    <t>WI-0785</t>
  </si>
  <si>
    <t>WI-0786</t>
  </si>
  <si>
    <t>WI-0787</t>
  </si>
  <si>
    <t>WI-0788</t>
  </si>
  <si>
    <t>WI-0789</t>
  </si>
  <si>
    <t>WI-0790</t>
  </si>
  <si>
    <t>WI-0791</t>
  </si>
  <si>
    <t>WI-0792</t>
  </si>
  <si>
    <t>WI-0793</t>
  </si>
  <si>
    <t>WI-0794</t>
  </si>
  <si>
    <t>WI-0795</t>
  </si>
  <si>
    <t>WI-0796</t>
  </si>
  <si>
    <t>WI-0797</t>
  </si>
  <si>
    <t>WI-0798</t>
  </si>
  <si>
    <t>WI-0799</t>
  </si>
  <si>
    <t>WI-0800</t>
  </si>
  <si>
    <t>WI-0801</t>
  </si>
  <si>
    <t>WI-0802</t>
  </si>
  <si>
    <t>WI-0803</t>
  </si>
  <si>
    <t>WI-0804</t>
  </si>
  <si>
    <t>WI-0805</t>
  </si>
  <si>
    <t>WI-0806</t>
  </si>
  <si>
    <t>WI-0807</t>
  </si>
  <si>
    <t>WI-0808</t>
  </si>
  <si>
    <t>WI-0809</t>
  </si>
  <si>
    <t>WI-0810</t>
  </si>
  <si>
    <t>WI-0811</t>
  </si>
  <si>
    <t>WI-0812</t>
  </si>
  <si>
    <t>WI-0813</t>
  </si>
  <si>
    <t>WI-0814</t>
  </si>
  <si>
    <t>WI-0815</t>
  </si>
  <si>
    <t>WI-0816</t>
  </si>
  <si>
    <t>WI-0817</t>
  </si>
  <si>
    <t>WI-0818</t>
  </si>
  <si>
    <t>WI-0819</t>
  </si>
  <si>
    <t>WI-0820</t>
  </si>
  <si>
    <t>WI-0821</t>
  </si>
  <si>
    <t>WI-0822</t>
  </si>
  <si>
    <t>WI-0823</t>
  </si>
  <si>
    <t>WI-0824</t>
  </si>
  <si>
    <t>WI-0825</t>
  </si>
  <si>
    <t>WI-0826</t>
  </si>
  <si>
    <t>WI-0827</t>
  </si>
  <si>
    <t>WI-0828</t>
  </si>
  <si>
    <t>WI-0829</t>
  </si>
  <si>
    <t>WI-0830</t>
  </si>
  <si>
    <t>WI-0831</t>
  </si>
  <si>
    <t>WI-0832</t>
  </si>
  <si>
    <t>WI-0833</t>
  </si>
  <si>
    <t>WI-0834</t>
  </si>
  <si>
    <t>WI-0835</t>
  </si>
  <si>
    <t>WI-0836</t>
  </si>
  <si>
    <t>WI-0837</t>
  </si>
  <si>
    <t>WI-0838</t>
  </si>
  <si>
    <t>WI-0839</t>
  </si>
  <si>
    <t>WI-0840</t>
  </si>
  <si>
    <t>WI-0841</t>
  </si>
  <si>
    <t>WI-0842</t>
  </si>
  <si>
    <t>WI-0843</t>
  </si>
  <si>
    <t>WI-0844</t>
  </si>
  <si>
    <t>WI-0845</t>
  </si>
  <si>
    <t>WI-0846</t>
  </si>
  <si>
    <t>WI-0847</t>
  </si>
  <si>
    <t>WI-0848</t>
  </si>
  <si>
    <t>WI-0849</t>
  </si>
  <si>
    <t>WI-0850</t>
  </si>
  <si>
    <t>WI-0851</t>
  </si>
  <si>
    <t>WI-0852</t>
  </si>
  <si>
    <t>WI-0853</t>
  </si>
  <si>
    <t>WI-0854</t>
  </si>
  <si>
    <t>WI-0855</t>
  </si>
  <si>
    <t>WI-0856</t>
  </si>
  <si>
    <t>WI-0857</t>
  </si>
  <si>
    <t>WI-0858</t>
  </si>
  <si>
    <t>WI-0859</t>
  </si>
  <si>
    <t>WI-0860</t>
  </si>
  <si>
    <t>WI-0861</t>
  </si>
  <si>
    <t>WI-0862</t>
  </si>
  <si>
    <t>WI-0863</t>
  </si>
  <si>
    <t>WI-0864</t>
  </si>
  <si>
    <t>WI-0865</t>
  </si>
  <si>
    <t>WI-0866</t>
  </si>
  <si>
    <t>WI-0867</t>
  </si>
  <si>
    <t>WI-0868</t>
  </si>
  <si>
    <t>WI-0869</t>
  </si>
  <si>
    <t>WI-0870</t>
  </si>
  <si>
    <t>WI-0871</t>
  </si>
  <si>
    <t>WI-0872</t>
  </si>
  <si>
    <t>WI-0873</t>
  </si>
  <si>
    <t>WI-0874</t>
  </si>
  <si>
    <t>WI-0875</t>
  </si>
  <si>
    <t>WI-0876</t>
  </si>
  <si>
    <t>WI-0877</t>
  </si>
  <si>
    <t>WI-0878</t>
  </si>
  <si>
    <t>WI-0879</t>
  </si>
  <si>
    <t>WI-0880</t>
  </si>
  <si>
    <t>WI-0881</t>
  </si>
  <si>
    <t>WI-0882</t>
  </si>
  <si>
    <t>WI-0883</t>
  </si>
  <si>
    <t>WI-0884</t>
  </si>
  <si>
    <t>WI-0885</t>
  </si>
  <si>
    <t>WI-0886</t>
  </si>
  <si>
    <t>WI-0887</t>
  </si>
  <si>
    <t>WI-0888</t>
  </si>
  <si>
    <t>WI-0889</t>
  </si>
  <si>
    <t>WI-0890</t>
  </si>
  <si>
    <t>WI-0891</t>
  </si>
  <si>
    <t>WI-0892</t>
  </si>
  <si>
    <t>WI-0893</t>
  </si>
  <si>
    <t>WI-0894</t>
  </si>
  <si>
    <t>WI-0895</t>
  </si>
  <si>
    <t>WI-0896</t>
  </si>
  <si>
    <t>WI-0897</t>
  </si>
  <si>
    <t>WI-0898</t>
  </si>
  <si>
    <t>WI-0899</t>
  </si>
  <si>
    <t>WI-0900</t>
  </si>
  <si>
    <t>WI-0901</t>
  </si>
  <si>
    <t>WI-0902</t>
  </si>
  <si>
    <t>WI-0903</t>
  </si>
  <si>
    <t>WI-0904</t>
  </si>
  <si>
    <t>WI-0905</t>
  </si>
  <si>
    <t>WI-0906</t>
  </si>
  <si>
    <t>WI-0907</t>
  </si>
  <si>
    <t>WI-0908</t>
  </si>
  <si>
    <t>WI-0909</t>
  </si>
  <si>
    <t>WI-0910</t>
  </si>
  <si>
    <t>WI-0911</t>
  </si>
  <si>
    <t>WI-0912</t>
  </si>
  <si>
    <t>WI-0913</t>
  </si>
  <si>
    <t>WI-0914</t>
  </si>
  <si>
    <t>WI-0915</t>
  </si>
  <si>
    <t>WI-0916</t>
  </si>
  <si>
    <t>WI-0917</t>
  </si>
  <si>
    <t>WI-0918</t>
  </si>
  <si>
    <t>WI-0919</t>
  </si>
  <si>
    <t>WI-0920</t>
  </si>
  <si>
    <t>WI-0921</t>
  </si>
  <si>
    <t>WI-0922</t>
  </si>
  <si>
    <t>WI-0923</t>
  </si>
  <si>
    <t>WI-0924</t>
  </si>
  <si>
    <t>WI-0925</t>
  </si>
  <si>
    <t>WI-0926</t>
  </si>
  <si>
    <t>WI-0927</t>
  </si>
  <si>
    <t>WI-0928</t>
  </si>
  <si>
    <t>WI-0929</t>
  </si>
  <si>
    <t>WI-0930</t>
  </si>
  <si>
    <t>WI-0931</t>
  </si>
  <si>
    <t>WI-0932</t>
  </si>
  <si>
    <t>WI-0933</t>
  </si>
  <si>
    <t>WI-0934</t>
  </si>
  <si>
    <t>WI-0935</t>
  </si>
  <si>
    <t>WI-0936</t>
  </si>
  <si>
    <t>WI-0937</t>
  </si>
  <si>
    <t>WI-0938</t>
  </si>
  <si>
    <t>WI-0939</t>
  </si>
  <si>
    <t>WI-0940</t>
  </si>
  <si>
    <t>WI-0941</t>
  </si>
  <si>
    <t>WI-0942</t>
  </si>
  <si>
    <t>WI-0943</t>
  </si>
  <si>
    <t>WI-0944</t>
  </si>
  <si>
    <t>WI-0945</t>
  </si>
  <si>
    <t>WI-0946</t>
  </si>
  <si>
    <t>WI-0947</t>
  </si>
  <si>
    <t>WI-0948</t>
  </si>
  <si>
    <t>WI-0949</t>
  </si>
  <si>
    <t>WI-0950</t>
  </si>
  <si>
    <t>WI-0951</t>
  </si>
  <si>
    <t>WI-0952</t>
  </si>
  <si>
    <t>WI-0953</t>
  </si>
  <si>
    <t>WI-0954</t>
  </si>
  <si>
    <t>WI-0955</t>
  </si>
  <si>
    <t>WI-0956</t>
  </si>
  <si>
    <t>WI-0957</t>
  </si>
  <si>
    <t>WI-0958</t>
  </si>
  <si>
    <t>WI-0959</t>
  </si>
  <si>
    <t>WI-0960</t>
  </si>
  <si>
    <t>WI-0961</t>
  </si>
  <si>
    <t>WI-0962</t>
  </si>
  <si>
    <t>WI-0963</t>
  </si>
  <si>
    <t>WI-0964</t>
  </si>
  <si>
    <t>WI-0965</t>
  </si>
  <si>
    <t>WI-0966</t>
  </si>
  <si>
    <t>WI-0967</t>
  </si>
  <si>
    <t>WI-0968</t>
  </si>
  <si>
    <t>WI-0969</t>
  </si>
  <si>
    <t>WI-0970</t>
  </si>
  <si>
    <t>WI-0971</t>
  </si>
  <si>
    <t>WI-0972</t>
  </si>
  <si>
    <t>WI-0973</t>
  </si>
  <si>
    <t>WI-0974</t>
  </si>
  <si>
    <t>WI-0975</t>
  </si>
  <si>
    <t>WI-0976</t>
  </si>
  <si>
    <t>WI-0977</t>
  </si>
  <si>
    <t>WI-0978</t>
  </si>
  <si>
    <t>WI-0979</t>
  </si>
  <si>
    <t>WI-0980</t>
  </si>
  <si>
    <t>WI-0981</t>
  </si>
  <si>
    <t>WI-0982</t>
  </si>
  <si>
    <t>WI-0983</t>
  </si>
  <si>
    <t>WI-0984</t>
  </si>
  <si>
    <t>WI-0985</t>
  </si>
  <si>
    <t>WI-0986</t>
  </si>
  <si>
    <t>WI-0987</t>
  </si>
  <si>
    <t>WI-0988</t>
  </si>
  <si>
    <t>WI-0989</t>
  </si>
  <si>
    <t>WI-0990</t>
  </si>
  <si>
    <t>WI-0991</t>
  </si>
  <si>
    <t>WI-0992</t>
  </si>
  <si>
    <t>WI-0993</t>
  </si>
  <si>
    <t>WI-0994</t>
  </si>
  <si>
    <t>WI-0995</t>
  </si>
  <si>
    <t>WI-0996</t>
  </si>
  <si>
    <t>WI-0997</t>
  </si>
  <si>
    <t>WI-0998</t>
  </si>
  <si>
    <t>WI-0999</t>
  </si>
  <si>
    <t>WI-1000</t>
  </si>
  <si>
    <t>WI-1001</t>
  </si>
  <si>
    <t>WI-1002</t>
  </si>
  <si>
    <t>WI-1003</t>
  </si>
  <si>
    <t>WI-1004</t>
  </si>
  <si>
    <t>WI-1005</t>
  </si>
  <si>
    <t>WI-1006</t>
  </si>
  <si>
    <t>WI-1007</t>
  </si>
  <si>
    <t>WI-1008</t>
  </si>
  <si>
    <t>WI-1009</t>
  </si>
  <si>
    <t>WI-1010</t>
  </si>
  <si>
    <t>WI-1011</t>
  </si>
  <si>
    <t>WI-1012</t>
  </si>
  <si>
    <t>WI-1013</t>
  </si>
  <si>
    <t>WI-1014</t>
  </si>
  <si>
    <t>WI-1015</t>
  </si>
  <si>
    <t>WI-1016</t>
  </si>
  <si>
    <t>WI-1017</t>
  </si>
  <si>
    <t>WI-1018</t>
  </si>
  <si>
    <t>WI-1019</t>
  </si>
  <si>
    <t>WI-1020</t>
  </si>
  <si>
    <t>WI-1021</t>
  </si>
  <si>
    <t>WI-1022</t>
  </si>
  <si>
    <t>WI-1023</t>
  </si>
  <si>
    <t>WI-1024</t>
  </si>
  <si>
    <t>WI-1025</t>
  </si>
  <si>
    <t>WI-1026</t>
  </si>
  <si>
    <t>WI-1027</t>
  </si>
  <si>
    <t>WI-1028</t>
  </si>
  <si>
    <t>WI-1029</t>
  </si>
  <si>
    <t>WI-1030</t>
  </si>
  <si>
    <t>WI-1031</t>
  </si>
  <si>
    <t>WI-1032</t>
  </si>
  <si>
    <t>WI-1033</t>
  </si>
  <si>
    <t>WI-1034</t>
  </si>
  <si>
    <t>WI-1035</t>
  </si>
  <si>
    <t>WI-1036</t>
  </si>
  <si>
    <t>WI-1037</t>
  </si>
  <si>
    <t>WI-1038</t>
  </si>
  <si>
    <t>WI-1039</t>
  </si>
  <si>
    <t>WI-1040</t>
  </si>
  <si>
    <t>WI-1041</t>
  </si>
  <si>
    <t>WI-1042</t>
  </si>
  <si>
    <t>WI-1043</t>
  </si>
  <si>
    <t>WI-1044</t>
  </si>
  <si>
    <t>WI-1045</t>
  </si>
  <si>
    <t>WI-1046</t>
  </si>
  <si>
    <t>WI-1047</t>
  </si>
  <si>
    <t>WI-1048</t>
  </si>
  <si>
    <t>WI-1049</t>
  </si>
  <si>
    <t>WI-1050</t>
  </si>
  <si>
    <t>WI-1051</t>
  </si>
  <si>
    <t>WI-1052</t>
  </si>
  <si>
    <t>WI-1053</t>
  </si>
  <si>
    <t>WI-1054</t>
  </si>
  <si>
    <t>WI-1055</t>
  </si>
  <si>
    <t>WI-1056</t>
  </si>
  <si>
    <t>WI-1057</t>
  </si>
  <si>
    <t>WI-1058</t>
  </si>
  <si>
    <t>WI-1059</t>
  </si>
  <si>
    <t>WI-1060</t>
  </si>
  <si>
    <t>WI-1061</t>
  </si>
  <si>
    <t>WI-1062</t>
  </si>
  <si>
    <t>WI-1063</t>
  </si>
  <si>
    <t>WI-1064</t>
  </si>
  <si>
    <t>WI-1065</t>
  </si>
  <si>
    <t>WI-1066</t>
  </si>
  <si>
    <t>WI-1067</t>
  </si>
  <si>
    <t>WI-1068</t>
  </si>
  <si>
    <t>WI-1069</t>
  </si>
  <si>
    <t>WI-1070</t>
  </si>
  <si>
    <t>WI-1071</t>
  </si>
  <si>
    <t>WI-1072</t>
  </si>
  <si>
    <t>WI-1073</t>
  </si>
  <si>
    <t>WI-1074</t>
  </si>
  <si>
    <t>WI-1075</t>
  </si>
  <si>
    <t>WI-1076</t>
  </si>
  <si>
    <t>WI-1077</t>
  </si>
  <si>
    <t>WI-1078</t>
  </si>
  <si>
    <t>WI-1079</t>
  </si>
  <si>
    <t>WI-1080</t>
  </si>
  <si>
    <t>WI-1081</t>
  </si>
  <si>
    <t>WI-1082</t>
  </si>
  <si>
    <t>WI-1083</t>
  </si>
  <si>
    <t>WI-1084</t>
  </si>
  <si>
    <t>WI-1085</t>
  </si>
  <si>
    <t>WI-1086</t>
  </si>
  <si>
    <t>WI-1087</t>
  </si>
  <si>
    <t>WI-1088</t>
  </si>
  <si>
    <t>WI-1089</t>
  </si>
  <si>
    <t>WI-1090</t>
  </si>
  <si>
    <t>WI-1091</t>
  </si>
  <si>
    <t>AnomalyType</t>
  </si>
  <si>
    <t>EntityType</t>
  </si>
  <si>
    <t>Severity</t>
  </si>
  <si>
    <t>ImpactClass</t>
  </si>
  <si>
    <t>CountsTowardExposure</t>
  </si>
  <si>
    <t>Anomalies</t>
  </si>
  <si>
    <t>PopulationScanned</t>
  </si>
  <si>
    <t>AnomalyRatePct</t>
  </si>
  <si>
    <t>WhatItMeans</t>
  </si>
  <si>
    <t>UNDER_LEVELLED_VERIFICATION</t>
  </si>
  <si>
    <t>Requirement</t>
  </si>
  <si>
    <t>Policy</t>
  </si>
  <si>
    <t>A requirement with a passing run below the test level its type demands and no evidence that meets its policy -- a safety behaviour signed off by a unit test. Again accurate data recording an inadequate practice.</t>
  </si>
  <si>
    <t>SELF_VERIFIED_SAFETY</t>
  </si>
  <si>
    <t>A Safety or Regulatory requirement with a passing run by its own owner and no evidence that meets its policy, which requires an independent tester. The record is accurate; the practice is not. Held to account by the KPI layer, not by the data-quality gate.</t>
  </si>
  <si>
    <t>RUN_BEFORE_BUILD</t>
  </si>
  <si>
    <t>TestRun</t>
  </si>
  <si>
    <t>Timing</t>
  </si>
  <si>
    <t>A test run dated before the build it ran against existed. Either the date or the build is wrong, and which one decides whether the evidence is current -- so it can change a readiness answer.</t>
  </si>
  <si>
    <t>WORKITEM_CLOSED_BEFORE_OPEN</t>
  </si>
  <si>
    <t>WorkItem</t>
  </si>
  <si>
    <t>A work item closed before it was opened. Corrupts cycle-time and burn-down figures; does not touch verification evidence.</t>
  </si>
  <si>
    <t>ORPHAN_DIMENSION_KEY</t>
  </si>
  <si>
    <t>Integrity</t>
  </si>
  <si>
    <t>A fact row pointing at a requirement, build, person or date that does not exist. Enforced structurally by foreign keys; checked anyway, because a check that never fires is how you find out the constraint was dropped.</t>
  </si>
  <si>
    <t>REQ_WITHOUT_TESTCASE</t>
  </si>
  <si>
    <t>Coverage</t>
  </si>
  <si>
    <t>A baselined requirement with no test case at all. It cannot be verified, so its readiness answer is not merely unknown -- it is unobtainable until somebody writes a test.</t>
  </si>
  <si>
    <t>BLOCKED_AT_RELEASE_CANDIDATE</t>
  </si>
  <si>
    <t>TestCase</t>
  </si>
  <si>
    <t>Evidence</t>
  </si>
  <si>
    <t>A test case whose most recent run against the release candidate was Blocked. A blocked test is not evidence of anything, and a readiness metric that treats "could not run" as "did not fail" is how rig contention stays invisible until the ship date.</t>
  </si>
  <si>
    <t>DUPLICATE_TEST_RUN</t>
  </si>
  <si>
    <t>The same test case recorded twice against the same build on the same day with the same result. Overstates how much testing was done; does not change any requirement's verification state, because a duplicate pass and a pass are the same evidence.</t>
  </si>
  <si>
    <t>RUN_ON_WITHDRAWN_REQ</t>
  </si>
  <si>
    <t>Waste</t>
  </si>
  <si>
    <t>Test effort spent verifying a requirement the programme has already withdrawn. Costs rig time that the outstanding queue needs; does not affect readiness, because withdrawn requirements are out of scope by definition.</t>
  </si>
  <si>
    <t>RAID_DUE_BEFORE_RAISED</t>
  </si>
  <si>
    <t>RAID</t>
  </si>
  <si>
    <t>A RAID item due before it was raised: overdue on the day it is created. IsOverdue excludes it, so it cannot inflate the overdue rate; while open it still sits in the rate's denominator, and it can never be reported overdue until its dates are corrected.</t>
  </si>
  <si>
    <t>TESTCASE_NEVER_RUN</t>
  </si>
  <si>
    <t>A test case that exists but has never been executed. Counted separately from REQ_WITHOUT_TESTCASE so that "nobody wrote a test" and "nobody ran the test" are not reported as the same failure.</t>
  </si>
  <si>
    <t>MinTestLevelRank</t>
  </si>
  <si>
    <t>PolicyNote</t>
  </si>
  <si>
    <t>Certification evidence must come from the airframe, independently witnessed. Rig data is not accepted by the authority.</t>
  </si>
  <si>
    <t>Timing and power figures measured in software are estimates. Performance is verified on the rig or not at all.</t>
  </si>
  <si>
    <t>Safety requirements are verified on hardware and by someone other than the author. Both halves are the rule; either alone has failed before.</t>
  </si>
  <si>
    <t>Interfaces must be exercised against real neighbours. A unit test proves the author's intent, not the behaviour.</t>
  </si>
  <si>
    <t>An interface is verified when both sides run together. A mock agrees with whatever it was written to agree with.</t>
  </si>
  <si>
    <t>MetricName</t>
  </si>
  <si>
    <t>TargetValue</t>
  </si>
  <si>
    <t>WarningValue</t>
  </si>
  <si>
    <t>Direction</t>
  </si>
  <si>
    <t>Unit</t>
  </si>
  <si>
    <t>Description</t>
  </si>
  <si>
    <t>LowerBetter</t>
  </si>
  <si>
    <t>Percent</t>
  </si>
  <si>
    <t>Test cases whose most recent run against the release candidate was Blocked rather than Pass or Fail.</t>
  </si>
  <si>
    <t>Count</t>
  </si>
  <si>
    <t>Open or mitigating RAID items in the Critical exposure band.</t>
  </si>
  <si>
    <t>Open RAID items past their due date, as a share of all open items, excluding items due before they were raised (a data defect).</t>
  </si>
  <si>
    <t>HigherBetter</t>
  </si>
  <si>
    <t>Verifications meeting Ref_VerificationPolicy for their requirement type, including the independent-tester rule.</t>
  </si>
  <si>
    <t>MustShip requirements whose latest policy-compliant passing verification is still CURRENT. The ship gate; 100% is the only passing value, because a must-ship requirement is by definition one you cannot ship without.</t>
  </si>
  <si>
    <t>Of requirements whose evidence meets policy, the share whose latest policy-compliant pass predates a change to the same subsystem or a Modified change to the requirement itself. The gap between coverage and readiness.</t>
  </si>
  <si>
    <t>Baselined requirements with any passing verification on any build. Says evidence exists; says nothing about whether it still applies.</t>
  </si>
  <si>
    <t>Closed work items over all work items. Reported because the programme reports it; it counts effort, not evidence.</t>
  </si>
  <si>
    <t>CALC -- helper block for the Verification Queue ranking. Not a reporting sheet.</t>
  </si>
  <si>
    <t>Rank</t>
  </si>
  <si>
    <t>Cumulative rig hours (Excel, independent of SQL)</t>
  </si>
  <si>
    <t>Airframe hours (never in the rig week)</t>
  </si>
  <si>
    <t>Within the week</t>
  </si>
  <si>
    <t>PAYLOAD DELIVERY -- READINESS AT THE RELEASE CANDIDATE</t>
  </si>
  <si>
    <t>THE QUESTION ON THE AGENDA</t>
  </si>
  <si>
    <t>MEASURE</t>
  </si>
  <si>
    <t>WHAT IT ACTUALLY MEANS</t>
  </si>
  <si>
    <t>Work items closed</t>
  </si>
  <si>
    <t>What the programme reports. Counts effort.</t>
  </si>
  <si>
    <t>Requirements with evidence</t>
  </si>
  <si>
    <t>Has a passing test ever run? Deliberately generous.</t>
  </si>
  <si>
    <t>SHIP READINESS</t>
  </si>
  <si>
    <t>Must-ship requirements with CURRENT, policy-compliant evidence. The gate.</t>
  </si>
  <si>
    <t>The gap</t>
  </si>
  <si>
    <t>Between what is reported and what can ship.</t>
  </si>
  <si>
    <t>READINESS SCORECARD</t>
  </si>
  <si>
    <t>METRIC</t>
  </si>
  <si>
    <t>TARGET</t>
  </si>
  <si>
    <t>WARN</t>
  </si>
  <si>
    <t>STATUS</t>
  </si>
  <si>
    <t>Ship readiness</t>
  </si>
  <si>
    <t>Verification coverage</t>
  </si>
  <si>
    <t>Stale verification</t>
  </si>
  <si>
    <t>Policy compliance</t>
  </si>
  <si>
    <t>Work-item completion</t>
  </si>
  <si>
    <t>Critical RAID open</t>
  </si>
  <si>
    <t>Overdue RAID</t>
  </si>
  <si>
    <t>WHERE THE GAP IS -- readiness by subsystem, worst first</t>
  </si>
  <si>
    <t>Subsystem</t>
  </si>
  <si>
    <t>Must-ship</t>
  </si>
  <si>
    <t>Readiness %</t>
  </si>
  <si>
    <t>Builds changed</t>
  </si>
  <si>
    <t>THE SCHEDULE ANSWER</t>
  </si>
  <si>
    <t>Requirements outstanding</t>
  </si>
  <si>
    <t>Rig hours to clear them</t>
  </si>
  <si>
    <t>Rig weeks at current capacity</t>
  </si>
  <si>
    <t>This is the honest schedule answer: it is the only figure here a programme board can act on without a further study.</t>
  </si>
  <si>
    <t>Schedulable this week</t>
  </si>
  <si>
    <t>Airframe hours to clear them</t>
  </si>
  <si>
    <t>Field evidence needs the airframe, not a rig. Never divided by rig capacity; the data holds no airframe capacity, so it is not turned into weeks.</t>
  </si>
  <si>
    <t>VERIFICATION QUEUE -- what to do next, bounded by rig capacity</t>
  </si>
  <si>
    <t>Type</t>
  </si>
  <si>
    <t>Owner</t>
  </si>
  <si>
    <t>Action</t>
  </si>
  <si>
    <t>Rig hrs</t>
  </si>
  <si>
    <t>Airframe hrs</t>
  </si>
  <si>
    <t>Cumulative rig</t>
  </si>
  <si>
    <t>This week</t>
  </si>
  <si>
    <t>What to do</t>
  </si>
  <si>
    <t>SUBSYSTEM READINESS -- and the churn behind it</t>
  </si>
  <si>
    <t>A subsystem that changed forty times and is a quarter ready is not behind on testing -- it is still being designed. That is a different conversation with a different owner.</t>
  </si>
  <si>
    <t>Reqs</t>
  </si>
  <si>
    <t>Stale (code)</t>
  </si>
  <si>
    <t>Stale (req)</t>
  </si>
  <si>
    <t>RAID REGISTER -- scored against the matrix, open items first</t>
  </si>
  <si>
    <t>Exposure is read from Ref_RAIDMatrix, not computed as probability x impact. A board treats "unlikely but catastrophic" differently from "certain but trivial" even though the product is the same.</t>
  </si>
  <si>
    <t>Open items</t>
  </si>
  <si>
    <t>Critical band, open</t>
  </si>
  <si>
    <t>Overdue, open</t>
  </si>
  <si>
    <t>Total open exposure</t>
  </si>
  <si>
    <t>Prob</t>
  </si>
  <si>
    <t>Exposure</t>
  </si>
  <si>
    <t>Band</t>
  </si>
  <si>
    <t>Status</t>
  </si>
  <si>
    <t>Overdue days</t>
  </si>
  <si>
    <t>Mitigation</t>
  </si>
  <si>
    <t>VALIDATION -- every Excel figure against the one SQL produced independently</t>
  </si>
  <si>
    <t>Each row recomputes a figure with Excel formulas over the extracts, then compares it with the value SQL published in readiness_kpi.csv. Agreement is necessary, not sufficient -- both could be derived from the same flawed definition -- but disagreement is decisive.</t>
  </si>
  <si>
    <t>#</t>
  </si>
  <si>
    <t>Figure</t>
  </si>
  <si>
    <t>Excel</t>
  </si>
  <si>
    <t>SQL</t>
  </si>
  <si>
    <t>Difference</t>
  </si>
  <si>
    <t>Result</t>
  </si>
  <si>
    <t>Requirements (baselined)</t>
  </si>
  <si>
    <t>Must-ship requirements</t>
  </si>
  <si>
    <t>Ship readiness %</t>
  </si>
  <si>
    <t>Verification coverage %</t>
  </si>
  <si>
    <t>Stale verification %</t>
  </si>
  <si>
    <t>Policy compliance %</t>
  </si>
  <si>
    <t>Work-item completion %</t>
  </si>
  <si>
    <t>No evidence (count)</t>
  </si>
  <si>
    <t>Insufficient (count)</t>
  </si>
  <si>
    <t>Current (count)</t>
  </si>
  <si>
    <t>Queue size</t>
  </si>
  <si>
    <t>Rig hours outstanding</t>
  </si>
  <si>
    <t>Airframe hours outstanding</t>
  </si>
  <si>
    <t>Overdue RAID %</t>
  </si>
  <si>
    <t>Must-ship, subsystem sum</t>
  </si>
  <si>
    <t>Current, subsystem sum</t>
  </si>
  <si>
    <t>Checks reconciling:</t>
  </si>
  <si>
    <t>TALON ROBOTICS -- PAYLOAD DELIVERY READINESS CONTROL</t>
  </si>
  <si>
    <t>THE QUESTION</t>
  </si>
  <si>
    <t>Is the new payload ready to ship, and what is still open?</t>
  </si>
  <si>
    <t>THE ANSWER THIS WORKBOOK GIVES</t>
  </si>
  <si>
    <t>Work items are 93.9% closed. Ship readiness is 52.0%. Both are true; only one is about shipping.</t>
  </si>
  <si>
    <t>WHY THEY DIFFER</t>
  </si>
  <si>
    <t>A verification is evidence about ONE BUILD. If a requirement passed on build 62 and its subsystem</t>
  </si>
  <si>
    <t>changed in build 71, the green tick is describing software that no longer exists. Readiness counts</t>
  </si>
  <si>
    <t>only must-ship requirements whose evidence is still current AND meets the verification policy for</t>
  </si>
  <si>
    <t>their type -- a safety behaviour is not verified by a unit test, and not by its own author.</t>
  </si>
  <si>
    <t>WHAT IS NOT A STALENESS RULE</t>
  </si>
  <si>
    <t>Age. A verification from fourteen months ago is fine if nothing underneath it has moved; one from</t>
  </si>
  <si>
    <t>last Tuesday is worthless if the subsystem was rewritten on Wednesday. Intervening change is the</t>
  </si>
  <si>
    <t>question, and it is why the model needs build history rather than timestamps.</t>
  </si>
  <si>
    <t>SHEETS</t>
  </si>
  <si>
    <t xml:space="preserve">  Control              Parameters. Change the rig capacity and the queue re-bounds itself.</t>
  </si>
  <si>
    <t xml:space="preserve">  Dashboard            The contrast, the scorecard, where the gap is, and the schedule answer.</t>
  </si>
  <si>
    <t xml:space="preserve">  Verification Queue   What to do next, ranked, bounded by one week of rig time.</t>
  </si>
  <si>
    <t xml:space="preserve">  Subsystem Readiness  Readiness against the churn behind it.</t>
  </si>
  <si>
    <t xml:space="preserve">  RAID Register        Exposure read from the matrix, open items first.</t>
  </si>
  <si>
    <t xml:space="preserve">  Validation           Every Excel figure against the one SQL produced independently.</t>
  </si>
  <si>
    <t xml:space="preserve">  Calc                 Helper block for the queue. Not a reporting sheet.</t>
  </si>
  <si>
    <t xml:space="preserve">  Data_*               The loaded extracts. Data &gt; Refresh All re-reads them from disk.</t>
  </si>
  <si>
    <t>HOW TO USE IT</t>
  </si>
  <si>
    <t>Change Rig hours per week on the Control sheet and the queue re-bounds itself: that is the</t>
  </si>
  <si>
    <t>"what if we add a rig" question answered without editing anything. Every threshold lives in</t>
  </si>
  <si>
    <t>readiness_targets.csv, so a target the programme disagrees with can be argued with.</t>
  </si>
  <si>
    <t>Talon Robotics is a fictional mechatronics company. All data in this workbook is synthetic and</t>
  </si>
  <si>
    <t>generated by the scripts in the sql\ folder. No confidential data is used and no claim is made</t>
  </si>
  <si>
    <t>about any production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</si>
</sst>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quot;%&quot;"/>
    <numFmt numFmtId="166" formatCode="0.00&quot; pts&quot;"/>
    <numFmt numFmtId="167" formatCode="0.0"/>
    <numFmt numFmtId="168" formatCode="0.0000"/>
  </numFmts>
  <fonts count="12" x14ac:knownFonts="1">
    <font>
      <sz val="11"/>
      <color theme="1"/>
      <name val="Aptos Narrow"/>
      <family val="2"/>
      <scheme val="minor"/>
    </font>
    <font>
      <b/>
      <sz val="11"/>
      <color theme="1"/>
      <name val="Aptos Narrow"/>
      <family val="2"/>
      <scheme val="minor"/>
    </font>
    <font>
      <b/>
      <sz val="16"/>
      <color rgb="FF1F2D3D"/>
      <name val="Aptos Narrow"/>
      <family val="2"/>
      <scheme val="minor"/>
    </font>
    <font>
      <i/>
      <sz val="11"/>
      <color theme="1"/>
      <name val="Aptos Narrow"/>
      <family val="2"/>
      <scheme val="minor"/>
    </font>
    <font>
      <b/>
      <sz val="11"/>
      <color rgb="FFFFFFFF"/>
      <name val="Aptos Narrow"/>
      <family val="2"/>
      <scheme val="minor"/>
    </font>
    <font>
      <b/>
      <sz val="11"/>
      <color rgb="FF1F2D3D"/>
      <name val="Aptos Narrow"/>
      <family val="2"/>
      <scheme val="minor"/>
    </font>
    <font>
      <sz val="8"/>
      <name val="Aptos Narrow"/>
      <family val="2"/>
      <scheme val="minor"/>
    </font>
    <font>
      <b/>
      <sz val="11"/>
      <color rgb="FF6E7680"/>
      <name val="Aptos Narrow"/>
      <family val="2"/>
      <scheme val="minor"/>
    </font>
    <font>
      <b/>
      <sz val="15"/>
      <color rgb="FF1F2D3D"/>
      <name val="Aptos Narrow"/>
      <family val="2"/>
      <scheme val="minor"/>
    </font>
    <font>
      <i/>
      <sz val="11"/>
      <color rgb="FF6E7680"/>
      <name val="Aptos Narrow"/>
      <family val="2"/>
      <scheme val="minor"/>
    </font>
    <font>
      <b/>
      <sz val="12"/>
      <color theme="1"/>
      <name val="Aptos Narrow"/>
      <family val="2"/>
      <scheme val="minor"/>
    </font>
    <font>
      <b/>
      <sz val="14"/>
      <color rgb="FF1F2D3D"/>
      <name val="Aptos Narrow"/>
      <family val="2"/>
      <scheme val="minor"/>
    </font>
  </fonts>
  <fills count="5">
    <fill>
      <patternFill patternType="none"/>
    </fill>
    <fill>
      <patternFill patternType="gray125"/>
    </fill>
    <fill>
      <patternFill patternType="solid">
        <fgColor rgb="FF1F2D3D"/>
        <bgColor indexed="64"/>
      </patternFill>
    </fill>
    <fill>
      <patternFill patternType="solid">
        <fgColor rgb="FFE2E8EE"/>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1" fillId="0" borderId="0" xfId="0" applyFont="1"/>
    <xf numFmtId="0" fontId="4" fillId="2" borderId="0" xfId="0" applyFont="1" applyFill="1"/>
    <xf numFmtId="164" fontId="1" fillId="3" borderId="0" xfId="0" applyNumberFormat="1" applyFont="1" applyFill="1"/>
    <xf numFmtId="0" fontId="1" fillId="3" borderId="0" xfId="0" applyFont="1" applyFill="1"/>
    <xf numFmtId="0" fontId="5" fillId="0" borderId="0" xfId="0" applyFont="1"/>
    <xf numFmtId="0" fontId="0" fillId="0" borderId="0" xfId="0" applyAlignment="1">
      <alignment vertical="top" wrapText="1"/>
    </xf>
    <xf numFmtId="0" fontId="0" fillId="0" borderId="0" xfId="0" applyNumberFormat="1"/>
    <xf numFmtId="14" fontId="0" fillId="0" borderId="0" xfId="0" applyNumberFormat="1"/>
    <xf numFmtId="0" fontId="7" fillId="0" borderId="0" xfId="0" applyFont="1"/>
    <xf numFmtId="0" fontId="8" fillId="0" borderId="0" xfId="0" applyFont="1"/>
    <xf numFmtId="0" fontId="9" fillId="0" borderId="0" xfId="0" applyFont="1"/>
    <xf numFmtId="0" fontId="0" fillId="2" borderId="0" xfId="0" applyFill="1"/>
    <xf numFmtId="0" fontId="1" fillId="4" borderId="0" xfId="0" applyFont="1" applyFill="1"/>
    <xf numFmtId="165" fontId="10" fillId="4" borderId="0" xfId="0" applyNumberFormat="1" applyFont="1" applyFill="1"/>
    <xf numFmtId="165" fontId="10" fillId="0" borderId="0" xfId="0" applyNumberFormat="1" applyFont="1"/>
    <xf numFmtId="166" fontId="10" fillId="0" borderId="0" xfId="0" applyNumberFormat="1" applyFont="1"/>
    <xf numFmtId="2" fontId="0" fillId="0" borderId="0" xfId="0" applyNumberFormat="1"/>
    <xf numFmtId="1" fontId="0" fillId="0" borderId="0" xfId="0" applyNumberFormat="1"/>
    <xf numFmtId="167" fontId="0" fillId="0" borderId="0" xfId="0" applyNumberFormat="1"/>
    <xf numFmtId="0" fontId="11" fillId="0" borderId="0" xfId="0" applyFont="1"/>
    <xf numFmtId="168" fontId="0" fillId="0" borderId="0" xfId="0" applyNumberFormat="1"/>
  </cellXfs>
  <cellStyles count="1">
    <cellStyle name="Normal" xfId="0" builtinId="0"/>
  </cellStyles>
  <dxfs count="84">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C7CE"/>
        </patternFill>
      </fill>
    </dxf>
    <dxf>
      <fill>
        <patternFill>
          <bgColor rgb="FFFFEB9C"/>
        </patternFill>
      </fill>
    </dxf>
    <dxf>
      <fill>
        <patternFill>
          <bgColor rgb="FFC6EFCE"/>
        </patternFill>
      </fill>
    </dxf>
    <dxf>
      <font>
        <b/>
      </font>
    </dxf>
    <dxf>
      <numFmt numFmtId="0" formatCode="General"/>
    </dxf>
    <dxf>
      <numFmt numFmtId="0" formatCode="General"/>
    </dxf>
    <dxf>
      <numFmt numFmtId="0" formatCode="General"/>
    </dxf>
    <dxf>
      <numFmt numFmtId="0" formatCode="General"/>
    </dxf>
    <dxf>
      <font>
        <b/>
      </font>
    </dxf>
    <dxf>
      <numFmt numFmtId="0" formatCode="General"/>
    </dxf>
    <dxf>
      <font>
        <b/>
      </font>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19" formatCode="m/d/yyyy"/>
    </dxf>
    <dxf>
      <numFmt numFmtId="0" formatCode="General"/>
    </dxf>
    <dxf>
      <font>
        <b/>
      </font>
    </dxf>
    <dxf>
      <numFmt numFmtId="19" formatCode="m/d/yyyy"/>
    </dxf>
    <dxf>
      <font>
        <b/>
      </font>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D4EBCD4-0198-4E57-89AE-B9E17218D310}" autoFormatId="0" applyNumberFormats="0" applyBorderFormats="0" applyFontFormats="1" applyPatternFormats="1" applyAlignmentFormats="0" applyWidthHeightFormats="0">
  <queryTableRefresh nextId="26">
    <queryTableFields count="25">
      <queryTableField id="1" name="RequirementID" tableColumnId="26"/>
      <queryTableField id="2" name="Title" tableColumnId="27"/>
      <queryTableField id="3" name="ReqType" tableColumnId="28"/>
      <queryTableField id="4" name="Priority" tableColumnId="29"/>
      <queryTableField id="5" name="SubsystemCode" tableColumnId="30"/>
      <queryTableField id="6" name="SubsystemName" tableColumnId="31"/>
      <queryTableField id="7" name="Criticality" tableColumnId="32"/>
      <queryTableField id="8" name="MinTestLevel" tableColumnId="33"/>
      <queryTableField id="9" name="RequiresIndependentTester" tableColumnId="34"/>
      <queryTableField id="10" name="TotalCases" tableColumnId="35"/>
      <queryTableField id="11" name="CasesWithRuns" tableColumnId="36"/>
      <queryTableField id="12" name="PassingCases" tableColumnId="37"/>
      <queryTableField id="13" name="BlockedCases" tableColumnId="38"/>
      <queryTableField id="14" name="LastPassBuild" tableColumnId="39"/>
      <queryTableField id="15" name="LastGoodBuild" tableColumnId="40"/>
      <queryTableField id="16" name="PassingButUnderLevelled" tableColumnId="41"/>
      <queryTableField id="17" name="PassingButSelfVerified" tableColumnId="42"/>
      <queryTableField id="18" name="HasEvidence" tableColumnId="43"/>
      <queryTableField id="19" name="MeetsPolicy" tableColumnId="44"/>
      <queryTableField id="20" name="StaleByCode" tableColumnId="45"/>
      <queryTableField id="21" name="StaleByRequirement" tableColumnId="46"/>
      <queryTableField id="22" name="IsCurrent" tableColumnId="47"/>
      <queryTableField id="23" name="VerificationState" tableColumnId="48"/>
      <queryTableField id="24" name="InterveningBuilds" tableColumnId="49"/>
      <queryTableField id="25" name="AsOfBuild" tableColumnId="5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599E55C-4F9B-4EF8-8DD2-B333B3D9DA64}" autoFormatId="0" applyNumberFormats="0" applyBorderFormats="0" applyFontFormats="1" applyPatternFormats="1" applyAlignmentFormats="0" applyWidthHeightFormats="0">
  <queryTableRefresh nextId="25">
    <queryTableFields count="24">
      <queryTableField id="1" name="PriorityRank" tableColumnId="25"/>
      <queryTableField id="2" name="RequirementID" tableColumnId="26"/>
      <queryTableField id="3" name="Title" tableColumnId="27"/>
      <queryTableField id="4" name="ReqType" tableColumnId="28"/>
      <queryTableField id="5" name="Priority" tableColumnId="29"/>
      <queryTableField id="6" name="SubsystemCode" tableColumnId="30"/>
      <queryTableField id="7" name="SubsystemName" tableColumnId="31"/>
      <queryTableField id="8" name="Criticality" tableColumnId="32"/>
      <queryTableField id="9" name="OwnerID" tableColumnId="33"/>
      <queryTableField id="10" name="OwnerName" tableColumnId="34"/>
      <queryTableField id="11" name="OwnerTeam" tableColumnId="35"/>
      <queryTableField id="12" name="MinTestLevel" tableColumnId="36"/>
      <queryTableField id="13" name="LastGoodBuild" tableColumnId="37"/>
      <queryTableField id="14" name="InterveningBuilds" tableColumnId="38"/>
      <queryTableField id="15" name="Cases" tableColumnId="39"/>
      <queryTableField id="16" name="RigHours" tableColumnId="40"/>
      <queryTableField id="17" name="AirframeHours" tableColumnId="41"/>
      <queryTableField id="18" name="TestMinutes" tableColumnId="42"/>
      <queryTableField id="19" name="CumulativeRigHours" tableColumnId="43"/>
      <queryTableField id="20" name="PriorityScore" tableColumnId="44"/>
      <queryTableField id="21" name="ActionCode" tableColumnId="45"/>
      <queryTableField id="22" name="NeedsNewCase" tableColumnId="46"/>
      <queryTableField id="23" name="IsThisWeek" tableColumnId="47"/>
      <queryTableField id="24" name="RecommendedAction" tableColumnId="4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BC20F81E-54D4-4521-AE8F-D26322AA1E08}" autoFormatId="0" applyNumberFormats="0" applyBorderFormats="0" applyFontFormats="1" applyPatternFormats="1" applyAlignmentFormats="0" applyWidthHeightFormats="0">
  <queryTableRefresh nextId="19">
    <queryTableFields count="18">
      <queryTableField id="1" name="SubsystemCode" tableColumnId="19"/>
      <queryTableField id="2" name="SubsystemName" tableColumnId="20"/>
      <queryTableField id="3" name="Criticality" tableColumnId="21"/>
      <queryTableField id="4" name="RequiresHILRig" tableColumnId="22"/>
      <queryTableField id="5" name="Requirements" tableColumnId="23"/>
      <queryTableField id="6" name="MustShip" tableColumnId="24"/>
      <queryTableField id="7" name="CurrentAll" tableColumnId="25"/>
      <queryTableField id="8" name="CurrentMustShip" tableColumnId="26"/>
      <queryTableField id="9" name="NoEvidence" tableColumnId="27"/>
      <queryTableField id="10" name="Insufficient" tableColumnId="28"/>
      <queryTableField id="11" name="StaleByCode" tableColumnId="29"/>
      <queryTableField id="12" name="StaleByReq" tableColumnId="30"/>
      <queryTableField id="13" name="ReadinessPct" tableColumnId="31"/>
      <queryTableField id="14" name="BuildsChanged" tableColumnId="32"/>
      <queryTableField id="15" name="LinesChanged" tableColumnId="33"/>
      <queryTableField id="16" name="LastChangeBuild" tableColumnId="34"/>
      <queryTableField id="17" name="RigHoursOutstanding" tableColumnId="35"/>
      <queryTableField id="18" name="AirframeHoursOutstanding" tableColumnId="3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6CF48655-EF4E-4641-91C9-BC1AC6073AD7}" autoFormatId="0" applyNumberFormats="0" applyBorderFormats="0" applyFontFormats="1" applyPatternFormats="1" applyAlignmentFormats="0" applyWidthHeightFormats="0">
  <queryTableRefresh nextId="20">
    <queryTableFields count="19">
      <queryTableField id="1" name="AsOfBuild" tableColumnId="20"/>
      <queryTableField id="2" name="AsOfDate" tableColumnId="21"/>
      <queryTableField id="3" name="Requirements" tableColumnId="22"/>
      <queryTableField id="4" name="MustShipCount" tableColumnId="23"/>
      <queryTableField id="5" name="WorkItemCompletionPct" tableColumnId="24"/>
      <queryTableField id="6" name="VerificationCoveragePct" tableColumnId="25"/>
      <queryTableField id="7" name="ShipReadinessPct" tableColumnId="26"/>
      <queryTableField id="8" name="StaleVerificationPct" tableColumnId="27"/>
      <queryTableField id="9" name="PolicyCompliancePct" tableColumnId="28"/>
      <queryTableField id="10" name="NoEvidenceCount" tableColumnId="29"/>
      <queryTableField id="11" name="InsufficientCount" tableColumnId="30"/>
      <queryTableField id="12" name="StaleCount" tableColumnId="31"/>
      <queryTableField id="13" name="CurrentCount" tableColumnId="32"/>
      <queryTableField id="14" name="BlockedTestPct" tableColumnId="33"/>
      <queryTableField id="15" name="CriticalRAIDOpen" tableColumnId="34"/>
      <queryTableField id="16" name="OverdueRAIDPct" tableColumnId="35"/>
      <queryTableField id="17" name="TotalRAIDExposure" tableColumnId="36"/>
      <queryTableField id="18" name="RigHoursOutstanding" tableColumnId="37"/>
      <queryTableField id="19" name="AirframeHoursOutstanding" tableColumnId="3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69933D67-6792-4737-9589-69B7F354912B}" autoFormatId="0" applyNumberFormats="0" applyBorderFormats="0" applyFontFormats="1" applyPatternFormats="1" applyAlignmentFormats="0" applyWidthHeightFormats="0">
  <queryTableRefresh nextId="9">
    <queryTableFields count="8">
      <queryTableField id="1" name="BuildNumber" tableColumnId="9"/>
      <queryTableField id="2" name="BuildID" tableColumnId="10"/>
      <queryTableField id="3" name="BuildDate" tableColumnId="11"/>
      <queryTableField id="4" name="WorkItemCompletionPct" tableColumnId="12"/>
      <queryTableField id="5" name="VerificationCoveragePct" tableColumnId="13"/>
      <queryTableField id="6" name="ShipReadinessPct" tableColumnId="14"/>
      <queryTableField id="7" name="StaleVerificationPct" tableColumnId="15"/>
      <queryTableField id="8" name="ReadinessGapVsReported"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A6FA739B-5581-4810-A70C-E94805A584FE}" autoFormatId="0" applyNumberFormats="0" applyBorderFormats="0" applyFontFormats="1" applyPatternFormats="1" applyAlignmentFormats="0" applyWidthHeightFormats="0">
  <queryTableRefresh nextId="23">
    <queryTableFields count="22">
      <queryTableField id="1" name="RAIDID" tableColumnId="23"/>
      <queryTableField id="2" name="RAIDType" tableColumnId="24"/>
      <queryTableField id="3" name="Title" tableColumnId="25"/>
      <queryTableField id="4" name="SubsystemCode" tableColumnId="26"/>
      <queryTableField id="5" name="SubsystemName" tableColumnId="27"/>
      <queryTableField id="6" name="Criticality" tableColumnId="28"/>
      <queryTableField id="7" name="OwnerID" tableColumnId="29"/>
      <queryTableField id="8" name="OwnerName" tableColumnId="30"/>
      <queryTableField id="9" name="OwnerTeam" tableColumnId="31"/>
      <queryTableField id="10" name="RaisedDate" tableColumnId="32"/>
      <queryTableField id="11" name="DueDate" tableColumnId="33"/>
      <queryTableField id="12" name="ClosedDate" tableColumnId="34"/>
      <queryTableField id="13" name="Probability" tableColumnId="35"/>
      <queryTableField id="14" name="Impact" tableColumnId="36"/>
      <queryTableField id="15" name="ExposureScore" tableColumnId="37"/>
      <queryTableField id="16" name="ExposureBand" tableColumnId="38"/>
      <queryTableField id="17" name="RAIDStatus" tableColumnId="39"/>
      <queryTableField id="18" name="IsOpen" tableColumnId="40"/>
      <queryTableField id="19" name="IsOverdue" tableColumnId="41"/>
      <queryTableField id="20" name="DaysOverdue" tableColumnId="42"/>
      <queryTableField id="21" name="AgeDays" tableColumnId="43"/>
      <queryTableField id="22" name="MitigationNote" tableColumnId="4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03E5180A-203C-4C46-BA1D-BDD2C35FADC5}" autoFormatId="0" applyNumberFormats="0" applyBorderFormats="0" applyFontFormats="1" applyPatternFormats="1" applyAlignmentFormats="0" applyWidthHeightFormats="0">
  <queryTableRefresh nextId="12">
    <queryTableFields count="11">
      <queryTableField id="1" name="WorkItemID" tableColumnId="12"/>
      <queryTableField id="2" name="RequirementID" tableColumnId="13"/>
      <queryTableField id="3" name="Priority" tableColumnId="14"/>
      <queryTableField id="4" name="SubsystemCode" tableColumnId="15"/>
      <queryTableField id="5" name="AssignedToID" tableColumnId="16"/>
      <queryTableField id="6" name="AssignedToName" tableColumnId="17"/>
      <queryTableField id="7" name="OpenedDate" tableColumnId="18"/>
      <queryTableField id="8" name="ClosedDate" tableColumnId="19"/>
      <queryTableField id="9" name="EstimateHours" tableColumnId="20"/>
      <queryTableField id="10" name="ActualHours" tableColumnId="21"/>
      <queryTableField id="11" name="WorkItemStatus" tableColumnId="2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544A82A4-FC64-4417-B771-B7888E7B1979}" autoFormatId="0" applyNumberFormats="0" applyBorderFormats="0" applyFontFormats="1" applyPatternFormats="1" applyAlignmentFormats="0" applyWidthHeightFormats="0">
  <queryTableRefresh nextId="10">
    <queryTableFields count="9">
      <queryTableField id="1" name="AnomalyType" tableColumnId="10"/>
      <queryTableField id="2" name="EntityType" tableColumnId="11"/>
      <queryTableField id="3" name="Severity" tableColumnId="12"/>
      <queryTableField id="4" name="ImpactClass" tableColumnId="13"/>
      <queryTableField id="5" name="CountsTowardExposure" tableColumnId="14"/>
      <queryTableField id="6" name="Anomalies" tableColumnId="15"/>
      <queryTableField id="7" name="PopulationScanned" tableColumnId="16"/>
      <queryTableField id="8" name="AnomalyRatePct" tableColumnId="17"/>
      <queryTableField id="9" name="WhatItMeans" tableColumnId="1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043510C0-474D-4B06-954E-3D2659D54C66}" autoFormatId="0" applyNumberFormats="0" applyBorderFormats="0" applyFontFormats="1" applyPatternFormats="1" applyAlignmentFormats="0" applyWidthHeightFormats="0">
  <queryTableRefresh nextId="6">
    <queryTableFields count="5">
      <queryTableField id="1" name="ReqType" tableColumnId="6"/>
      <queryTableField id="2" name="MinTestLevel" tableColumnId="7"/>
      <queryTableField id="3" name="MinTestLevelRank" tableColumnId="8"/>
      <queryTableField id="4" name="RequiresIndependentTester" tableColumnId="9"/>
      <queryTableField id="5" name="PolicyNote" tableColumnId="10"/>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78C24ADE-7609-4193-B9FD-EDDBAFA00DF0}" autoFormatId="0" applyNumberFormats="0" applyBorderFormats="0" applyFontFormats="1" applyPatternFormats="1" applyAlignmentFormats="0" applyWidthHeightFormats="0">
  <queryTableRefresh nextId="5">
    <queryTableFields count="4">
      <queryTableField id="1" name="Probability" tableColumnId="5"/>
      <queryTableField id="2" name="Impact" tableColumnId="6"/>
      <queryTableField id="3" name="ExposureScore" tableColumnId="7"/>
      <queryTableField id="4" name="ExposureBand"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91CD9B31-EBE3-41C9-A17D-C9C1BC9D0821}" autoFormatId="0" applyNumberFormats="0" applyBorderFormats="0" applyFontFormats="1" applyPatternFormats="1" applyAlignmentFormats="0" applyWidthHeightFormats="0">
  <queryTableRefresh nextId="7">
    <queryTableFields count="6">
      <queryTableField id="1" name="MetricName" tableColumnId="7"/>
      <queryTableField id="2" name="TargetValue" tableColumnId="8"/>
      <queryTableField id="3" name="WarningValue" tableColumnId="9"/>
      <queryTableField id="4" name="Direction" tableColumnId="10"/>
      <queryTableField id="5" name="Unit" tableColumnId="11"/>
      <queryTableField id="6"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1CB2CC-B1D7-4F49-A5C7-3D45B07E5282}" name="tReq" displayName="tReq" ref="A1:Y520" tableType="queryTable" totalsRowShown="0" headerRowDxfId="74">
  <autoFilter ref="A1:Y520" xr:uid="{061CB2CC-B1D7-4F49-A5C7-3D45B07E5282}"/>
  <tableColumns count="25">
    <tableColumn id="26" xr3:uid="{B862C287-D56A-4ACB-BBF1-3C67C21778B4}" uniqueName="26" name="RequirementID" queryTableFieldId="1" dataDxfId="83"/>
    <tableColumn id="27" xr3:uid="{32C200F1-58FD-48D4-B71C-213AD20E924A}" uniqueName="27" name="Title" queryTableFieldId="2" dataDxfId="82"/>
    <tableColumn id="28" xr3:uid="{4F6B393A-4D49-4526-AE19-A0A013988EE6}" uniqueName="28" name="ReqType" queryTableFieldId="3" dataDxfId="81"/>
    <tableColumn id="29" xr3:uid="{4F35E6B1-5BC7-4E0F-8281-B80ECAC5DDE1}" uniqueName="29" name="Priority" queryTableFieldId="4" dataDxfId="80"/>
    <tableColumn id="30" xr3:uid="{AD892348-B731-4A0B-BA99-919D5767082A}" uniqueName="30" name="SubsystemCode" queryTableFieldId="5" dataDxfId="79"/>
    <tableColumn id="31" xr3:uid="{D4DDC2E5-A14C-47DF-A92A-0B976609DAA0}" uniqueName="31" name="SubsystemName" queryTableFieldId="6" dataDxfId="78"/>
    <tableColumn id="32" xr3:uid="{768ED1D1-4E62-4C66-92C3-0BF70D8ED7E4}" uniqueName="32" name="Criticality" queryTableFieldId="7" dataDxfId="77"/>
    <tableColumn id="33" xr3:uid="{288D978C-4EDF-4646-B424-2665FC79E550}" uniqueName="33" name="MinTestLevel" queryTableFieldId="8" dataDxfId="76"/>
    <tableColumn id="34" xr3:uid="{1B98E5BA-7C7F-44BA-A7BD-E48F551D9170}" uniqueName="34" name="RequiresIndependentTester" queryTableFieldId="9"/>
    <tableColumn id="35" xr3:uid="{87DC23DB-B0D2-459B-B521-C7389D2BF690}" uniqueName="35" name="TotalCases" queryTableFieldId="10"/>
    <tableColumn id="36" xr3:uid="{ED6CBB28-596D-4BE0-9823-7058C065E28D}" uniqueName="36" name="CasesWithRuns" queryTableFieldId="11"/>
    <tableColumn id="37" xr3:uid="{3F726428-1F04-4535-8A1A-36A6E160F263}" uniqueName="37" name="PassingCases" queryTableFieldId="12"/>
    <tableColumn id="38" xr3:uid="{E43C7742-1AF2-4B62-A15E-D82D849A89E1}" uniqueName="38" name="BlockedCases" queryTableFieldId="13"/>
    <tableColumn id="39" xr3:uid="{241324EA-1534-4362-875A-4B847C6AA81C}" uniqueName="39" name="LastPassBuild" queryTableFieldId="14"/>
    <tableColumn id="40" xr3:uid="{E96497AC-29E1-4434-9CB6-9785B9BD5A81}" uniqueName="40" name="LastGoodBuild" queryTableFieldId="15"/>
    <tableColumn id="41" xr3:uid="{5DA52B31-7BA5-4A20-A626-EFEAD39DFF93}" uniqueName="41" name="PassingButUnderLevelled" queryTableFieldId="16"/>
    <tableColumn id="42" xr3:uid="{02A5A511-0787-48E4-9D52-B6F530E3DB7D}" uniqueName="42" name="PassingButSelfVerified" queryTableFieldId="17"/>
    <tableColumn id="43" xr3:uid="{965B893F-364E-4801-BB3B-026228E90DC3}" uniqueName="43" name="HasEvidence" queryTableFieldId="18"/>
    <tableColumn id="44" xr3:uid="{4941C6C6-740C-41F5-BA00-684AFE909D49}" uniqueName="44" name="MeetsPolicy" queryTableFieldId="19"/>
    <tableColumn id="45" xr3:uid="{86E31078-31EC-482E-89FF-0E3338CBCD57}" uniqueName="45" name="StaleByCode" queryTableFieldId="20"/>
    <tableColumn id="46" xr3:uid="{B473925A-933D-4523-8A09-911073B42980}" uniqueName="46" name="StaleByRequirement" queryTableFieldId="21"/>
    <tableColumn id="47" xr3:uid="{A1459A46-9D2F-45E8-85A2-88704E00CA41}" uniqueName="47" name="IsCurrent" queryTableFieldId="22"/>
    <tableColumn id="48" xr3:uid="{829C3E0F-3DC6-4F13-BD55-25ACAC48A296}" uniqueName="48" name="VerificationState" queryTableFieldId="23" dataDxfId="75"/>
    <tableColumn id="49" xr3:uid="{5D3A79C2-748D-4D23-B700-7DE9CE78535F}" uniqueName="49" name="InterveningBuilds" queryTableFieldId="24"/>
    <tableColumn id="50" xr3:uid="{03568902-A902-4A75-98DF-E6444B631551}" uniqueName="50" name="AsOfBuil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3DA404-B782-4799-A134-F32285846EF9}" name="tQueue" displayName="tQueue" ref="A1:X227" tableType="queryTable" totalsRowShown="0" headerRowDxfId="60">
  <autoFilter ref="A1:X227" xr:uid="{9D3DA404-B782-4799-A134-F32285846EF9}"/>
  <tableColumns count="24">
    <tableColumn id="25" xr3:uid="{2A5296B4-C2A5-4955-9CB1-1BF23F38E37E}" uniqueName="25" name="PriorityRank" queryTableFieldId="1"/>
    <tableColumn id="26" xr3:uid="{9F50AB21-6138-4D03-A09F-E643B2B94CAC}" uniqueName="26" name="RequirementID" queryTableFieldId="2" dataDxfId="73"/>
    <tableColumn id="27" xr3:uid="{197176F2-F58F-4B57-8918-A5A246ECCC12}" uniqueName="27" name="Title" queryTableFieldId="3" dataDxfId="72"/>
    <tableColumn id="28" xr3:uid="{2D65646B-C729-47AA-9878-B170597C22F1}" uniqueName="28" name="ReqType" queryTableFieldId="4" dataDxfId="71"/>
    <tableColumn id="29" xr3:uid="{B588EEB7-DD1A-46A3-9026-996D41519150}" uniqueName="29" name="Priority" queryTableFieldId="5" dataDxfId="70"/>
    <tableColumn id="30" xr3:uid="{722B45E4-9D46-4094-B1B5-5A3EEC969D27}" uniqueName="30" name="SubsystemCode" queryTableFieldId="6" dataDxfId="69"/>
    <tableColumn id="31" xr3:uid="{D4042D29-F469-435B-BAB6-DE5A3291725B}" uniqueName="31" name="SubsystemName" queryTableFieldId="7" dataDxfId="68"/>
    <tableColumn id="32" xr3:uid="{CA1F2BEC-A9C4-4757-81AB-B72C72AC99FE}" uniqueName="32" name="Criticality" queryTableFieldId="8" dataDxfId="67"/>
    <tableColumn id="33" xr3:uid="{12636DBB-79CC-45DA-AEAB-6E5805082F42}" uniqueName="33" name="OwnerID" queryTableFieldId="9" dataDxfId="66"/>
    <tableColumn id="34" xr3:uid="{8A46B817-32FD-4307-99AD-AC707D1829EA}" uniqueName="34" name="OwnerName" queryTableFieldId="10" dataDxfId="65"/>
    <tableColumn id="35" xr3:uid="{B69FDE9C-A3D9-4F2F-AC48-EBE06112CF85}" uniqueName="35" name="OwnerTeam" queryTableFieldId="11" dataDxfId="64"/>
    <tableColumn id="36" xr3:uid="{D3AB35BA-58C3-4524-94B3-D41A7C7A49B0}" uniqueName="36" name="MinTestLevel" queryTableFieldId="12" dataDxfId="63"/>
    <tableColumn id="37" xr3:uid="{B82CF14A-D0E3-4EA7-B21F-0DBB9F0F7522}" uniqueName="37" name="LastGoodBuild" queryTableFieldId="13"/>
    <tableColumn id="38" xr3:uid="{45538C63-4728-4B79-80B1-B847D654AA2D}" uniqueName="38" name="InterveningBuilds" queryTableFieldId="14"/>
    <tableColumn id="39" xr3:uid="{37FEE13E-A39A-4384-BA72-8B7874B2F7BC}" uniqueName="39" name="Cases" queryTableFieldId="15"/>
    <tableColumn id="40" xr3:uid="{C36FD6AB-659E-4D71-9DD5-0CAFF097C90B}" uniqueName="40" name="RigHours" queryTableFieldId="16"/>
    <tableColumn id="41" xr3:uid="{235B9736-1A61-4BD9-AD13-E2E0B62F16D2}" uniqueName="41" name="AirframeHours" queryTableFieldId="17"/>
    <tableColumn id="42" xr3:uid="{2FE2DB38-1568-4203-A96F-2672808CB158}" uniqueName="42" name="TestMinutes" queryTableFieldId="18"/>
    <tableColumn id="43" xr3:uid="{EDADA004-A0B5-44AC-99ED-E06AA5C6C6F5}" uniqueName="43" name="CumulativeRigHours" queryTableFieldId="19"/>
    <tableColumn id="44" xr3:uid="{E12F239C-85FC-4CE4-BF5B-9B9D8CEA1F0B}" uniqueName="44" name="PriorityScore" queryTableFieldId="20"/>
    <tableColumn id="45" xr3:uid="{73BCCE60-64BD-4184-A89C-57E56247AA7E}" uniqueName="45" name="ActionCode" queryTableFieldId="21" dataDxfId="62"/>
    <tableColumn id="46" xr3:uid="{8F3FFB71-A406-4380-ABDD-CE84382F66B2}" uniqueName="46" name="NeedsNewCase" queryTableFieldId="22"/>
    <tableColumn id="47" xr3:uid="{203E9366-6549-498C-940D-173DABDFB87C}" uniqueName="47" name="IsThisWeek" queryTableFieldId="23"/>
    <tableColumn id="48" xr3:uid="{2921960B-15A8-4895-BF9C-A319C8AE30C4}" uniqueName="48" name="RecommendedAction" queryTableFieldId="24" dataDxfId="6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79A361-5490-46D5-B04A-CD050FC01B1B}" name="tSub" displayName="tSub" ref="A1:R9" tableType="queryTable" totalsRowShown="0" headerRowDxfId="56">
  <autoFilter ref="A1:R9" xr:uid="{7C79A361-5490-46D5-B04A-CD050FC01B1B}"/>
  <tableColumns count="18">
    <tableColumn id="19" xr3:uid="{C0A466E9-9241-4105-964A-3828AB7A2B7C}" uniqueName="19" name="SubsystemCode" queryTableFieldId="1" dataDxfId="59"/>
    <tableColumn id="20" xr3:uid="{DB258F4A-E703-4AF3-945D-F85E6E5F7028}" uniqueName="20" name="SubsystemName" queryTableFieldId="2" dataDxfId="58"/>
    <tableColumn id="21" xr3:uid="{DC982605-4122-432D-872C-B3A5A24A0A51}" uniqueName="21" name="Criticality" queryTableFieldId="3" dataDxfId="57"/>
    <tableColumn id="22" xr3:uid="{75371DBE-AAA3-4C36-ACDF-52B4C975DC82}" uniqueName="22" name="RequiresHILRig" queryTableFieldId="4"/>
    <tableColumn id="23" xr3:uid="{3BE44F7B-1BAC-46B0-B3A1-9E2D3E0D747B}" uniqueName="23" name="Requirements" queryTableFieldId="5"/>
    <tableColumn id="24" xr3:uid="{A4EA8780-2695-4112-AF16-A6728AE41D36}" uniqueName="24" name="MustShip" queryTableFieldId="6"/>
    <tableColumn id="25" xr3:uid="{6E080D31-9B1A-4741-A950-36BFB324DD30}" uniqueName="25" name="CurrentAll" queryTableFieldId="7"/>
    <tableColumn id="26" xr3:uid="{66E5F216-2CA7-4EE7-AAA4-18E26DEE7AE9}" uniqueName="26" name="CurrentMustShip" queryTableFieldId="8"/>
    <tableColumn id="27" xr3:uid="{E7B1CEB8-1D79-444A-8FC2-CC3D6601C7C9}" uniqueName="27" name="NoEvidence" queryTableFieldId="9"/>
    <tableColumn id="28" xr3:uid="{375BFD9D-04F8-4C81-BBD0-91DE23D6E784}" uniqueName="28" name="Insufficient" queryTableFieldId="10"/>
    <tableColumn id="29" xr3:uid="{3FA40780-82B2-4577-A5DD-96817DC44E7B}" uniqueName="29" name="StaleByCode" queryTableFieldId="11"/>
    <tableColumn id="30" xr3:uid="{CBF0B419-7113-485C-84F3-13CBB2DA7EF0}" uniqueName="30" name="StaleByReq" queryTableFieldId="12"/>
    <tableColumn id="31" xr3:uid="{0CBEC419-8B15-4FC7-88AF-ED9E880F62B1}" uniqueName="31" name="ReadinessPct" queryTableFieldId="13"/>
    <tableColumn id="32" xr3:uid="{86EF1E06-113F-4C04-AE66-E7F598D257FC}" uniqueName="32" name="BuildsChanged" queryTableFieldId="14"/>
    <tableColumn id="33" xr3:uid="{44C76AB7-E09F-4981-BE7B-A9939759F8CE}" uniqueName="33" name="LinesChanged" queryTableFieldId="15"/>
    <tableColumn id="34" xr3:uid="{F78921EF-E632-4B30-8F9E-DCF41F52179C}" uniqueName="34" name="LastChangeBuild" queryTableFieldId="16"/>
    <tableColumn id="35" xr3:uid="{432C0D55-4F7E-4713-90D6-DA7F8068AF22}" uniqueName="35" name="RigHoursOutstanding" queryTableFieldId="17"/>
    <tableColumn id="36" xr3:uid="{5770FC10-00C4-4AD0-B2F8-F16A65BB64F1}" uniqueName="36" name="AirframeHoursOutstanding"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ACC5DF-2CEB-4739-932D-C0EF0A68333A}" name="tKPI" displayName="tKPI" ref="A1:S2" tableType="queryTable" totalsRowShown="0" headerRowDxfId="54">
  <autoFilter ref="A1:S2" xr:uid="{35ACC5DF-2CEB-4739-932D-C0EF0A68333A}"/>
  <tableColumns count="19">
    <tableColumn id="20" xr3:uid="{7F9736C3-5CF8-45E1-B601-1F5E8C2BA8F0}" uniqueName="20" name="AsOfBuild" queryTableFieldId="1"/>
    <tableColumn id="21" xr3:uid="{5BD0F5C1-6CC6-41DD-887A-831693B295F8}" uniqueName="21" name="AsOfDate" queryTableFieldId="2" dataDxfId="55"/>
    <tableColumn id="22" xr3:uid="{3098E6DD-058D-450E-B6FB-E2EB83D9656D}" uniqueName="22" name="Requirements" queryTableFieldId="3"/>
    <tableColumn id="23" xr3:uid="{968EE051-C86F-40E7-A7A5-F6D7A534DEAD}" uniqueName="23" name="MustShipCount" queryTableFieldId="4"/>
    <tableColumn id="24" xr3:uid="{0E91F785-7C41-4DFD-A072-8EDF7308FA9B}" uniqueName="24" name="WorkItemCompletionPct" queryTableFieldId="5"/>
    <tableColumn id="25" xr3:uid="{F2B83D0A-C05C-45AB-A157-103874391D7D}" uniqueName="25" name="VerificationCoveragePct" queryTableFieldId="6"/>
    <tableColumn id="26" xr3:uid="{A4129253-AFA5-4511-9C40-BE1C9D73A3C5}" uniqueName="26" name="ShipReadinessPct" queryTableFieldId="7"/>
    <tableColumn id="27" xr3:uid="{DB15C5F2-749B-494E-9545-D127899980F7}" uniqueName="27" name="StaleVerificationPct" queryTableFieldId="8"/>
    <tableColumn id="28" xr3:uid="{0FC67198-DBB1-4FAC-84C0-B956E12BF163}" uniqueName="28" name="PolicyCompliancePct" queryTableFieldId="9"/>
    <tableColumn id="29" xr3:uid="{B188381B-54E2-443B-8274-FD0ED44B41E8}" uniqueName="29" name="NoEvidenceCount" queryTableFieldId="10"/>
    <tableColumn id="30" xr3:uid="{D4D07CAF-8C74-42A5-BC0A-62CDA15EE674}" uniqueName="30" name="InsufficientCount" queryTableFieldId="11"/>
    <tableColumn id="31" xr3:uid="{A4569355-D550-4268-AD3A-AC94E27DDD70}" uniqueName="31" name="StaleCount" queryTableFieldId="12"/>
    <tableColumn id="32" xr3:uid="{C31E9681-69E4-4740-ABF8-862242CC7A05}" uniqueName="32" name="CurrentCount" queryTableFieldId="13"/>
    <tableColumn id="33" xr3:uid="{782F7CA6-CCE0-4E1F-90D8-892C5EEDE44C}" uniqueName="33" name="BlockedTestPct" queryTableFieldId="14"/>
    <tableColumn id="34" xr3:uid="{BF7090F7-1E7E-40B6-8ED2-774483E3EB3B}" uniqueName="34" name="CriticalRAIDOpen" queryTableFieldId="15"/>
    <tableColumn id="35" xr3:uid="{05C73E79-C568-48CF-96BC-F9242737CD85}" uniqueName="35" name="OverdueRAIDPct" queryTableFieldId="16"/>
    <tableColumn id="36" xr3:uid="{16DD22E5-8B9D-4861-8F1C-EABC82C2C04B}" uniqueName="36" name="TotalRAIDExposure" queryTableFieldId="17"/>
    <tableColumn id="37" xr3:uid="{C4077BA1-1349-4D74-AA82-D1678C2F1D19}" uniqueName="37" name="RigHoursOutstanding" queryTableFieldId="18"/>
    <tableColumn id="38" xr3:uid="{D0427E23-4EAA-49EA-A6CE-EFA3A47E834E}" uniqueName="38" name="AirframeHoursOutstanding" queryTableField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F4BEA5-4CBA-4144-9E00-245B5AD9A356}" name="tTrend" displayName="tTrend" ref="A1:H14" tableType="queryTable" totalsRowShown="0" headerRowDxfId="51">
  <autoFilter ref="A1:H14" xr:uid="{65F4BEA5-4CBA-4144-9E00-245B5AD9A356}"/>
  <tableColumns count="8">
    <tableColumn id="9" xr3:uid="{81685950-90A8-487A-92B3-77F5FAFA441C}" uniqueName="9" name="BuildNumber" queryTableFieldId="1"/>
    <tableColumn id="10" xr3:uid="{2ED291BC-B87D-4CFC-BEA9-4EFBD46141D1}" uniqueName="10" name="BuildID" queryTableFieldId="2" dataDxfId="53"/>
    <tableColumn id="11" xr3:uid="{6CE3CBFF-BD95-43CA-8981-BD3EF89DEC39}" uniqueName="11" name="BuildDate" queryTableFieldId="3" dataDxfId="52"/>
    <tableColumn id="12" xr3:uid="{4624DF36-0DC7-471C-B0C3-C0D4B708BA8C}" uniqueName="12" name="WorkItemCompletionPct" queryTableFieldId="4"/>
    <tableColumn id="13" xr3:uid="{17DFE300-2B39-4CEC-87BE-27B08D49AD3B}" uniqueName="13" name="VerificationCoveragePct" queryTableFieldId="5"/>
    <tableColumn id="14" xr3:uid="{F6D1B3DD-97A9-4534-BD80-27609AEBF62F}" uniqueName="14" name="ShipReadinessPct" queryTableFieldId="6"/>
    <tableColumn id="15" xr3:uid="{EF400CA6-E7C9-4CC0-8F56-260B4C107477}" uniqueName="15" name="StaleVerificationPct" queryTableFieldId="7"/>
    <tableColumn id="16" xr3:uid="{2B9AF4F8-82FC-48F8-B246-DAC433F7B260}" uniqueName="16" name="ReadinessGapVsReported"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353879-FB3C-46C7-AFE5-9C09B2F4E044}" name="tRAID" displayName="tRAID" ref="A1:V97" tableType="queryTable" totalsRowShown="0" headerRowDxfId="35">
  <autoFilter ref="A1:V97" xr:uid="{16353879-FB3C-46C7-AFE5-9C09B2F4E044}"/>
  <tableColumns count="22">
    <tableColumn id="23" xr3:uid="{9DCC39FD-0695-42B4-BFE7-67D9B82ABA36}" uniqueName="23" name="RAIDID" queryTableFieldId="1" dataDxfId="50"/>
    <tableColumn id="24" xr3:uid="{7EDFB7E3-1518-4E1A-B30F-1F3059C57F92}" uniqueName="24" name="RAIDType" queryTableFieldId="2" dataDxfId="49"/>
    <tableColumn id="25" xr3:uid="{44E3DF2F-1DAD-4AB2-9C7D-E4B1CB3B4D27}" uniqueName="25" name="Title" queryTableFieldId="3" dataDxfId="48"/>
    <tableColumn id="26" xr3:uid="{5ADCADF8-6C07-4D6C-B2DA-FA22EE7606F9}" uniqueName="26" name="SubsystemCode" queryTableFieldId="4" dataDxfId="47"/>
    <tableColumn id="27" xr3:uid="{A2DC15BB-CAE2-4C06-8D9B-9AB251D0695E}" uniqueName="27" name="SubsystemName" queryTableFieldId="5" dataDxfId="46"/>
    <tableColumn id="28" xr3:uid="{B14AAD62-ACAF-48C4-8A4A-681E723069FE}" uniqueName="28" name="Criticality" queryTableFieldId="6" dataDxfId="45"/>
    <tableColumn id="29" xr3:uid="{896D86DD-F432-4BE4-A469-A05CC859AD3D}" uniqueName="29" name="OwnerID" queryTableFieldId="7" dataDxfId="44"/>
    <tableColumn id="30" xr3:uid="{B082DC8F-9D74-4D7E-A7D0-86ED5DE3A0EA}" uniqueName="30" name="OwnerName" queryTableFieldId="8" dataDxfId="43"/>
    <tableColumn id="31" xr3:uid="{A961BD4E-3FA5-410D-897C-35CE2529ECD7}" uniqueName="31" name="OwnerTeam" queryTableFieldId="9" dataDxfId="42"/>
    <tableColumn id="32" xr3:uid="{9CE4FC3E-1310-4B93-B6A0-4EAF4472E2D7}" uniqueName="32" name="RaisedDate" queryTableFieldId="10" dataDxfId="41"/>
    <tableColumn id="33" xr3:uid="{415912FB-7796-4173-896A-2E20860DA8D8}" uniqueName="33" name="DueDate" queryTableFieldId="11" dataDxfId="40"/>
    <tableColumn id="34" xr3:uid="{45F5DA9B-22DC-47A5-B358-E57A15CD8FEF}" uniqueName="34" name="ClosedDate" queryTableFieldId="12" dataDxfId="39"/>
    <tableColumn id="35" xr3:uid="{C9A06764-A711-4340-A1BC-267B299D17D0}" uniqueName="35" name="Probability" queryTableFieldId="13"/>
    <tableColumn id="36" xr3:uid="{A9F2D6FF-42B9-42B3-878F-EEFF6B044A4D}" uniqueName="36" name="Impact" queryTableFieldId="14"/>
    <tableColumn id="37" xr3:uid="{2ABF9D8D-AC46-4A90-8B50-76D7E8A47A95}" uniqueName="37" name="ExposureScore" queryTableFieldId="15"/>
    <tableColumn id="38" xr3:uid="{F30FCBDE-CA20-4856-A74E-E29D1E42D31A}" uniqueName="38" name="ExposureBand" queryTableFieldId="16" dataDxfId="38"/>
    <tableColumn id="39" xr3:uid="{EA2335FB-57FB-4814-A44C-F952D1B0BB1A}" uniqueName="39" name="RAIDStatus" queryTableFieldId="17" dataDxfId="37"/>
    <tableColumn id="40" xr3:uid="{9FE012BB-5A51-4693-9E74-BC7BBDBCE8CA}" uniqueName="40" name="IsOpen" queryTableFieldId="18"/>
    <tableColumn id="41" xr3:uid="{C64D0841-AE45-45E0-B38F-61D893B553FF}" uniqueName="41" name="IsOverdue" queryTableFieldId="19"/>
    <tableColumn id="42" xr3:uid="{F5532810-79BC-4984-BDBF-EDA69EBC1959}" uniqueName="42" name="DaysOverdue" queryTableFieldId="20"/>
    <tableColumn id="43" xr3:uid="{65BBD19B-03FF-4344-B4BE-D031EA2418BE}" uniqueName="43" name="AgeDays" queryTableFieldId="21"/>
    <tableColumn id="44" xr3:uid="{952DDBD4-A6C9-4976-8190-F33AAA2B632B}" uniqueName="44" name="MitigationNote" queryTableFieldId="22" dataDxfId="3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EFB7E1-D071-4EDF-8954-9AD49B2C0191}" name="tWork" displayName="tWork" ref="A1:K1092" tableType="queryTable" totalsRowShown="0" headerRowDxfId="25">
  <autoFilter ref="A1:K1092" xr:uid="{C0EFB7E1-D071-4EDF-8954-9AD49B2C0191}"/>
  <tableColumns count="11">
    <tableColumn id="12" xr3:uid="{C42DDEB1-BBC7-46FF-9E0D-FA9BE3256386}" uniqueName="12" name="WorkItemID" queryTableFieldId="1" dataDxfId="34"/>
    <tableColumn id="13" xr3:uid="{EE9B7106-A644-4CCE-8E0F-0E8EC05D8E90}" uniqueName="13" name="RequirementID" queryTableFieldId="2" dataDxfId="33"/>
    <tableColumn id="14" xr3:uid="{1645828D-D5F5-4490-BCCA-29FFBB697A21}" uniqueName="14" name="Priority" queryTableFieldId="3" dataDxfId="32"/>
    <tableColumn id="15" xr3:uid="{F5773E17-1FB6-4068-BFC8-427A9C45EB70}" uniqueName="15" name="SubsystemCode" queryTableFieldId="4" dataDxfId="31"/>
    <tableColumn id="16" xr3:uid="{E5720A2B-EB9E-4DFB-A1ED-B681C4223B2F}" uniqueName="16" name="AssignedToID" queryTableFieldId="5" dataDxfId="30"/>
    <tableColumn id="17" xr3:uid="{C1F23EE1-480C-409D-B373-9DA7C7609E45}" uniqueName="17" name="AssignedToName" queryTableFieldId="6" dataDxfId="29"/>
    <tableColumn id="18" xr3:uid="{588E097D-016C-4C39-A7AF-3208418CDB02}" uniqueName="18" name="OpenedDate" queryTableFieldId="7" dataDxfId="28"/>
    <tableColumn id="19" xr3:uid="{D72CF463-0A96-4A24-B9CF-46D34D3DED30}" uniqueName="19" name="ClosedDate" queryTableFieldId="8" dataDxfId="27"/>
    <tableColumn id="20" xr3:uid="{1B8E5FA5-94AD-428F-BAB0-FBAC28F94FD2}" uniqueName="20" name="EstimateHours" queryTableFieldId="9"/>
    <tableColumn id="21" xr3:uid="{A96DBB6B-D0FD-4721-9566-4B5D2EE7CD4F}" uniqueName="21" name="ActualHours" queryTableFieldId="10"/>
    <tableColumn id="22" xr3:uid="{4F48ED7A-37A8-4B00-9DC6-69AAF3F51077}" uniqueName="22" name="WorkItemStatus" queryTableFieldId="11" dataDxfId="2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1C6E4B-3831-4225-9CDC-BAE2DE34A262}" name="tDQ" displayName="tDQ" ref="A1:I12" tableType="queryTable" totalsRowShown="0" headerRowDxfId="19">
  <autoFilter ref="A1:I12" xr:uid="{EC1C6E4B-3831-4225-9CDC-BAE2DE34A262}"/>
  <tableColumns count="9">
    <tableColumn id="10" xr3:uid="{A487A76D-AAD7-48C3-A141-4F3080F6490A}" uniqueName="10" name="AnomalyType" queryTableFieldId="1" dataDxfId="24"/>
    <tableColumn id="11" xr3:uid="{2887B411-671F-4A56-AE89-9B6C23E7DD9B}" uniqueName="11" name="EntityType" queryTableFieldId="2" dataDxfId="23"/>
    <tableColumn id="12" xr3:uid="{CFB2A24A-A64A-4A34-A234-D2F6C63494EE}" uniqueName="12" name="Severity" queryTableFieldId="3" dataDxfId="22"/>
    <tableColumn id="13" xr3:uid="{64E896B9-A527-429D-ACAA-8AE3731C42D2}" uniqueName="13" name="ImpactClass" queryTableFieldId="4" dataDxfId="21"/>
    <tableColumn id="14" xr3:uid="{A2539706-FEE2-4C06-84ED-0478708BC470}" uniqueName="14" name="CountsTowardExposure" queryTableFieldId="5"/>
    <tableColumn id="15" xr3:uid="{52031154-FA8F-4C18-8788-DE358D9821B8}" uniqueName="15" name="Anomalies" queryTableFieldId="6"/>
    <tableColumn id="16" xr3:uid="{266EE920-EC94-4DC1-963C-4B570E46C98C}" uniqueName="16" name="PopulationScanned" queryTableFieldId="7"/>
    <tableColumn id="17" xr3:uid="{EFC23D76-613F-4C31-8CF8-28EFF879E6B1}" uniqueName="17" name="AnomalyRatePct" queryTableFieldId="8"/>
    <tableColumn id="18" xr3:uid="{C6301395-0905-402A-AE26-A691D0383556}" uniqueName="18" name="WhatItMeans" queryTableFieldId="9" dataDxfId="2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1EBB51-A151-4C78-9D71-38FEB2D347D5}" name="tPolicy" displayName="tPolicy" ref="A1:E6" tableType="queryTable" totalsRowShown="0" headerRowDxfId="15">
  <autoFilter ref="A1:E6" xr:uid="{C01EBB51-A151-4C78-9D71-38FEB2D347D5}"/>
  <tableColumns count="5">
    <tableColumn id="6" xr3:uid="{85B1058A-C611-48B3-BE29-F0D254902704}" uniqueName="6" name="ReqType" queryTableFieldId="1" dataDxfId="18"/>
    <tableColumn id="7" xr3:uid="{9A8C2D11-01A4-46C2-A6B1-3B10BD16B370}" uniqueName="7" name="MinTestLevel" queryTableFieldId="2" dataDxfId="17"/>
    <tableColumn id="8" xr3:uid="{4B4656B9-79A8-49FF-8C9C-B2FE6E2942C4}" uniqueName="8" name="MinTestLevelRank" queryTableFieldId="3"/>
    <tableColumn id="9" xr3:uid="{4346898A-9FAB-4258-848C-3271D52ECB9B}" uniqueName="9" name="RequiresIndependentTester" queryTableFieldId="4"/>
    <tableColumn id="10" xr3:uid="{0036726C-84ED-4B9D-A8F3-7800C736E3FF}" uniqueName="10" name="PolicyNote" queryTableFieldId="5" dataDxfId="1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878585D-27CD-4A19-80B6-751F5F38260D}" name="tMatrix" displayName="tMatrix" ref="A1:D26" tableType="queryTable" totalsRowShown="0" headerRowDxfId="13">
  <autoFilter ref="A1:D26" xr:uid="{9878585D-27CD-4A19-80B6-751F5F38260D}"/>
  <tableColumns count="4">
    <tableColumn id="5" xr3:uid="{38E8B195-96BA-4273-8A85-21A4D3E947FB}" uniqueName="5" name="Probability" queryTableFieldId="1"/>
    <tableColumn id="6" xr3:uid="{7E762BE7-CCBC-48E2-939A-B9C750738C18}" uniqueName="6" name="Impact" queryTableFieldId="2"/>
    <tableColumn id="7" xr3:uid="{803D2D00-ECD3-497D-81A5-82A0FD4FF498}" uniqueName="7" name="ExposureScore" queryTableFieldId="3"/>
    <tableColumn id="8" xr3:uid="{4CEB595D-14A1-4588-8A8E-4DD28FF70527}" uniqueName="8" name="ExposureBand" queryTableFieldId="4" dataDxfId="1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9E5403-ED37-4EB6-966E-B7D341D95D08}" name="tTargets" displayName="tTargets" ref="A1:F9" tableType="queryTable" totalsRowShown="0" headerRowDxfId="8">
  <autoFilter ref="A1:F9" xr:uid="{8F9E5403-ED37-4EB6-966E-B7D341D95D08}"/>
  <tableColumns count="6">
    <tableColumn id="7" xr3:uid="{FF4E3E59-5172-440F-85EA-82359922BC8B}" uniqueName="7" name="MetricName" queryTableFieldId="1" dataDxfId="12"/>
    <tableColumn id="8" xr3:uid="{12CE1718-A291-4593-8168-0BCE4D942068}" uniqueName="8" name="TargetValue" queryTableFieldId="2"/>
    <tableColumn id="9" xr3:uid="{8AD30513-EBFF-4228-B114-CF0016B5DDB3}" uniqueName="9" name="WarningValue" queryTableFieldId="3"/>
    <tableColumn id="10" xr3:uid="{8CD9D70A-8905-4A1C-BBBA-C8EFC2E333EF}" uniqueName="10" name="Direction" queryTableFieldId="4" dataDxfId="11"/>
    <tableColumn id="11" xr3:uid="{B07F6CE2-82EA-414E-BF15-3CC1DE002EEE}" uniqueName="11" name="Unit" queryTableFieldId="5" dataDxfId="10"/>
    <tableColumn id="12" xr3:uid="{C6733A33-03F2-40CA-9C7B-EAB8DC1873E1}" uniqueName="12" name="Description" queryTableFieldId="6"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9D21-8A20-451A-BF1B-E5B9E2790B62}">
  <dimension ref="A1:C15"/>
  <sheetViews>
    <sheetView workbookViewId="0"/>
  </sheetViews>
  <sheetFormatPr defaultRowHeight="14.5" x14ac:dyDescent="0.35"/>
  <cols>
    <col min="1" max="1" width="22.6328125" customWidth="1"/>
    <col min="2" max="2" width="46.6328125" customWidth="1"/>
    <col min="3" max="3" width="92.6328125" customWidth="1"/>
  </cols>
  <sheetData>
    <row r="1" spans="1:3" ht="21" x14ac:dyDescent="0.5">
      <c r="A1" s="1" t="s">
        <v>0</v>
      </c>
    </row>
    <row r="2" spans="1:3" x14ac:dyDescent="0.35">
      <c r="A2" s="2" t="s">
        <v>1</v>
      </c>
    </row>
    <row r="4" spans="1:3" x14ac:dyDescent="0.35">
      <c r="A4" s="4" t="s">
        <v>2</v>
      </c>
      <c r="B4" s="4" t="s">
        <v>3</v>
      </c>
      <c r="C4" s="4" t="s">
        <v>4</v>
      </c>
    </row>
    <row r="5" spans="1:3" x14ac:dyDescent="0.35">
      <c r="A5" t="s">
        <v>5</v>
      </c>
      <c r="B5" s="5">
        <f>DATE(2026,9,30)</f>
        <v>46295</v>
      </c>
      <c r="C5" t="s">
        <v>6</v>
      </c>
    </row>
    <row r="6" spans="1:3" x14ac:dyDescent="0.35">
      <c r="A6" t="s">
        <v>7</v>
      </c>
      <c r="B6" s="6">
        <v>88</v>
      </c>
      <c r="C6" t="s">
        <v>8</v>
      </c>
    </row>
    <row r="7" spans="1:3" x14ac:dyDescent="0.35">
      <c r="A7" t="s">
        <v>9</v>
      </c>
      <c r="B7" s="6" t="s">
        <v>10</v>
      </c>
      <c r="C7" t="s">
        <v>11</v>
      </c>
    </row>
    <row r="8" spans="1:3" x14ac:dyDescent="0.35">
      <c r="A8" t="s">
        <v>12</v>
      </c>
      <c r="B8" s="6">
        <v>180</v>
      </c>
      <c r="C8" t="s">
        <v>13</v>
      </c>
    </row>
    <row r="9" spans="1:3" x14ac:dyDescent="0.35">
      <c r="A9" t="s">
        <v>14</v>
      </c>
      <c r="B9" s="6">
        <v>30</v>
      </c>
      <c r="C9" t="s">
        <v>15</v>
      </c>
    </row>
    <row r="12" spans="1:3" x14ac:dyDescent="0.35">
      <c r="A12" s="7" t="s">
        <v>16</v>
      </c>
    </row>
    <row r="13" spans="1:3" x14ac:dyDescent="0.35">
      <c r="A13" s="8" t="s">
        <v>17</v>
      </c>
      <c r="B13" s="8"/>
      <c r="C13" s="8"/>
    </row>
    <row r="14" spans="1:3" x14ac:dyDescent="0.35">
      <c r="A14" s="8"/>
      <c r="B14" s="8"/>
      <c r="C14" s="8"/>
    </row>
    <row r="15" spans="1:3" x14ac:dyDescent="0.35">
      <c r="A15" s="8"/>
      <c r="B15" s="8"/>
      <c r="C15" s="8"/>
    </row>
  </sheetData>
  <mergeCells count="1">
    <mergeCell ref="A13: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6FEF-9D78-463D-BA62-A9F576CAC9E6}">
  <dimension ref="A1:Y520"/>
  <sheetViews>
    <sheetView workbookViewId="0"/>
  </sheetViews>
  <sheetFormatPr defaultRowHeight="14.5" x14ac:dyDescent="0.35"/>
  <cols>
    <col min="1" max="1" width="15.90625" bestFit="1" customWidth="1"/>
    <col min="2" max="2" width="77.36328125" bestFit="1" customWidth="1"/>
    <col min="3" max="3" width="11.26953125" bestFit="1" customWidth="1"/>
    <col min="4" max="4" width="9.7265625" bestFit="1" customWidth="1"/>
    <col min="5" max="5" width="16.81640625" bestFit="1" customWidth="1"/>
    <col min="6" max="6" width="24" bestFit="1" customWidth="1"/>
    <col min="7" max="7" width="11.36328125" bestFit="1" customWidth="1"/>
    <col min="8" max="8" width="14" bestFit="1" customWidth="1"/>
    <col min="9" max="9" width="26.6328125" bestFit="1" customWidth="1"/>
    <col min="10" max="10" width="12.26953125" bestFit="1" customWidth="1"/>
    <col min="11" max="11" width="16.453125" bestFit="1" customWidth="1"/>
    <col min="12" max="12" width="14.6328125" bestFit="1" customWidth="1"/>
    <col min="13" max="13" width="14.90625" bestFit="1" customWidth="1"/>
    <col min="14" max="14" width="14.81640625" bestFit="1" customWidth="1"/>
    <col min="15" max="15" width="15.36328125" bestFit="1" customWidth="1"/>
    <col min="16" max="16" width="24.7265625" bestFit="1" customWidth="1"/>
    <col min="17" max="17" width="22.36328125" bestFit="1" customWidth="1"/>
    <col min="18" max="18" width="13.90625" bestFit="1" customWidth="1"/>
    <col min="19" max="19" width="13.1796875" bestFit="1" customWidth="1"/>
    <col min="20" max="20" width="13.7265625" bestFit="1" customWidth="1"/>
    <col min="21" max="21" width="20.453125" bestFit="1" customWidth="1"/>
    <col min="22" max="22" width="10.90625" bestFit="1" customWidth="1"/>
    <col min="23" max="23" width="23.7265625" bestFit="1" customWidth="1"/>
    <col min="24" max="24" width="17.90625" bestFit="1" customWidth="1"/>
    <col min="25" max="25" width="11.36328125" bestFit="1" customWidth="1"/>
  </cols>
  <sheetData>
    <row r="1" spans="1:25" s="3" customFormat="1" x14ac:dyDescent="0.35">
      <c r="A1" s="3" t="s">
        <v>18</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c r="T1" s="3" t="s">
        <v>37</v>
      </c>
      <c r="U1" s="3" t="s">
        <v>38</v>
      </c>
      <c r="V1" s="3" t="s">
        <v>39</v>
      </c>
      <c r="W1" s="3" t="s">
        <v>40</v>
      </c>
      <c r="X1" s="3" t="s">
        <v>41</v>
      </c>
      <c r="Y1" s="3" t="s">
        <v>42</v>
      </c>
    </row>
    <row r="2" spans="1:25" x14ac:dyDescent="0.35">
      <c r="A2" s="9" t="s">
        <v>43</v>
      </c>
      <c r="B2" s="9" t="s">
        <v>44</v>
      </c>
      <c r="C2" s="9" t="s">
        <v>45</v>
      </c>
      <c r="D2" s="9" t="s">
        <v>46</v>
      </c>
      <c r="E2" s="9" t="s">
        <v>47</v>
      </c>
      <c r="F2" s="9" t="s">
        <v>48</v>
      </c>
      <c r="G2" s="9" t="s">
        <v>49</v>
      </c>
      <c r="H2" s="9" t="s">
        <v>50</v>
      </c>
      <c r="I2">
        <v>0</v>
      </c>
      <c r="J2">
        <v>4</v>
      </c>
      <c r="K2">
        <v>4</v>
      </c>
      <c r="L2">
        <v>4</v>
      </c>
      <c r="M2">
        <v>0</v>
      </c>
      <c r="N2">
        <v>88</v>
      </c>
      <c r="O2">
        <v>88</v>
      </c>
      <c r="P2">
        <v>2</v>
      </c>
      <c r="Q2">
        <v>0</v>
      </c>
      <c r="R2">
        <v>1</v>
      </c>
      <c r="S2">
        <v>1</v>
      </c>
      <c r="T2">
        <v>0</v>
      </c>
      <c r="U2">
        <v>0</v>
      </c>
      <c r="V2">
        <v>1</v>
      </c>
      <c r="W2" s="9" t="s">
        <v>51</v>
      </c>
      <c r="X2">
        <v>0</v>
      </c>
      <c r="Y2">
        <v>88</v>
      </c>
    </row>
    <row r="3" spans="1:25" x14ac:dyDescent="0.35">
      <c r="A3" s="9" t="s">
        <v>52</v>
      </c>
      <c r="B3" s="9" t="s">
        <v>53</v>
      </c>
      <c r="C3" s="9" t="s">
        <v>54</v>
      </c>
      <c r="D3" s="9" t="s">
        <v>55</v>
      </c>
      <c r="E3" s="9" t="s">
        <v>56</v>
      </c>
      <c r="F3" s="9" t="s">
        <v>57</v>
      </c>
      <c r="G3" s="9" t="s">
        <v>54</v>
      </c>
      <c r="H3" s="9" t="s">
        <v>50</v>
      </c>
      <c r="I3">
        <v>1</v>
      </c>
      <c r="J3">
        <v>3</v>
      </c>
      <c r="K3">
        <v>3</v>
      </c>
      <c r="L3">
        <v>2</v>
      </c>
      <c r="M3">
        <v>0</v>
      </c>
      <c r="N3">
        <v>88</v>
      </c>
      <c r="P3">
        <v>0</v>
      </c>
      <c r="Q3">
        <v>2</v>
      </c>
      <c r="R3">
        <v>1</v>
      </c>
      <c r="S3">
        <v>0</v>
      </c>
      <c r="T3">
        <v>0</v>
      </c>
      <c r="U3">
        <v>0</v>
      </c>
      <c r="V3">
        <v>0</v>
      </c>
      <c r="W3" s="9" t="s">
        <v>58</v>
      </c>
      <c r="X3">
        <v>0</v>
      </c>
      <c r="Y3">
        <v>88</v>
      </c>
    </row>
    <row r="4" spans="1:25" x14ac:dyDescent="0.35">
      <c r="A4" s="9" t="s">
        <v>59</v>
      </c>
      <c r="B4" s="9" t="s">
        <v>60</v>
      </c>
      <c r="C4" s="9" t="s">
        <v>61</v>
      </c>
      <c r="D4" s="9" t="s">
        <v>62</v>
      </c>
      <c r="E4" s="9" t="s">
        <v>63</v>
      </c>
      <c r="F4" s="9" t="s">
        <v>64</v>
      </c>
      <c r="G4" s="9" t="s">
        <v>49</v>
      </c>
      <c r="H4" s="9" t="s">
        <v>65</v>
      </c>
      <c r="I4">
        <v>0</v>
      </c>
      <c r="J4">
        <v>3</v>
      </c>
      <c r="K4">
        <v>3</v>
      </c>
      <c r="L4">
        <v>3</v>
      </c>
      <c r="M4">
        <v>0</v>
      </c>
      <c r="N4">
        <v>88</v>
      </c>
      <c r="O4">
        <v>88</v>
      </c>
      <c r="P4">
        <v>1</v>
      </c>
      <c r="Q4">
        <v>0</v>
      </c>
      <c r="R4">
        <v>1</v>
      </c>
      <c r="S4">
        <v>1</v>
      </c>
      <c r="T4">
        <v>0</v>
      </c>
      <c r="U4">
        <v>0</v>
      </c>
      <c r="V4">
        <v>1</v>
      </c>
      <c r="W4" s="9" t="s">
        <v>51</v>
      </c>
      <c r="X4">
        <v>0</v>
      </c>
      <c r="Y4">
        <v>88</v>
      </c>
    </row>
    <row r="5" spans="1:25" x14ac:dyDescent="0.35">
      <c r="A5" s="9" t="s">
        <v>66</v>
      </c>
      <c r="B5" s="9" t="s">
        <v>67</v>
      </c>
      <c r="C5" s="9" t="s">
        <v>68</v>
      </c>
      <c r="D5" s="9" t="s">
        <v>55</v>
      </c>
      <c r="E5" s="9" t="s">
        <v>69</v>
      </c>
      <c r="F5" s="9" t="s">
        <v>70</v>
      </c>
      <c r="G5" s="9" t="s">
        <v>49</v>
      </c>
      <c r="H5" s="9" t="s">
        <v>65</v>
      </c>
      <c r="I5">
        <v>0</v>
      </c>
      <c r="J5">
        <v>1</v>
      </c>
      <c r="K5">
        <v>1</v>
      </c>
      <c r="L5">
        <v>1</v>
      </c>
      <c r="M5">
        <v>0</v>
      </c>
      <c r="N5">
        <v>88</v>
      </c>
      <c r="P5">
        <v>1</v>
      </c>
      <c r="Q5">
        <v>0</v>
      </c>
      <c r="R5">
        <v>1</v>
      </c>
      <c r="S5">
        <v>0</v>
      </c>
      <c r="T5">
        <v>0</v>
      </c>
      <c r="U5">
        <v>0</v>
      </c>
      <c r="V5">
        <v>0</v>
      </c>
      <c r="W5" s="9" t="s">
        <v>58</v>
      </c>
      <c r="X5">
        <v>0</v>
      </c>
      <c r="Y5">
        <v>88</v>
      </c>
    </row>
    <row r="6" spans="1:25" x14ac:dyDescent="0.35">
      <c r="A6" s="9" t="s">
        <v>71</v>
      </c>
      <c r="B6" s="9" t="s">
        <v>72</v>
      </c>
      <c r="C6" s="9" t="s">
        <v>45</v>
      </c>
      <c r="D6" s="9" t="s">
        <v>55</v>
      </c>
      <c r="E6" s="9" t="s">
        <v>47</v>
      </c>
      <c r="F6" s="9" t="s">
        <v>48</v>
      </c>
      <c r="G6" s="9" t="s">
        <v>49</v>
      </c>
      <c r="H6" s="9" t="s">
        <v>50</v>
      </c>
      <c r="I6">
        <v>0</v>
      </c>
      <c r="J6">
        <v>1</v>
      </c>
      <c r="K6">
        <v>1</v>
      </c>
      <c r="L6">
        <v>0</v>
      </c>
      <c r="M6">
        <v>1</v>
      </c>
      <c r="P6">
        <v>0</v>
      </c>
      <c r="Q6">
        <v>0</v>
      </c>
      <c r="R6">
        <v>0</v>
      </c>
      <c r="S6">
        <v>0</v>
      </c>
      <c r="T6">
        <v>0</v>
      </c>
      <c r="U6">
        <v>0</v>
      </c>
      <c r="V6">
        <v>0</v>
      </c>
      <c r="W6" s="9" t="s">
        <v>73</v>
      </c>
      <c r="X6">
        <v>0</v>
      </c>
      <c r="Y6">
        <v>88</v>
      </c>
    </row>
    <row r="7" spans="1:25" x14ac:dyDescent="0.35">
      <c r="A7" s="9" t="s">
        <v>74</v>
      </c>
      <c r="B7" s="9" t="s">
        <v>75</v>
      </c>
      <c r="C7" s="9" t="s">
        <v>61</v>
      </c>
      <c r="D7" s="9" t="s">
        <v>46</v>
      </c>
      <c r="E7" s="9" t="s">
        <v>76</v>
      </c>
      <c r="F7" s="9" t="s">
        <v>77</v>
      </c>
      <c r="G7" s="9" t="s">
        <v>54</v>
      </c>
      <c r="H7" s="9" t="s">
        <v>65</v>
      </c>
      <c r="I7">
        <v>0</v>
      </c>
      <c r="J7">
        <v>4</v>
      </c>
      <c r="K7">
        <v>4</v>
      </c>
      <c r="L7">
        <v>4</v>
      </c>
      <c r="M7">
        <v>0</v>
      </c>
      <c r="N7">
        <v>88</v>
      </c>
      <c r="O7">
        <v>88</v>
      </c>
      <c r="P7">
        <v>0</v>
      </c>
      <c r="Q7">
        <v>0</v>
      </c>
      <c r="R7">
        <v>1</v>
      </c>
      <c r="S7">
        <v>1</v>
      </c>
      <c r="T7">
        <v>0</v>
      </c>
      <c r="U7">
        <v>0</v>
      </c>
      <c r="V7">
        <v>1</v>
      </c>
      <c r="W7" s="9" t="s">
        <v>51</v>
      </c>
      <c r="X7">
        <v>0</v>
      </c>
      <c r="Y7">
        <v>88</v>
      </c>
    </row>
    <row r="8" spans="1:25" x14ac:dyDescent="0.35">
      <c r="A8" s="9" t="s">
        <v>78</v>
      </c>
      <c r="B8" s="9" t="s">
        <v>79</v>
      </c>
      <c r="C8" s="9" t="s">
        <v>45</v>
      </c>
      <c r="D8" s="9" t="s">
        <v>55</v>
      </c>
      <c r="E8" s="9" t="s">
        <v>80</v>
      </c>
      <c r="F8" s="9" t="s">
        <v>81</v>
      </c>
      <c r="G8" s="9" t="s">
        <v>82</v>
      </c>
      <c r="H8" s="9" t="s">
        <v>50</v>
      </c>
      <c r="I8">
        <v>0</v>
      </c>
      <c r="J8">
        <v>1</v>
      </c>
      <c r="K8">
        <v>1</v>
      </c>
      <c r="L8">
        <v>1</v>
      </c>
      <c r="M8">
        <v>0</v>
      </c>
      <c r="N8">
        <v>88</v>
      </c>
      <c r="P8">
        <v>1</v>
      </c>
      <c r="Q8">
        <v>0</v>
      </c>
      <c r="R8">
        <v>1</v>
      </c>
      <c r="S8">
        <v>0</v>
      </c>
      <c r="T8">
        <v>0</v>
      </c>
      <c r="U8">
        <v>0</v>
      </c>
      <c r="V8">
        <v>0</v>
      </c>
      <c r="W8" s="9" t="s">
        <v>58</v>
      </c>
      <c r="X8">
        <v>0</v>
      </c>
      <c r="Y8">
        <v>88</v>
      </c>
    </row>
    <row r="9" spans="1:25" x14ac:dyDescent="0.35">
      <c r="A9" s="9" t="s">
        <v>83</v>
      </c>
      <c r="B9" s="9" t="s">
        <v>84</v>
      </c>
      <c r="C9" s="9" t="s">
        <v>68</v>
      </c>
      <c r="D9" s="9" t="s">
        <v>46</v>
      </c>
      <c r="E9" s="9" t="s">
        <v>47</v>
      </c>
      <c r="F9" s="9" t="s">
        <v>48</v>
      </c>
      <c r="G9" s="9" t="s">
        <v>49</v>
      </c>
      <c r="H9" s="9" t="s">
        <v>65</v>
      </c>
      <c r="I9">
        <v>0</v>
      </c>
      <c r="J9">
        <v>3</v>
      </c>
      <c r="K9">
        <v>3</v>
      </c>
      <c r="L9">
        <v>3</v>
      </c>
      <c r="M9">
        <v>0</v>
      </c>
      <c r="N9">
        <v>88</v>
      </c>
      <c r="P9">
        <v>3</v>
      </c>
      <c r="Q9">
        <v>0</v>
      </c>
      <c r="R9">
        <v>1</v>
      </c>
      <c r="S9">
        <v>0</v>
      </c>
      <c r="T9">
        <v>0</v>
      </c>
      <c r="U9">
        <v>0</v>
      </c>
      <c r="V9">
        <v>0</v>
      </c>
      <c r="W9" s="9" t="s">
        <v>58</v>
      </c>
      <c r="X9">
        <v>0</v>
      </c>
      <c r="Y9">
        <v>88</v>
      </c>
    </row>
    <row r="10" spans="1:25" x14ac:dyDescent="0.35">
      <c r="A10" s="9" t="s">
        <v>85</v>
      </c>
      <c r="B10" s="9" t="s">
        <v>86</v>
      </c>
      <c r="C10" s="9" t="s">
        <v>61</v>
      </c>
      <c r="D10" s="9" t="s">
        <v>46</v>
      </c>
      <c r="E10" s="9" t="s">
        <v>56</v>
      </c>
      <c r="F10" s="9" t="s">
        <v>57</v>
      </c>
      <c r="G10" s="9" t="s">
        <v>54</v>
      </c>
      <c r="H10" s="9" t="s">
        <v>65</v>
      </c>
      <c r="I10">
        <v>0</v>
      </c>
      <c r="J10">
        <v>4</v>
      </c>
      <c r="K10">
        <v>4</v>
      </c>
      <c r="L10">
        <v>4</v>
      </c>
      <c r="M10">
        <v>0</v>
      </c>
      <c r="N10">
        <v>88</v>
      </c>
      <c r="O10">
        <v>88</v>
      </c>
      <c r="P10">
        <v>0</v>
      </c>
      <c r="Q10">
        <v>0</v>
      </c>
      <c r="R10">
        <v>1</v>
      </c>
      <c r="S10">
        <v>1</v>
      </c>
      <c r="T10">
        <v>0</v>
      </c>
      <c r="U10">
        <v>0</v>
      </c>
      <c r="V10">
        <v>1</v>
      </c>
      <c r="W10" s="9" t="s">
        <v>51</v>
      </c>
      <c r="X10">
        <v>0</v>
      </c>
      <c r="Y10">
        <v>88</v>
      </c>
    </row>
    <row r="11" spans="1:25" x14ac:dyDescent="0.35">
      <c r="A11" s="9" t="s">
        <v>87</v>
      </c>
      <c r="B11" s="9" t="s">
        <v>88</v>
      </c>
      <c r="C11" s="9" t="s">
        <v>68</v>
      </c>
      <c r="D11" s="9" t="s">
        <v>46</v>
      </c>
      <c r="E11" s="9" t="s">
        <v>80</v>
      </c>
      <c r="F11" s="9" t="s">
        <v>81</v>
      </c>
      <c r="G11" s="9" t="s">
        <v>82</v>
      </c>
      <c r="H11" s="9" t="s">
        <v>65</v>
      </c>
      <c r="I11">
        <v>0</v>
      </c>
      <c r="J11">
        <v>3</v>
      </c>
      <c r="K11">
        <v>3</v>
      </c>
      <c r="L11">
        <v>3</v>
      </c>
      <c r="M11">
        <v>0</v>
      </c>
      <c r="N11">
        <v>88</v>
      </c>
      <c r="O11">
        <v>88</v>
      </c>
      <c r="P11">
        <v>0</v>
      </c>
      <c r="Q11">
        <v>0</v>
      </c>
      <c r="R11">
        <v>1</v>
      </c>
      <c r="S11">
        <v>1</v>
      </c>
      <c r="T11">
        <v>0</v>
      </c>
      <c r="U11">
        <v>0</v>
      </c>
      <c r="V11">
        <v>1</v>
      </c>
      <c r="W11" s="9" t="s">
        <v>51</v>
      </c>
      <c r="X11">
        <v>0</v>
      </c>
      <c r="Y11">
        <v>88</v>
      </c>
    </row>
    <row r="12" spans="1:25" x14ac:dyDescent="0.35">
      <c r="A12" s="9" t="s">
        <v>89</v>
      </c>
      <c r="B12" s="9" t="s">
        <v>90</v>
      </c>
      <c r="C12" s="9" t="s">
        <v>45</v>
      </c>
      <c r="D12" s="9" t="s">
        <v>55</v>
      </c>
      <c r="E12" s="9" t="s">
        <v>63</v>
      </c>
      <c r="F12" s="9" t="s">
        <v>64</v>
      </c>
      <c r="G12" s="9" t="s">
        <v>49</v>
      </c>
      <c r="H12" s="9" t="s">
        <v>50</v>
      </c>
      <c r="I12">
        <v>0</v>
      </c>
      <c r="J12">
        <v>4</v>
      </c>
      <c r="K12">
        <v>4</v>
      </c>
      <c r="L12">
        <v>2</v>
      </c>
      <c r="M12">
        <v>1</v>
      </c>
      <c r="N12">
        <v>88</v>
      </c>
      <c r="O12">
        <v>88</v>
      </c>
      <c r="P12">
        <v>1</v>
      </c>
      <c r="Q12">
        <v>0</v>
      </c>
      <c r="R12">
        <v>1</v>
      </c>
      <c r="S12">
        <v>1</v>
      </c>
      <c r="T12">
        <v>0</v>
      </c>
      <c r="U12">
        <v>0</v>
      </c>
      <c r="V12">
        <v>1</v>
      </c>
      <c r="W12" s="9" t="s">
        <v>51</v>
      </c>
      <c r="X12">
        <v>0</v>
      </c>
      <c r="Y12">
        <v>88</v>
      </c>
    </row>
    <row r="13" spans="1:25" x14ac:dyDescent="0.35">
      <c r="A13" s="9" t="s">
        <v>91</v>
      </c>
      <c r="B13" s="9" t="s">
        <v>92</v>
      </c>
      <c r="C13" s="9" t="s">
        <v>45</v>
      </c>
      <c r="D13" s="9" t="s">
        <v>46</v>
      </c>
      <c r="E13" s="9" t="s">
        <v>93</v>
      </c>
      <c r="F13" s="9" t="s">
        <v>94</v>
      </c>
      <c r="G13" s="9" t="s">
        <v>82</v>
      </c>
      <c r="H13" s="9" t="s">
        <v>50</v>
      </c>
      <c r="I13">
        <v>0</v>
      </c>
      <c r="J13">
        <v>2</v>
      </c>
      <c r="K13">
        <v>2</v>
      </c>
      <c r="L13">
        <v>2</v>
      </c>
      <c r="M13">
        <v>0</v>
      </c>
      <c r="N13">
        <v>88</v>
      </c>
      <c r="O13">
        <v>39</v>
      </c>
      <c r="P13">
        <v>1</v>
      </c>
      <c r="Q13">
        <v>0</v>
      </c>
      <c r="R13">
        <v>1</v>
      </c>
      <c r="S13">
        <v>1</v>
      </c>
      <c r="T13">
        <v>1</v>
      </c>
      <c r="U13">
        <v>0</v>
      </c>
      <c r="V13">
        <v>0</v>
      </c>
      <c r="W13" s="9" t="s">
        <v>95</v>
      </c>
      <c r="X13">
        <v>9</v>
      </c>
      <c r="Y13">
        <v>88</v>
      </c>
    </row>
    <row r="14" spans="1:25" x14ac:dyDescent="0.35">
      <c r="A14" s="9" t="s">
        <v>96</v>
      </c>
      <c r="B14" s="9" t="s">
        <v>97</v>
      </c>
      <c r="C14" s="9" t="s">
        <v>61</v>
      </c>
      <c r="D14" s="9" t="s">
        <v>55</v>
      </c>
      <c r="E14" s="9" t="s">
        <v>69</v>
      </c>
      <c r="F14" s="9" t="s">
        <v>70</v>
      </c>
      <c r="G14" s="9" t="s">
        <v>49</v>
      </c>
      <c r="H14" s="9" t="s">
        <v>65</v>
      </c>
      <c r="I14">
        <v>0</v>
      </c>
      <c r="J14">
        <v>3</v>
      </c>
      <c r="K14">
        <v>3</v>
      </c>
      <c r="L14">
        <v>3</v>
      </c>
      <c r="M14">
        <v>0</v>
      </c>
      <c r="N14">
        <v>88</v>
      </c>
      <c r="O14">
        <v>88</v>
      </c>
      <c r="P14">
        <v>0</v>
      </c>
      <c r="Q14">
        <v>0</v>
      </c>
      <c r="R14">
        <v>1</v>
      </c>
      <c r="S14">
        <v>1</v>
      </c>
      <c r="T14">
        <v>0</v>
      </c>
      <c r="U14">
        <v>0</v>
      </c>
      <c r="V14">
        <v>1</v>
      </c>
      <c r="W14" s="9" t="s">
        <v>51</v>
      </c>
      <c r="X14">
        <v>0</v>
      </c>
      <c r="Y14">
        <v>88</v>
      </c>
    </row>
    <row r="15" spans="1:25" x14ac:dyDescent="0.35">
      <c r="A15" s="9" t="s">
        <v>98</v>
      </c>
      <c r="B15" s="9" t="s">
        <v>99</v>
      </c>
      <c r="C15" s="9" t="s">
        <v>54</v>
      </c>
      <c r="D15" s="9" t="s">
        <v>46</v>
      </c>
      <c r="E15" s="9" t="s">
        <v>76</v>
      </c>
      <c r="F15" s="9" t="s">
        <v>77</v>
      </c>
      <c r="G15" s="9" t="s">
        <v>54</v>
      </c>
      <c r="H15" s="9" t="s">
        <v>50</v>
      </c>
      <c r="I15">
        <v>1</v>
      </c>
      <c r="J15">
        <v>1</v>
      </c>
      <c r="K15">
        <v>1</v>
      </c>
      <c r="L15">
        <v>1</v>
      </c>
      <c r="M15">
        <v>0</v>
      </c>
      <c r="N15">
        <v>28</v>
      </c>
      <c r="O15">
        <v>28</v>
      </c>
      <c r="P15">
        <v>0</v>
      </c>
      <c r="Q15">
        <v>0</v>
      </c>
      <c r="R15">
        <v>1</v>
      </c>
      <c r="S15">
        <v>1</v>
      </c>
      <c r="T15">
        <v>1</v>
      </c>
      <c r="U15">
        <v>0</v>
      </c>
      <c r="V15">
        <v>0</v>
      </c>
      <c r="W15" s="9" t="s">
        <v>95</v>
      </c>
      <c r="X15">
        <v>10</v>
      </c>
      <c r="Y15">
        <v>88</v>
      </c>
    </row>
    <row r="16" spans="1:25" x14ac:dyDescent="0.35">
      <c r="A16" s="9" t="s">
        <v>100</v>
      </c>
      <c r="B16" s="9" t="s">
        <v>101</v>
      </c>
      <c r="C16" s="9" t="s">
        <v>61</v>
      </c>
      <c r="D16" s="9" t="s">
        <v>46</v>
      </c>
      <c r="E16" s="9" t="s">
        <v>69</v>
      </c>
      <c r="F16" s="9" t="s">
        <v>70</v>
      </c>
      <c r="G16" s="9" t="s">
        <v>49</v>
      </c>
      <c r="H16" s="9" t="s">
        <v>65</v>
      </c>
      <c r="I16">
        <v>0</v>
      </c>
      <c r="J16">
        <v>4</v>
      </c>
      <c r="K16">
        <v>4</v>
      </c>
      <c r="L16">
        <v>4</v>
      </c>
      <c r="M16">
        <v>0</v>
      </c>
      <c r="N16">
        <v>88</v>
      </c>
      <c r="O16">
        <v>88</v>
      </c>
      <c r="P16">
        <v>2</v>
      </c>
      <c r="Q16">
        <v>0</v>
      </c>
      <c r="R16">
        <v>1</v>
      </c>
      <c r="S16">
        <v>1</v>
      </c>
      <c r="T16">
        <v>0</v>
      </c>
      <c r="U16">
        <v>0</v>
      </c>
      <c r="V16">
        <v>1</v>
      </c>
      <c r="W16" s="9" t="s">
        <v>51</v>
      </c>
      <c r="X16">
        <v>0</v>
      </c>
      <c r="Y16">
        <v>88</v>
      </c>
    </row>
    <row r="17" spans="1:25" x14ac:dyDescent="0.35">
      <c r="A17" s="9" t="s">
        <v>102</v>
      </c>
      <c r="B17" s="9" t="s">
        <v>103</v>
      </c>
      <c r="C17" s="9" t="s">
        <v>68</v>
      </c>
      <c r="D17" s="9" t="s">
        <v>46</v>
      </c>
      <c r="E17" s="9" t="s">
        <v>80</v>
      </c>
      <c r="F17" s="9" t="s">
        <v>81</v>
      </c>
      <c r="G17" s="9" t="s">
        <v>82</v>
      </c>
      <c r="H17" s="9" t="s">
        <v>65</v>
      </c>
      <c r="I17">
        <v>0</v>
      </c>
      <c r="J17">
        <v>4</v>
      </c>
      <c r="K17">
        <v>4</v>
      </c>
      <c r="L17">
        <v>4</v>
      </c>
      <c r="M17">
        <v>0</v>
      </c>
      <c r="N17">
        <v>88</v>
      </c>
      <c r="O17">
        <v>88</v>
      </c>
      <c r="P17">
        <v>3</v>
      </c>
      <c r="Q17">
        <v>0</v>
      </c>
      <c r="R17">
        <v>1</v>
      </c>
      <c r="S17">
        <v>1</v>
      </c>
      <c r="T17">
        <v>0</v>
      </c>
      <c r="U17">
        <v>0</v>
      </c>
      <c r="V17">
        <v>1</v>
      </c>
      <c r="W17" s="9" t="s">
        <v>51</v>
      </c>
      <c r="X17">
        <v>0</v>
      </c>
      <c r="Y17">
        <v>88</v>
      </c>
    </row>
    <row r="18" spans="1:25" x14ac:dyDescent="0.35">
      <c r="A18" s="9" t="s">
        <v>104</v>
      </c>
      <c r="B18" s="9" t="s">
        <v>105</v>
      </c>
      <c r="C18" s="9" t="s">
        <v>61</v>
      </c>
      <c r="D18" s="9" t="s">
        <v>62</v>
      </c>
      <c r="E18" s="9" t="s">
        <v>93</v>
      </c>
      <c r="F18" s="9" t="s">
        <v>94</v>
      </c>
      <c r="G18" s="9" t="s">
        <v>82</v>
      </c>
      <c r="H18" s="9" t="s">
        <v>65</v>
      </c>
      <c r="I18">
        <v>0</v>
      </c>
      <c r="J18">
        <v>2</v>
      </c>
      <c r="K18">
        <v>2</v>
      </c>
      <c r="L18">
        <v>2</v>
      </c>
      <c r="M18">
        <v>0</v>
      </c>
      <c r="N18">
        <v>88</v>
      </c>
      <c r="O18">
        <v>88</v>
      </c>
      <c r="P18">
        <v>1</v>
      </c>
      <c r="Q18">
        <v>0</v>
      </c>
      <c r="R18">
        <v>1</v>
      </c>
      <c r="S18">
        <v>1</v>
      </c>
      <c r="T18">
        <v>0</v>
      </c>
      <c r="U18">
        <v>0</v>
      </c>
      <c r="V18">
        <v>1</v>
      </c>
      <c r="W18" s="9" t="s">
        <v>51</v>
      </c>
      <c r="X18">
        <v>0</v>
      </c>
      <c r="Y18">
        <v>88</v>
      </c>
    </row>
    <row r="19" spans="1:25" x14ac:dyDescent="0.35">
      <c r="A19" s="9" t="s">
        <v>106</v>
      </c>
      <c r="B19" s="9" t="s">
        <v>107</v>
      </c>
      <c r="C19" s="9" t="s">
        <v>45</v>
      </c>
      <c r="D19" s="9" t="s">
        <v>46</v>
      </c>
      <c r="E19" s="9" t="s">
        <v>76</v>
      </c>
      <c r="F19" s="9" t="s">
        <v>77</v>
      </c>
      <c r="G19" s="9" t="s">
        <v>54</v>
      </c>
      <c r="H19" s="9" t="s">
        <v>50</v>
      </c>
      <c r="I19">
        <v>0</v>
      </c>
      <c r="J19">
        <v>4</v>
      </c>
      <c r="K19">
        <v>4</v>
      </c>
      <c r="L19">
        <v>4</v>
      </c>
      <c r="M19">
        <v>0</v>
      </c>
      <c r="N19">
        <v>88</v>
      </c>
      <c r="O19">
        <v>88</v>
      </c>
      <c r="P19">
        <v>2</v>
      </c>
      <c r="Q19">
        <v>0</v>
      </c>
      <c r="R19">
        <v>1</v>
      </c>
      <c r="S19">
        <v>1</v>
      </c>
      <c r="T19">
        <v>0</v>
      </c>
      <c r="U19">
        <v>0</v>
      </c>
      <c r="V19">
        <v>1</v>
      </c>
      <c r="W19" s="9" t="s">
        <v>51</v>
      </c>
      <c r="X19">
        <v>0</v>
      </c>
      <c r="Y19">
        <v>88</v>
      </c>
    </row>
    <row r="20" spans="1:25" x14ac:dyDescent="0.35">
      <c r="A20" s="9" t="s">
        <v>108</v>
      </c>
      <c r="B20" s="9" t="s">
        <v>109</v>
      </c>
      <c r="C20" s="9" t="s">
        <v>54</v>
      </c>
      <c r="D20" s="9" t="s">
        <v>46</v>
      </c>
      <c r="E20" s="9" t="s">
        <v>63</v>
      </c>
      <c r="F20" s="9" t="s">
        <v>64</v>
      </c>
      <c r="G20" s="9" t="s">
        <v>49</v>
      </c>
      <c r="H20" s="9" t="s">
        <v>50</v>
      </c>
      <c r="I20">
        <v>1</v>
      </c>
      <c r="J20">
        <v>2</v>
      </c>
      <c r="K20">
        <v>2</v>
      </c>
      <c r="L20">
        <v>2</v>
      </c>
      <c r="M20">
        <v>0</v>
      </c>
      <c r="N20">
        <v>88</v>
      </c>
      <c r="O20">
        <v>88</v>
      </c>
      <c r="P20">
        <v>1</v>
      </c>
      <c r="Q20">
        <v>0</v>
      </c>
      <c r="R20">
        <v>1</v>
      </c>
      <c r="S20">
        <v>1</v>
      </c>
      <c r="T20">
        <v>0</v>
      </c>
      <c r="U20">
        <v>0</v>
      </c>
      <c r="V20">
        <v>1</v>
      </c>
      <c r="W20" s="9" t="s">
        <v>51</v>
      </c>
      <c r="X20">
        <v>0</v>
      </c>
      <c r="Y20">
        <v>88</v>
      </c>
    </row>
    <row r="21" spans="1:25" x14ac:dyDescent="0.35">
      <c r="A21" s="9" t="s">
        <v>110</v>
      </c>
      <c r="B21" s="9" t="s">
        <v>111</v>
      </c>
      <c r="C21" s="9" t="s">
        <v>68</v>
      </c>
      <c r="D21" s="9" t="s">
        <v>55</v>
      </c>
      <c r="E21" s="9" t="s">
        <v>112</v>
      </c>
      <c r="F21" s="9" t="s">
        <v>113</v>
      </c>
      <c r="G21" s="9" t="s">
        <v>54</v>
      </c>
      <c r="H21" s="9" t="s">
        <v>65</v>
      </c>
      <c r="I21">
        <v>0</v>
      </c>
      <c r="J21">
        <v>2</v>
      </c>
      <c r="K21">
        <v>2</v>
      </c>
      <c r="L21">
        <v>2</v>
      </c>
      <c r="M21">
        <v>0</v>
      </c>
      <c r="N21">
        <v>88</v>
      </c>
      <c r="O21">
        <v>88</v>
      </c>
      <c r="P21">
        <v>0</v>
      </c>
      <c r="Q21">
        <v>0</v>
      </c>
      <c r="R21">
        <v>1</v>
      </c>
      <c r="S21">
        <v>1</v>
      </c>
      <c r="T21">
        <v>0</v>
      </c>
      <c r="U21">
        <v>0</v>
      </c>
      <c r="V21">
        <v>1</v>
      </c>
      <c r="W21" s="9" t="s">
        <v>51</v>
      </c>
      <c r="X21">
        <v>0</v>
      </c>
      <c r="Y21">
        <v>88</v>
      </c>
    </row>
    <row r="22" spans="1:25" x14ac:dyDescent="0.35">
      <c r="A22" s="9" t="s">
        <v>114</v>
      </c>
      <c r="B22" s="9" t="s">
        <v>115</v>
      </c>
      <c r="C22" s="9" t="s">
        <v>68</v>
      </c>
      <c r="D22" s="9" t="s">
        <v>55</v>
      </c>
      <c r="E22" s="9" t="s">
        <v>69</v>
      </c>
      <c r="F22" s="9" t="s">
        <v>70</v>
      </c>
      <c r="G22" s="9" t="s">
        <v>49</v>
      </c>
      <c r="H22" s="9" t="s">
        <v>65</v>
      </c>
      <c r="I22">
        <v>0</v>
      </c>
      <c r="J22">
        <v>4</v>
      </c>
      <c r="K22">
        <v>4</v>
      </c>
      <c r="L22">
        <v>4</v>
      </c>
      <c r="M22">
        <v>0</v>
      </c>
      <c r="N22">
        <v>88</v>
      </c>
      <c r="O22">
        <v>88</v>
      </c>
      <c r="P22">
        <v>3</v>
      </c>
      <c r="Q22">
        <v>0</v>
      </c>
      <c r="R22">
        <v>1</v>
      </c>
      <c r="S22">
        <v>1</v>
      </c>
      <c r="T22">
        <v>0</v>
      </c>
      <c r="U22">
        <v>0</v>
      </c>
      <c r="V22">
        <v>1</v>
      </c>
      <c r="W22" s="9" t="s">
        <v>51</v>
      </c>
      <c r="X22">
        <v>0</v>
      </c>
      <c r="Y22">
        <v>88</v>
      </c>
    </row>
    <row r="23" spans="1:25" x14ac:dyDescent="0.35">
      <c r="A23" s="9" t="s">
        <v>116</v>
      </c>
      <c r="B23" s="9" t="s">
        <v>117</v>
      </c>
      <c r="C23" s="9" t="s">
        <v>68</v>
      </c>
      <c r="D23" s="9" t="s">
        <v>46</v>
      </c>
      <c r="E23" s="9" t="s">
        <v>56</v>
      </c>
      <c r="F23" s="9" t="s">
        <v>57</v>
      </c>
      <c r="G23" s="9" t="s">
        <v>54</v>
      </c>
      <c r="H23" s="9" t="s">
        <v>65</v>
      </c>
      <c r="I23">
        <v>0</v>
      </c>
      <c r="J23">
        <v>2</v>
      </c>
      <c r="K23">
        <v>2</v>
      </c>
      <c r="L23">
        <v>2</v>
      </c>
      <c r="M23">
        <v>0</v>
      </c>
      <c r="N23">
        <v>88</v>
      </c>
      <c r="O23">
        <v>88</v>
      </c>
      <c r="P23">
        <v>1</v>
      </c>
      <c r="Q23">
        <v>0</v>
      </c>
      <c r="R23">
        <v>1</v>
      </c>
      <c r="S23">
        <v>1</v>
      </c>
      <c r="T23">
        <v>0</v>
      </c>
      <c r="U23">
        <v>0</v>
      </c>
      <c r="V23">
        <v>1</v>
      </c>
      <c r="W23" s="9" t="s">
        <v>51</v>
      </c>
      <c r="X23">
        <v>0</v>
      </c>
      <c r="Y23">
        <v>88</v>
      </c>
    </row>
    <row r="24" spans="1:25" x14ac:dyDescent="0.35">
      <c r="A24" s="9" t="s">
        <v>118</v>
      </c>
      <c r="B24" s="9" t="s">
        <v>119</v>
      </c>
      <c r="C24" s="9" t="s">
        <v>61</v>
      </c>
      <c r="D24" s="9" t="s">
        <v>46</v>
      </c>
      <c r="E24" s="9" t="s">
        <v>63</v>
      </c>
      <c r="F24" s="9" t="s">
        <v>64</v>
      </c>
      <c r="G24" s="9" t="s">
        <v>49</v>
      </c>
      <c r="H24" s="9" t="s">
        <v>65</v>
      </c>
      <c r="I24">
        <v>0</v>
      </c>
      <c r="J24">
        <v>4</v>
      </c>
      <c r="K24">
        <v>4</v>
      </c>
      <c r="L24">
        <v>3</v>
      </c>
      <c r="M24">
        <v>0</v>
      </c>
      <c r="N24">
        <v>88</v>
      </c>
      <c r="O24">
        <v>88</v>
      </c>
      <c r="P24">
        <v>1</v>
      </c>
      <c r="Q24">
        <v>0</v>
      </c>
      <c r="R24">
        <v>1</v>
      </c>
      <c r="S24">
        <v>1</v>
      </c>
      <c r="T24">
        <v>0</v>
      </c>
      <c r="U24">
        <v>0</v>
      </c>
      <c r="V24">
        <v>1</v>
      </c>
      <c r="W24" s="9" t="s">
        <v>51</v>
      </c>
      <c r="X24">
        <v>0</v>
      </c>
      <c r="Y24">
        <v>88</v>
      </c>
    </row>
    <row r="25" spans="1:25" x14ac:dyDescent="0.35">
      <c r="A25" s="9" t="s">
        <v>120</v>
      </c>
      <c r="B25" s="9" t="s">
        <v>121</v>
      </c>
      <c r="C25" s="9" t="s">
        <v>68</v>
      </c>
      <c r="D25" s="9" t="s">
        <v>62</v>
      </c>
      <c r="E25" s="9" t="s">
        <v>80</v>
      </c>
      <c r="F25" s="9" t="s">
        <v>81</v>
      </c>
      <c r="G25" s="9" t="s">
        <v>82</v>
      </c>
      <c r="H25" s="9" t="s">
        <v>65</v>
      </c>
      <c r="I25">
        <v>0</v>
      </c>
      <c r="J25">
        <v>4</v>
      </c>
      <c r="K25">
        <v>4</v>
      </c>
      <c r="L25">
        <v>4</v>
      </c>
      <c r="M25">
        <v>0</v>
      </c>
      <c r="N25">
        <v>88</v>
      </c>
      <c r="O25">
        <v>88</v>
      </c>
      <c r="P25">
        <v>1</v>
      </c>
      <c r="Q25">
        <v>0</v>
      </c>
      <c r="R25">
        <v>1</v>
      </c>
      <c r="S25">
        <v>1</v>
      </c>
      <c r="T25">
        <v>0</v>
      </c>
      <c r="U25">
        <v>0</v>
      </c>
      <c r="V25">
        <v>1</v>
      </c>
      <c r="W25" s="9" t="s">
        <v>51</v>
      </c>
      <c r="X25">
        <v>0</v>
      </c>
      <c r="Y25">
        <v>88</v>
      </c>
    </row>
    <row r="26" spans="1:25" x14ac:dyDescent="0.35">
      <c r="A26" s="9" t="s">
        <v>122</v>
      </c>
      <c r="B26" s="9" t="s">
        <v>123</v>
      </c>
      <c r="C26" s="9" t="s">
        <v>61</v>
      </c>
      <c r="D26" s="9" t="s">
        <v>46</v>
      </c>
      <c r="E26" s="9" t="s">
        <v>112</v>
      </c>
      <c r="F26" s="9" t="s">
        <v>113</v>
      </c>
      <c r="G26" s="9" t="s">
        <v>54</v>
      </c>
      <c r="H26" s="9" t="s">
        <v>65</v>
      </c>
      <c r="I26">
        <v>0</v>
      </c>
      <c r="J26">
        <v>2</v>
      </c>
      <c r="K26">
        <v>2</v>
      </c>
      <c r="L26">
        <v>2</v>
      </c>
      <c r="M26">
        <v>0</v>
      </c>
      <c r="N26">
        <v>88</v>
      </c>
      <c r="O26">
        <v>88</v>
      </c>
      <c r="P26">
        <v>0</v>
      </c>
      <c r="Q26">
        <v>0</v>
      </c>
      <c r="R26">
        <v>1</v>
      </c>
      <c r="S26">
        <v>1</v>
      </c>
      <c r="T26">
        <v>0</v>
      </c>
      <c r="U26">
        <v>0</v>
      </c>
      <c r="V26">
        <v>1</v>
      </c>
      <c r="W26" s="9" t="s">
        <v>51</v>
      </c>
      <c r="X26">
        <v>0</v>
      </c>
      <c r="Y26">
        <v>88</v>
      </c>
    </row>
    <row r="27" spans="1:25" x14ac:dyDescent="0.35">
      <c r="A27" s="9" t="s">
        <v>124</v>
      </c>
      <c r="B27" s="9" t="s">
        <v>125</v>
      </c>
      <c r="C27" s="9" t="s">
        <v>54</v>
      </c>
      <c r="D27" s="9" t="s">
        <v>46</v>
      </c>
      <c r="E27" s="9" t="s">
        <v>56</v>
      </c>
      <c r="F27" s="9" t="s">
        <v>57</v>
      </c>
      <c r="G27" s="9" t="s">
        <v>54</v>
      </c>
      <c r="H27" s="9" t="s">
        <v>50</v>
      </c>
      <c r="I27">
        <v>1</v>
      </c>
      <c r="J27">
        <v>2</v>
      </c>
      <c r="K27">
        <v>2</v>
      </c>
      <c r="L27">
        <v>2</v>
      </c>
      <c r="M27">
        <v>0</v>
      </c>
      <c r="N27">
        <v>88</v>
      </c>
      <c r="P27">
        <v>1</v>
      </c>
      <c r="Q27">
        <v>1</v>
      </c>
      <c r="R27">
        <v>1</v>
      </c>
      <c r="S27">
        <v>0</v>
      </c>
      <c r="T27">
        <v>0</v>
      </c>
      <c r="U27">
        <v>0</v>
      </c>
      <c r="V27">
        <v>0</v>
      </c>
      <c r="W27" s="9" t="s">
        <v>58</v>
      </c>
      <c r="X27">
        <v>0</v>
      </c>
      <c r="Y27">
        <v>88</v>
      </c>
    </row>
    <row r="28" spans="1:25" x14ac:dyDescent="0.35">
      <c r="A28" s="9" t="s">
        <v>126</v>
      </c>
      <c r="B28" s="9" t="s">
        <v>127</v>
      </c>
      <c r="C28" s="9" t="s">
        <v>54</v>
      </c>
      <c r="D28" s="9" t="s">
        <v>46</v>
      </c>
      <c r="E28" s="9" t="s">
        <v>47</v>
      </c>
      <c r="F28" s="9" t="s">
        <v>48</v>
      </c>
      <c r="G28" s="9" t="s">
        <v>49</v>
      </c>
      <c r="H28" s="9" t="s">
        <v>50</v>
      </c>
      <c r="I28">
        <v>1</v>
      </c>
      <c r="J28">
        <v>4</v>
      </c>
      <c r="K28">
        <v>4</v>
      </c>
      <c r="L28">
        <v>4</v>
      </c>
      <c r="M28">
        <v>0</v>
      </c>
      <c r="N28">
        <v>88</v>
      </c>
      <c r="O28">
        <v>33</v>
      </c>
      <c r="P28">
        <v>3</v>
      </c>
      <c r="Q28">
        <v>0</v>
      </c>
      <c r="R28">
        <v>1</v>
      </c>
      <c r="S28">
        <v>1</v>
      </c>
      <c r="T28">
        <v>1</v>
      </c>
      <c r="U28">
        <v>0</v>
      </c>
      <c r="V28">
        <v>0</v>
      </c>
      <c r="W28" s="9" t="s">
        <v>95</v>
      </c>
      <c r="X28">
        <v>13</v>
      </c>
      <c r="Y28">
        <v>88</v>
      </c>
    </row>
    <row r="29" spans="1:25" x14ac:dyDescent="0.35">
      <c r="A29" s="9" t="s">
        <v>128</v>
      </c>
      <c r="B29" s="9" t="s">
        <v>129</v>
      </c>
      <c r="C29" s="9" t="s">
        <v>45</v>
      </c>
      <c r="D29" s="9" t="s">
        <v>46</v>
      </c>
      <c r="E29" s="9" t="s">
        <v>63</v>
      </c>
      <c r="F29" s="9" t="s">
        <v>64</v>
      </c>
      <c r="G29" s="9" t="s">
        <v>49</v>
      </c>
      <c r="H29" s="9" t="s">
        <v>50</v>
      </c>
      <c r="I29">
        <v>0</v>
      </c>
      <c r="J29">
        <v>2</v>
      </c>
      <c r="K29">
        <v>2</v>
      </c>
      <c r="L29">
        <v>2</v>
      </c>
      <c r="M29">
        <v>0</v>
      </c>
      <c r="N29">
        <v>88</v>
      </c>
      <c r="P29">
        <v>2</v>
      </c>
      <c r="Q29">
        <v>0</v>
      </c>
      <c r="R29">
        <v>1</v>
      </c>
      <c r="S29">
        <v>0</v>
      </c>
      <c r="T29">
        <v>0</v>
      </c>
      <c r="U29">
        <v>0</v>
      </c>
      <c r="V29">
        <v>0</v>
      </c>
      <c r="W29" s="9" t="s">
        <v>58</v>
      </c>
      <c r="X29">
        <v>0</v>
      </c>
      <c r="Y29">
        <v>88</v>
      </c>
    </row>
    <row r="30" spans="1:25" x14ac:dyDescent="0.35">
      <c r="A30" s="9" t="s">
        <v>130</v>
      </c>
      <c r="B30" s="9" t="s">
        <v>131</v>
      </c>
      <c r="C30" s="9" t="s">
        <v>45</v>
      </c>
      <c r="D30" s="9" t="s">
        <v>46</v>
      </c>
      <c r="E30" s="9" t="s">
        <v>63</v>
      </c>
      <c r="F30" s="9" t="s">
        <v>64</v>
      </c>
      <c r="G30" s="9" t="s">
        <v>49</v>
      </c>
      <c r="H30" s="9" t="s">
        <v>50</v>
      </c>
      <c r="I30">
        <v>0</v>
      </c>
      <c r="J30">
        <v>3</v>
      </c>
      <c r="K30">
        <v>3</v>
      </c>
      <c r="L30">
        <v>3</v>
      </c>
      <c r="M30">
        <v>0</v>
      </c>
      <c r="N30">
        <v>88</v>
      </c>
      <c r="O30">
        <v>88</v>
      </c>
      <c r="P30">
        <v>1</v>
      </c>
      <c r="Q30">
        <v>0</v>
      </c>
      <c r="R30">
        <v>1</v>
      </c>
      <c r="S30">
        <v>1</v>
      </c>
      <c r="T30">
        <v>0</v>
      </c>
      <c r="U30">
        <v>0</v>
      </c>
      <c r="V30">
        <v>1</v>
      </c>
      <c r="W30" s="9" t="s">
        <v>51</v>
      </c>
      <c r="X30">
        <v>0</v>
      </c>
      <c r="Y30">
        <v>88</v>
      </c>
    </row>
    <row r="31" spans="1:25" x14ac:dyDescent="0.35">
      <c r="A31" s="9" t="s">
        <v>132</v>
      </c>
      <c r="B31" s="9" t="s">
        <v>133</v>
      </c>
      <c r="C31" s="9" t="s">
        <v>134</v>
      </c>
      <c r="D31" s="9" t="s">
        <v>55</v>
      </c>
      <c r="E31" s="9" t="s">
        <v>47</v>
      </c>
      <c r="F31" s="9" t="s">
        <v>48</v>
      </c>
      <c r="G31" s="9" t="s">
        <v>49</v>
      </c>
      <c r="H31" s="9" t="s">
        <v>135</v>
      </c>
      <c r="I31">
        <v>1</v>
      </c>
      <c r="J31">
        <v>1</v>
      </c>
      <c r="K31">
        <v>1</v>
      </c>
      <c r="L31">
        <v>1</v>
      </c>
      <c r="M31">
        <v>0</v>
      </c>
      <c r="N31">
        <v>88</v>
      </c>
      <c r="O31">
        <v>88</v>
      </c>
      <c r="P31">
        <v>0</v>
      </c>
      <c r="Q31">
        <v>0</v>
      </c>
      <c r="R31">
        <v>1</v>
      </c>
      <c r="S31">
        <v>1</v>
      </c>
      <c r="T31">
        <v>0</v>
      </c>
      <c r="U31">
        <v>0</v>
      </c>
      <c r="V31">
        <v>1</v>
      </c>
      <c r="W31" s="9" t="s">
        <v>51</v>
      </c>
      <c r="X31">
        <v>0</v>
      </c>
      <c r="Y31">
        <v>88</v>
      </c>
    </row>
    <row r="32" spans="1:25" x14ac:dyDescent="0.35">
      <c r="A32" s="9" t="s">
        <v>136</v>
      </c>
      <c r="B32" s="9" t="s">
        <v>137</v>
      </c>
      <c r="C32" s="9" t="s">
        <v>45</v>
      </c>
      <c r="D32" s="9" t="s">
        <v>62</v>
      </c>
      <c r="E32" s="9" t="s">
        <v>56</v>
      </c>
      <c r="F32" s="9" t="s">
        <v>57</v>
      </c>
      <c r="G32" s="9" t="s">
        <v>54</v>
      </c>
      <c r="H32" s="9" t="s">
        <v>50</v>
      </c>
      <c r="I32">
        <v>0</v>
      </c>
      <c r="J32">
        <v>4</v>
      </c>
      <c r="K32">
        <v>4</v>
      </c>
      <c r="L32">
        <v>4</v>
      </c>
      <c r="M32">
        <v>0</v>
      </c>
      <c r="N32">
        <v>88</v>
      </c>
      <c r="P32">
        <v>4</v>
      </c>
      <c r="Q32">
        <v>0</v>
      </c>
      <c r="R32">
        <v>1</v>
      </c>
      <c r="S32">
        <v>0</v>
      </c>
      <c r="T32">
        <v>0</v>
      </c>
      <c r="U32">
        <v>0</v>
      </c>
      <c r="V32">
        <v>0</v>
      </c>
      <c r="W32" s="9" t="s">
        <v>58</v>
      </c>
      <c r="X32">
        <v>0</v>
      </c>
      <c r="Y32">
        <v>88</v>
      </c>
    </row>
    <row r="33" spans="1:25" x14ac:dyDescent="0.35">
      <c r="A33" s="9" t="s">
        <v>138</v>
      </c>
      <c r="B33" s="9" t="s">
        <v>139</v>
      </c>
      <c r="C33" s="9" t="s">
        <v>45</v>
      </c>
      <c r="D33" s="9" t="s">
        <v>55</v>
      </c>
      <c r="E33" s="9" t="s">
        <v>47</v>
      </c>
      <c r="F33" s="9" t="s">
        <v>48</v>
      </c>
      <c r="G33" s="9" t="s">
        <v>49</v>
      </c>
      <c r="H33" s="9" t="s">
        <v>50</v>
      </c>
      <c r="I33">
        <v>0</v>
      </c>
      <c r="J33">
        <v>2</v>
      </c>
      <c r="K33">
        <v>2</v>
      </c>
      <c r="L33">
        <v>1</v>
      </c>
      <c r="M33">
        <v>1</v>
      </c>
      <c r="N33">
        <v>88</v>
      </c>
      <c r="O33">
        <v>88</v>
      </c>
      <c r="P33">
        <v>0</v>
      </c>
      <c r="Q33">
        <v>0</v>
      </c>
      <c r="R33">
        <v>1</v>
      </c>
      <c r="S33">
        <v>1</v>
      </c>
      <c r="T33">
        <v>0</v>
      </c>
      <c r="U33">
        <v>0</v>
      </c>
      <c r="V33">
        <v>1</v>
      </c>
      <c r="W33" s="9" t="s">
        <v>51</v>
      </c>
      <c r="X33">
        <v>0</v>
      </c>
      <c r="Y33">
        <v>88</v>
      </c>
    </row>
    <row r="34" spans="1:25" x14ac:dyDescent="0.35">
      <c r="A34" s="9" t="s">
        <v>140</v>
      </c>
      <c r="B34" s="9" t="s">
        <v>141</v>
      </c>
      <c r="C34" s="9" t="s">
        <v>68</v>
      </c>
      <c r="D34" s="9" t="s">
        <v>46</v>
      </c>
      <c r="E34" s="9" t="s">
        <v>80</v>
      </c>
      <c r="F34" s="9" t="s">
        <v>81</v>
      </c>
      <c r="G34" s="9" t="s">
        <v>82</v>
      </c>
      <c r="H34" s="9" t="s">
        <v>65</v>
      </c>
      <c r="I34">
        <v>0</v>
      </c>
      <c r="J34">
        <v>2</v>
      </c>
      <c r="K34">
        <v>2</v>
      </c>
      <c r="L34">
        <v>2</v>
      </c>
      <c r="M34">
        <v>0</v>
      </c>
      <c r="N34">
        <v>88</v>
      </c>
      <c r="O34">
        <v>88</v>
      </c>
      <c r="P34">
        <v>0</v>
      </c>
      <c r="Q34">
        <v>0</v>
      </c>
      <c r="R34">
        <v>1</v>
      </c>
      <c r="S34">
        <v>1</v>
      </c>
      <c r="T34">
        <v>0</v>
      </c>
      <c r="U34">
        <v>0</v>
      </c>
      <c r="V34">
        <v>1</v>
      </c>
      <c r="W34" s="9" t="s">
        <v>51</v>
      </c>
      <c r="X34">
        <v>0</v>
      </c>
      <c r="Y34">
        <v>88</v>
      </c>
    </row>
    <row r="35" spans="1:25" x14ac:dyDescent="0.35">
      <c r="A35" s="9" t="s">
        <v>142</v>
      </c>
      <c r="B35" s="9" t="s">
        <v>143</v>
      </c>
      <c r="C35" s="9" t="s">
        <v>134</v>
      </c>
      <c r="D35" s="9" t="s">
        <v>46</v>
      </c>
      <c r="E35" s="9" t="s">
        <v>112</v>
      </c>
      <c r="F35" s="9" t="s">
        <v>113</v>
      </c>
      <c r="G35" s="9" t="s">
        <v>54</v>
      </c>
      <c r="H35" s="9" t="s">
        <v>135</v>
      </c>
      <c r="I35">
        <v>1</v>
      </c>
      <c r="J35">
        <v>3</v>
      </c>
      <c r="K35">
        <v>3</v>
      </c>
      <c r="L35">
        <v>3</v>
      </c>
      <c r="M35">
        <v>0</v>
      </c>
      <c r="N35">
        <v>71</v>
      </c>
      <c r="O35">
        <v>69</v>
      </c>
      <c r="P35">
        <v>2</v>
      </c>
      <c r="Q35">
        <v>0</v>
      </c>
      <c r="R35">
        <v>1</v>
      </c>
      <c r="S35">
        <v>1</v>
      </c>
      <c r="T35">
        <v>1</v>
      </c>
      <c r="U35">
        <v>0</v>
      </c>
      <c r="V35">
        <v>0</v>
      </c>
      <c r="W35" s="9" t="s">
        <v>95</v>
      </c>
      <c r="X35">
        <v>14</v>
      </c>
      <c r="Y35">
        <v>88</v>
      </c>
    </row>
    <row r="36" spans="1:25" x14ac:dyDescent="0.35">
      <c r="A36" s="9" t="s">
        <v>144</v>
      </c>
      <c r="B36" s="9" t="s">
        <v>145</v>
      </c>
      <c r="C36" s="9" t="s">
        <v>54</v>
      </c>
      <c r="D36" s="9" t="s">
        <v>46</v>
      </c>
      <c r="E36" s="9" t="s">
        <v>112</v>
      </c>
      <c r="F36" s="9" t="s">
        <v>113</v>
      </c>
      <c r="G36" s="9" t="s">
        <v>54</v>
      </c>
      <c r="H36" s="9" t="s">
        <v>50</v>
      </c>
      <c r="I36">
        <v>1</v>
      </c>
      <c r="J36">
        <v>2</v>
      </c>
      <c r="K36">
        <v>2</v>
      </c>
      <c r="L36">
        <v>2</v>
      </c>
      <c r="M36">
        <v>0</v>
      </c>
      <c r="N36">
        <v>52</v>
      </c>
      <c r="P36">
        <v>2</v>
      </c>
      <c r="Q36">
        <v>0</v>
      </c>
      <c r="R36">
        <v>1</v>
      </c>
      <c r="S36">
        <v>0</v>
      </c>
      <c r="T36">
        <v>0</v>
      </c>
      <c r="U36">
        <v>0</v>
      </c>
      <c r="V36">
        <v>0</v>
      </c>
      <c r="W36" s="9" t="s">
        <v>58</v>
      </c>
      <c r="X36">
        <v>0</v>
      </c>
      <c r="Y36">
        <v>88</v>
      </c>
    </row>
    <row r="37" spans="1:25" x14ac:dyDescent="0.35">
      <c r="A37" s="9" t="s">
        <v>146</v>
      </c>
      <c r="B37" s="9" t="s">
        <v>147</v>
      </c>
      <c r="C37" s="9" t="s">
        <v>68</v>
      </c>
      <c r="D37" s="9" t="s">
        <v>46</v>
      </c>
      <c r="E37" s="9" t="s">
        <v>112</v>
      </c>
      <c r="F37" s="9" t="s">
        <v>113</v>
      </c>
      <c r="G37" s="9" t="s">
        <v>54</v>
      </c>
      <c r="H37" s="9" t="s">
        <v>65</v>
      </c>
      <c r="I37">
        <v>0</v>
      </c>
      <c r="J37">
        <v>2</v>
      </c>
      <c r="K37">
        <v>2</v>
      </c>
      <c r="L37">
        <v>2</v>
      </c>
      <c r="M37">
        <v>0</v>
      </c>
      <c r="N37">
        <v>66</v>
      </c>
      <c r="O37">
        <v>66</v>
      </c>
      <c r="P37">
        <v>0</v>
      </c>
      <c r="Q37">
        <v>0</v>
      </c>
      <c r="R37">
        <v>1</v>
      </c>
      <c r="S37">
        <v>1</v>
      </c>
      <c r="T37">
        <v>1</v>
      </c>
      <c r="U37">
        <v>0</v>
      </c>
      <c r="V37">
        <v>0</v>
      </c>
      <c r="W37" s="9" t="s">
        <v>95</v>
      </c>
      <c r="X37">
        <v>16</v>
      </c>
      <c r="Y37">
        <v>88</v>
      </c>
    </row>
    <row r="38" spans="1:25" x14ac:dyDescent="0.35">
      <c r="A38" s="9" t="s">
        <v>148</v>
      </c>
      <c r="B38" s="9" t="s">
        <v>149</v>
      </c>
      <c r="C38" s="9" t="s">
        <v>45</v>
      </c>
      <c r="D38" s="9" t="s">
        <v>55</v>
      </c>
      <c r="E38" s="9" t="s">
        <v>56</v>
      </c>
      <c r="F38" s="9" t="s">
        <v>57</v>
      </c>
      <c r="G38" s="9" t="s">
        <v>54</v>
      </c>
      <c r="H38" s="9" t="s">
        <v>50</v>
      </c>
      <c r="I38">
        <v>0</v>
      </c>
      <c r="J38">
        <v>4</v>
      </c>
      <c r="K38">
        <v>4</v>
      </c>
      <c r="L38">
        <v>4</v>
      </c>
      <c r="M38">
        <v>0</v>
      </c>
      <c r="N38">
        <v>88</v>
      </c>
      <c r="O38">
        <v>62</v>
      </c>
      <c r="P38">
        <v>3</v>
      </c>
      <c r="Q38">
        <v>0</v>
      </c>
      <c r="R38">
        <v>1</v>
      </c>
      <c r="S38">
        <v>1</v>
      </c>
      <c r="T38">
        <v>1</v>
      </c>
      <c r="U38">
        <v>0</v>
      </c>
      <c r="V38">
        <v>0</v>
      </c>
      <c r="W38" s="9" t="s">
        <v>95</v>
      </c>
      <c r="X38">
        <v>19</v>
      </c>
      <c r="Y38">
        <v>88</v>
      </c>
    </row>
    <row r="39" spans="1:25" x14ac:dyDescent="0.35">
      <c r="A39" s="9" t="s">
        <v>150</v>
      </c>
      <c r="B39" s="9" t="s">
        <v>151</v>
      </c>
      <c r="C39" s="9" t="s">
        <v>68</v>
      </c>
      <c r="D39" s="9" t="s">
        <v>46</v>
      </c>
      <c r="E39" s="9" t="s">
        <v>63</v>
      </c>
      <c r="F39" s="9" t="s">
        <v>64</v>
      </c>
      <c r="G39" s="9" t="s">
        <v>49</v>
      </c>
      <c r="H39" s="9" t="s">
        <v>65</v>
      </c>
      <c r="I39">
        <v>0</v>
      </c>
      <c r="J39">
        <v>3</v>
      </c>
      <c r="K39">
        <v>3</v>
      </c>
      <c r="L39">
        <v>3</v>
      </c>
      <c r="M39">
        <v>0</v>
      </c>
      <c r="N39">
        <v>88</v>
      </c>
      <c r="O39">
        <v>88</v>
      </c>
      <c r="P39">
        <v>2</v>
      </c>
      <c r="Q39">
        <v>0</v>
      </c>
      <c r="R39">
        <v>1</v>
      </c>
      <c r="S39">
        <v>1</v>
      </c>
      <c r="T39">
        <v>0</v>
      </c>
      <c r="U39">
        <v>0</v>
      </c>
      <c r="V39">
        <v>1</v>
      </c>
      <c r="W39" s="9" t="s">
        <v>51</v>
      </c>
      <c r="X39">
        <v>0</v>
      </c>
      <c r="Y39">
        <v>88</v>
      </c>
    </row>
    <row r="40" spans="1:25" x14ac:dyDescent="0.35">
      <c r="A40" s="9" t="s">
        <v>152</v>
      </c>
      <c r="B40" s="9" t="s">
        <v>153</v>
      </c>
      <c r="C40" s="9" t="s">
        <v>68</v>
      </c>
      <c r="D40" s="9" t="s">
        <v>55</v>
      </c>
      <c r="E40" s="9" t="s">
        <v>80</v>
      </c>
      <c r="F40" s="9" t="s">
        <v>81</v>
      </c>
      <c r="G40" s="9" t="s">
        <v>82</v>
      </c>
      <c r="H40" s="9" t="s">
        <v>65</v>
      </c>
      <c r="I40">
        <v>0</v>
      </c>
      <c r="J40">
        <v>3</v>
      </c>
      <c r="K40">
        <v>3</v>
      </c>
      <c r="L40">
        <v>3</v>
      </c>
      <c r="M40">
        <v>0</v>
      </c>
      <c r="N40">
        <v>88</v>
      </c>
      <c r="O40">
        <v>88</v>
      </c>
      <c r="P40">
        <v>0</v>
      </c>
      <c r="Q40">
        <v>0</v>
      </c>
      <c r="R40">
        <v>1</v>
      </c>
      <c r="S40">
        <v>1</v>
      </c>
      <c r="T40">
        <v>0</v>
      </c>
      <c r="U40">
        <v>0</v>
      </c>
      <c r="V40">
        <v>1</v>
      </c>
      <c r="W40" s="9" t="s">
        <v>51</v>
      </c>
      <c r="X40">
        <v>0</v>
      </c>
      <c r="Y40">
        <v>88</v>
      </c>
    </row>
    <row r="41" spans="1:25" x14ac:dyDescent="0.35">
      <c r="A41" s="9" t="s">
        <v>154</v>
      </c>
      <c r="B41" s="9" t="s">
        <v>155</v>
      </c>
      <c r="C41" s="9" t="s">
        <v>68</v>
      </c>
      <c r="D41" s="9" t="s">
        <v>55</v>
      </c>
      <c r="E41" s="9" t="s">
        <v>63</v>
      </c>
      <c r="F41" s="9" t="s">
        <v>64</v>
      </c>
      <c r="G41" s="9" t="s">
        <v>49</v>
      </c>
      <c r="H41" s="9" t="s">
        <v>65</v>
      </c>
      <c r="I41">
        <v>0</v>
      </c>
      <c r="J41">
        <v>3</v>
      </c>
      <c r="K41">
        <v>3</v>
      </c>
      <c r="L41">
        <v>3</v>
      </c>
      <c r="M41">
        <v>0</v>
      </c>
      <c r="N41">
        <v>88</v>
      </c>
      <c r="O41">
        <v>88</v>
      </c>
      <c r="P41">
        <v>1</v>
      </c>
      <c r="Q41">
        <v>0</v>
      </c>
      <c r="R41">
        <v>1</v>
      </c>
      <c r="S41">
        <v>1</v>
      </c>
      <c r="T41">
        <v>0</v>
      </c>
      <c r="U41">
        <v>0</v>
      </c>
      <c r="V41">
        <v>1</v>
      </c>
      <c r="W41" s="9" t="s">
        <v>51</v>
      </c>
      <c r="X41">
        <v>0</v>
      </c>
      <c r="Y41">
        <v>88</v>
      </c>
    </row>
    <row r="42" spans="1:25" x14ac:dyDescent="0.35">
      <c r="A42" s="9" t="s">
        <v>156</v>
      </c>
      <c r="B42" s="9" t="s">
        <v>157</v>
      </c>
      <c r="C42" s="9" t="s">
        <v>68</v>
      </c>
      <c r="D42" s="9" t="s">
        <v>46</v>
      </c>
      <c r="E42" s="9" t="s">
        <v>93</v>
      </c>
      <c r="F42" s="9" t="s">
        <v>94</v>
      </c>
      <c r="G42" s="9" t="s">
        <v>82</v>
      </c>
      <c r="H42" s="9" t="s">
        <v>65</v>
      </c>
      <c r="I42">
        <v>0</v>
      </c>
      <c r="J42">
        <v>1</v>
      </c>
      <c r="K42">
        <v>1</v>
      </c>
      <c r="L42">
        <v>1</v>
      </c>
      <c r="M42">
        <v>0</v>
      </c>
      <c r="N42">
        <v>88</v>
      </c>
      <c r="O42">
        <v>88</v>
      </c>
      <c r="P42">
        <v>0</v>
      </c>
      <c r="Q42">
        <v>0</v>
      </c>
      <c r="R42">
        <v>1</v>
      </c>
      <c r="S42">
        <v>1</v>
      </c>
      <c r="T42">
        <v>0</v>
      </c>
      <c r="U42">
        <v>0</v>
      </c>
      <c r="V42">
        <v>1</v>
      </c>
      <c r="W42" s="9" t="s">
        <v>51</v>
      </c>
      <c r="X42">
        <v>0</v>
      </c>
      <c r="Y42">
        <v>88</v>
      </c>
    </row>
    <row r="43" spans="1:25" x14ac:dyDescent="0.35">
      <c r="A43" s="9" t="s">
        <v>158</v>
      </c>
      <c r="B43" s="9" t="s">
        <v>159</v>
      </c>
      <c r="C43" s="9" t="s">
        <v>134</v>
      </c>
      <c r="D43" s="9" t="s">
        <v>46</v>
      </c>
      <c r="E43" s="9" t="s">
        <v>47</v>
      </c>
      <c r="F43" s="9" t="s">
        <v>48</v>
      </c>
      <c r="G43" s="9" t="s">
        <v>49</v>
      </c>
      <c r="H43" s="9" t="s">
        <v>135</v>
      </c>
      <c r="I43">
        <v>1</v>
      </c>
      <c r="J43">
        <v>3</v>
      </c>
      <c r="K43">
        <v>3</v>
      </c>
      <c r="L43">
        <v>2</v>
      </c>
      <c r="M43">
        <v>1</v>
      </c>
      <c r="N43">
        <v>88</v>
      </c>
      <c r="P43">
        <v>2</v>
      </c>
      <c r="Q43">
        <v>2</v>
      </c>
      <c r="R43">
        <v>1</v>
      </c>
      <c r="S43">
        <v>0</v>
      </c>
      <c r="T43">
        <v>0</v>
      </c>
      <c r="U43">
        <v>0</v>
      </c>
      <c r="V43">
        <v>0</v>
      </c>
      <c r="W43" s="9" t="s">
        <v>58</v>
      </c>
      <c r="X43">
        <v>0</v>
      </c>
      <c r="Y43">
        <v>88</v>
      </c>
    </row>
    <row r="44" spans="1:25" x14ac:dyDescent="0.35">
      <c r="A44" s="9" t="s">
        <v>160</v>
      </c>
      <c r="B44" s="9" t="s">
        <v>161</v>
      </c>
      <c r="C44" s="9" t="s">
        <v>54</v>
      </c>
      <c r="D44" s="9" t="s">
        <v>46</v>
      </c>
      <c r="E44" s="9" t="s">
        <v>112</v>
      </c>
      <c r="F44" s="9" t="s">
        <v>113</v>
      </c>
      <c r="G44" s="9" t="s">
        <v>54</v>
      </c>
      <c r="H44" s="9" t="s">
        <v>50</v>
      </c>
      <c r="I44">
        <v>1</v>
      </c>
      <c r="J44">
        <v>1</v>
      </c>
      <c r="K44">
        <v>1</v>
      </c>
      <c r="L44">
        <v>1</v>
      </c>
      <c r="M44">
        <v>0</v>
      </c>
      <c r="N44">
        <v>39</v>
      </c>
      <c r="P44">
        <v>1</v>
      </c>
      <c r="Q44">
        <v>0</v>
      </c>
      <c r="R44">
        <v>1</v>
      </c>
      <c r="S44">
        <v>0</v>
      </c>
      <c r="T44">
        <v>0</v>
      </c>
      <c r="U44">
        <v>0</v>
      </c>
      <c r="V44">
        <v>0</v>
      </c>
      <c r="W44" s="9" t="s">
        <v>58</v>
      </c>
      <c r="X44">
        <v>0</v>
      </c>
      <c r="Y44">
        <v>88</v>
      </c>
    </row>
    <row r="45" spans="1:25" x14ac:dyDescent="0.35">
      <c r="A45" s="9" t="s">
        <v>162</v>
      </c>
      <c r="B45" s="9" t="s">
        <v>163</v>
      </c>
      <c r="C45" s="9" t="s">
        <v>54</v>
      </c>
      <c r="D45" s="9" t="s">
        <v>55</v>
      </c>
      <c r="E45" s="9" t="s">
        <v>69</v>
      </c>
      <c r="F45" s="9" t="s">
        <v>70</v>
      </c>
      <c r="G45" s="9" t="s">
        <v>49</v>
      </c>
      <c r="H45" s="9" t="s">
        <v>50</v>
      </c>
      <c r="I45">
        <v>1</v>
      </c>
      <c r="J45">
        <v>4</v>
      </c>
      <c r="K45">
        <v>4</v>
      </c>
      <c r="L45">
        <v>4</v>
      </c>
      <c r="M45">
        <v>0</v>
      </c>
      <c r="N45">
        <v>88</v>
      </c>
      <c r="O45">
        <v>88</v>
      </c>
      <c r="P45">
        <v>0</v>
      </c>
      <c r="Q45">
        <v>0</v>
      </c>
      <c r="R45">
        <v>1</v>
      </c>
      <c r="S45">
        <v>1</v>
      </c>
      <c r="T45">
        <v>0</v>
      </c>
      <c r="U45">
        <v>0</v>
      </c>
      <c r="V45">
        <v>1</v>
      </c>
      <c r="W45" s="9" t="s">
        <v>51</v>
      </c>
      <c r="X45">
        <v>0</v>
      </c>
      <c r="Y45">
        <v>88</v>
      </c>
    </row>
    <row r="46" spans="1:25" x14ac:dyDescent="0.35">
      <c r="A46" s="9" t="s">
        <v>164</v>
      </c>
      <c r="B46" s="9" t="s">
        <v>165</v>
      </c>
      <c r="C46" s="9" t="s">
        <v>61</v>
      </c>
      <c r="D46" s="9" t="s">
        <v>46</v>
      </c>
      <c r="E46" s="9" t="s">
        <v>47</v>
      </c>
      <c r="F46" s="9" t="s">
        <v>48</v>
      </c>
      <c r="G46" s="9" t="s">
        <v>49</v>
      </c>
      <c r="H46" s="9" t="s">
        <v>65</v>
      </c>
      <c r="I46">
        <v>0</v>
      </c>
      <c r="J46">
        <v>2</v>
      </c>
      <c r="K46">
        <v>2</v>
      </c>
      <c r="L46">
        <v>2</v>
      </c>
      <c r="M46">
        <v>0</v>
      </c>
      <c r="N46">
        <v>64</v>
      </c>
      <c r="O46">
        <v>64</v>
      </c>
      <c r="P46">
        <v>1</v>
      </c>
      <c r="Q46">
        <v>0</v>
      </c>
      <c r="R46">
        <v>1</v>
      </c>
      <c r="S46">
        <v>1</v>
      </c>
      <c r="T46">
        <v>1</v>
      </c>
      <c r="U46">
        <v>0</v>
      </c>
      <c r="V46">
        <v>0</v>
      </c>
      <c r="W46" s="9" t="s">
        <v>95</v>
      </c>
      <c r="X46">
        <v>1</v>
      </c>
      <c r="Y46">
        <v>88</v>
      </c>
    </row>
    <row r="47" spans="1:25" x14ac:dyDescent="0.35">
      <c r="A47" s="9" t="s">
        <v>166</v>
      </c>
      <c r="B47" s="9" t="s">
        <v>167</v>
      </c>
      <c r="C47" s="9" t="s">
        <v>68</v>
      </c>
      <c r="D47" s="9" t="s">
        <v>46</v>
      </c>
      <c r="E47" s="9" t="s">
        <v>80</v>
      </c>
      <c r="F47" s="9" t="s">
        <v>81</v>
      </c>
      <c r="G47" s="9" t="s">
        <v>82</v>
      </c>
      <c r="H47" s="9" t="s">
        <v>65</v>
      </c>
      <c r="I47">
        <v>0</v>
      </c>
      <c r="J47">
        <v>2</v>
      </c>
      <c r="K47">
        <v>2</v>
      </c>
      <c r="L47">
        <v>2</v>
      </c>
      <c r="M47">
        <v>0</v>
      </c>
      <c r="N47">
        <v>88</v>
      </c>
      <c r="O47">
        <v>88</v>
      </c>
      <c r="P47">
        <v>1</v>
      </c>
      <c r="Q47">
        <v>0</v>
      </c>
      <c r="R47">
        <v>1</v>
      </c>
      <c r="S47">
        <v>1</v>
      </c>
      <c r="T47">
        <v>0</v>
      </c>
      <c r="U47">
        <v>0</v>
      </c>
      <c r="V47">
        <v>1</v>
      </c>
      <c r="W47" s="9" t="s">
        <v>51</v>
      </c>
      <c r="X47">
        <v>0</v>
      </c>
      <c r="Y47">
        <v>88</v>
      </c>
    </row>
    <row r="48" spans="1:25" x14ac:dyDescent="0.35">
      <c r="A48" s="9" t="s">
        <v>168</v>
      </c>
      <c r="B48" s="9" t="s">
        <v>169</v>
      </c>
      <c r="C48" s="9" t="s">
        <v>45</v>
      </c>
      <c r="D48" s="9" t="s">
        <v>55</v>
      </c>
      <c r="E48" s="9" t="s">
        <v>63</v>
      </c>
      <c r="F48" s="9" t="s">
        <v>64</v>
      </c>
      <c r="G48" s="9" t="s">
        <v>49</v>
      </c>
      <c r="H48" s="9" t="s">
        <v>50</v>
      </c>
      <c r="I48">
        <v>0</v>
      </c>
      <c r="J48">
        <v>3</v>
      </c>
      <c r="K48">
        <v>3</v>
      </c>
      <c r="L48">
        <v>3</v>
      </c>
      <c r="M48">
        <v>0</v>
      </c>
      <c r="N48">
        <v>88</v>
      </c>
      <c r="O48">
        <v>88</v>
      </c>
      <c r="P48">
        <v>1</v>
      </c>
      <c r="Q48">
        <v>0</v>
      </c>
      <c r="R48">
        <v>1</v>
      </c>
      <c r="S48">
        <v>1</v>
      </c>
      <c r="T48">
        <v>0</v>
      </c>
      <c r="U48">
        <v>0</v>
      </c>
      <c r="V48">
        <v>1</v>
      </c>
      <c r="W48" s="9" t="s">
        <v>51</v>
      </c>
      <c r="X48">
        <v>0</v>
      </c>
      <c r="Y48">
        <v>88</v>
      </c>
    </row>
    <row r="49" spans="1:25" x14ac:dyDescent="0.35">
      <c r="A49" s="9" t="s">
        <v>170</v>
      </c>
      <c r="B49" s="9" t="s">
        <v>171</v>
      </c>
      <c r="C49" s="9" t="s">
        <v>45</v>
      </c>
      <c r="D49" s="9" t="s">
        <v>62</v>
      </c>
      <c r="E49" s="9" t="s">
        <v>47</v>
      </c>
      <c r="F49" s="9" t="s">
        <v>48</v>
      </c>
      <c r="G49" s="9" t="s">
        <v>49</v>
      </c>
      <c r="H49" s="9" t="s">
        <v>50</v>
      </c>
      <c r="I49">
        <v>0</v>
      </c>
      <c r="J49">
        <v>1</v>
      </c>
      <c r="K49">
        <v>1</v>
      </c>
      <c r="L49">
        <v>1</v>
      </c>
      <c r="M49">
        <v>0</v>
      </c>
      <c r="N49">
        <v>88</v>
      </c>
      <c r="P49">
        <v>1</v>
      </c>
      <c r="Q49">
        <v>0</v>
      </c>
      <c r="R49">
        <v>1</v>
      </c>
      <c r="S49">
        <v>0</v>
      </c>
      <c r="T49">
        <v>0</v>
      </c>
      <c r="U49">
        <v>0</v>
      </c>
      <c r="V49">
        <v>0</v>
      </c>
      <c r="W49" s="9" t="s">
        <v>58</v>
      </c>
      <c r="X49">
        <v>0</v>
      </c>
      <c r="Y49">
        <v>88</v>
      </c>
    </row>
    <row r="50" spans="1:25" x14ac:dyDescent="0.35">
      <c r="A50" s="9" t="s">
        <v>172</v>
      </c>
      <c r="B50" s="9" t="s">
        <v>173</v>
      </c>
      <c r="C50" s="9" t="s">
        <v>45</v>
      </c>
      <c r="D50" s="9" t="s">
        <v>46</v>
      </c>
      <c r="E50" s="9" t="s">
        <v>47</v>
      </c>
      <c r="F50" s="9" t="s">
        <v>48</v>
      </c>
      <c r="G50" s="9" t="s">
        <v>49</v>
      </c>
      <c r="H50" s="9" t="s">
        <v>50</v>
      </c>
      <c r="I50">
        <v>0</v>
      </c>
      <c r="J50">
        <v>4</v>
      </c>
      <c r="K50">
        <v>4</v>
      </c>
      <c r="L50">
        <v>2</v>
      </c>
      <c r="M50">
        <v>0</v>
      </c>
      <c r="N50">
        <v>88</v>
      </c>
      <c r="P50">
        <v>2</v>
      </c>
      <c r="Q50">
        <v>0</v>
      </c>
      <c r="R50">
        <v>1</v>
      </c>
      <c r="S50">
        <v>0</v>
      </c>
      <c r="T50">
        <v>0</v>
      </c>
      <c r="U50">
        <v>0</v>
      </c>
      <c r="V50">
        <v>0</v>
      </c>
      <c r="W50" s="9" t="s">
        <v>58</v>
      </c>
      <c r="X50">
        <v>0</v>
      </c>
      <c r="Y50">
        <v>88</v>
      </c>
    </row>
    <row r="51" spans="1:25" x14ac:dyDescent="0.35">
      <c r="A51" s="9" t="s">
        <v>174</v>
      </c>
      <c r="B51" s="9" t="s">
        <v>175</v>
      </c>
      <c r="C51" s="9" t="s">
        <v>61</v>
      </c>
      <c r="D51" s="9" t="s">
        <v>46</v>
      </c>
      <c r="E51" s="9" t="s">
        <v>69</v>
      </c>
      <c r="F51" s="9" t="s">
        <v>70</v>
      </c>
      <c r="G51" s="9" t="s">
        <v>49</v>
      </c>
      <c r="H51" s="9" t="s">
        <v>65</v>
      </c>
      <c r="I51">
        <v>0</v>
      </c>
      <c r="J51">
        <v>2</v>
      </c>
      <c r="K51">
        <v>2</v>
      </c>
      <c r="L51">
        <v>2</v>
      </c>
      <c r="M51">
        <v>0</v>
      </c>
      <c r="N51">
        <v>88</v>
      </c>
      <c r="O51">
        <v>88</v>
      </c>
      <c r="P51">
        <v>0</v>
      </c>
      <c r="Q51">
        <v>0</v>
      </c>
      <c r="R51">
        <v>1</v>
      </c>
      <c r="S51">
        <v>1</v>
      </c>
      <c r="T51">
        <v>0</v>
      </c>
      <c r="U51">
        <v>0</v>
      </c>
      <c r="V51">
        <v>1</v>
      </c>
      <c r="W51" s="9" t="s">
        <v>51</v>
      </c>
      <c r="X51">
        <v>0</v>
      </c>
      <c r="Y51">
        <v>88</v>
      </c>
    </row>
    <row r="52" spans="1:25" x14ac:dyDescent="0.35">
      <c r="A52" s="9" t="s">
        <v>176</v>
      </c>
      <c r="B52" s="9" t="s">
        <v>177</v>
      </c>
      <c r="C52" s="9" t="s">
        <v>68</v>
      </c>
      <c r="D52" s="9" t="s">
        <v>46</v>
      </c>
      <c r="E52" s="9" t="s">
        <v>47</v>
      </c>
      <c r="F52" s="9" t="s">
        <v>48</v>
      </c>
      <c r="G52" s="9" t="s">
        <v>49</v>
      </c>
      <c r="H52" s="9" t="s">
        <v>65</v>
      </c>
      <c r="I52">
        <v>0</v>
      </c>
      <c r="J52">
        <v>1</v>
      </c>
      <c r="K52">
        <v>1</v>
      </c>
      <c r="L52">
        <v>1</v>
      </c>
      <c r="M52">
        <v>0</v>
      </c>
      <c r="N52">
        <v>88</v>
      </c>
      <c r="O52">
        <v>88</v>
      </c>
      <c r="P52">
        <v>0</v>
      </c>
      <c r="Q52">
        <v>0</v>
      </c>
      <c r="R52">
        <v>1</v>
      </c>
      <c r="S52">
        <v>1</v>
      </c>
      <c r="T52">
        <v>0</v>
      </c>
      <c r="U52">
        <v>0</v>
      </c>
      <c r="V52">
        <v>1</v>
      </c>
      <c r="W52" s="9" t="s">
        <v>51</v>
      </c>
      <c r="X52">
        <v>0</v>
      </c>
      <c r="Y52">
        <v>88</v>
      </c>
    </row>
    <row r="53" spans="1:25" x14ac:dyDescent="0.35">
      <c r="A53" s="9" t="s">
        <v>178</v>
      </c>
      <c r="B53" s="9" t="s">
        <v>179</v>
      </c>
      <c r="C53" s="9" t="s">
        <v>61</v>
      </c>
      <c r="D53" s="9" t="s">
        <v>55</v>
      </c>
      <c r="E53" s="9" t="s">
        <v>63</v>
      </c>
      <c r="F53" s="9" t="s">
        <v>64</v>
      </c>
      <c r="G53" s="9" t="s">
        <v>49</v>
      </c>
      <c r="H53" s="9" t="s">
        <v>65</v>
      </c>
      <c r="I53">
        <v>0</v>
      </c>
      <c r="J53">
        <v>3</v>
      </c>
      <c r="K53">
        <v>3</v>
      </c>
      <c r="L53">
        <v>3</v>
      </c>
      <c r="M53">
        <v>0</v>
      </c>
      <c r="N53">
        <v>88</v>
      </c>
      <c r="O53">
        <v>88</v>
      </c>
      <c r="P53">
        <v>2</v>
      </c>
      <c r="Q53">
        <v>0</v>
      </c>
      <c r="R53">
        <v>1</v>
      </c>
      <c r="S53">
        <v>1</v>
      </c>
      <c r="T53">
        <v>0</v>
      </c>
      <c r="U53">
        <v>0</v>
      </c>
      <c r="V53">
        <v>1</v>
      </c>
      <c r="W53" s="9" t="s">
        <v>51</v>
      </c>
      <c r="X53">
        <v>0</v>
      </c>
      <c r="Y53">
        <v>88</v>
      </c>
    </row>
    <row r="54" spans="1:25" x14ac:dyDescent="0.35">
      <c r="A54" s="9" t="s">
        <v>180</v>
      </c>
      <c r="B54" s="9" t="s">
        <v>181</v>
      </c>
      <c r="C54" s="9" t="s">
        <v>54</v>
      </c>
      <c r="D54" s="9" t="s">
        <v>46</v>
      </c>
      <c r="E54" s="9" t="s">
        <v>56</v>
      </c>
      <c r="F54" s="9" t="s">
        <v>57</v>
      </c>
      <c r="G54" s="9" t="s">
        <v>54</v>
      </c>
      <c r="H54" s="9" t="s">
        <v>50</v>
      </c>
      <c r="I54">
        <v>1</v>
      </c>
      <c r="J54">
        <v>3</v>
      </c>
      <c r="K54">
        <v>3</v>
      </c>
      <c r="L54">
        <v>3</v>
      </c>
      <c r="M54">
        <v>0</v>
      </c>
      <c r="N54">
        <v>63</v>
      </c>
      <c r="P54">
        <v>2</v>
      </c>
      <c r="Q54">
        <v>1</v>
      </c>
      <c r="R54">
        <v>1</v>
      </c>
      <c r="S54">
        <v>0</v>
      </c>
      <c r="T54">
        <v>0</v>
      </c>
      <c r="U54">
        <v>0</v>
      </c>
      <c r="V54">
        <v>0</v>
      </c>
      <c r="W54" s="9" t="s">
        <v>58</v>
      </c>
      <c r="X54">
        <v>0</v>
      </c>
      <c r="Y54">
        <v>88</v>
      </c>
    </row>
    <row r="55" spans="1:25" x14ac:dyDescent="0.35">
      <c r="A55" s="9" t="s">
        <v>182</v>
      </c>
      <c r="B55" s="9" t="s">
        <v>183</v>
      </c>
      <c r="C55" s="9" t="s">
        <v>68</v>
      </c>
      <c r="D55" s="9" t="s">
        <v>46</v>
      </c>
      <c r="E55" s="9" t="s">
        <v>63</v>
      </c>
      <c r="F55" s="9" t="s">
        <v>64</v>
      </c>
      <c r="G55" s="9" t="s">
        <v>49</v>
      </c>
      <c r="H55" s="9" t="s">
        <v>65</v>
      </c>
      <c r="I55">
        <v>0</v>
      </c>
      <c r="J55">
        <v>1</v>
      </c>
      <c r="K55">
        <v>1</v>
      </c>
      <c r="L55">
        <v>1</v>
      </c>
      <c r="M55">
        <v>0</v>
      </c>
      <c r="N55">
        <v>88</v>
      </c>
      <c r="O55">
        <v>88</v>
      </c>
      <c r="P55">
        <v>0</v>
      </c>
      <c r="Q55">
        <v>0</v>
      </c>
      <c r="R55">
        <v>1</v>
      </c>
      <c r="S55">
        <v>1</v>
      </c>
      <c r="T55">
        <v>0</v>
      </c>
      <c r="U55">
        <v>0</v>
      </c>
      <c r="V55">
        <v>1</v>
      </c>
      <c r="W55" s="9" t="s">
        <v>51</v>
      </c>
      <c r="X55">
        <v>0</v>
      </c>
      <c r="Y55">
        <v>88</v>
      </c>
    </row>
    <row r="56" spans="1:25" x14ac:dyDescent="0.35">
      <c r="A56" s="9" t="s">
        <v>184</v>
      </c>
      <c r="B56" s="9" t="s">
        <v>185</v>
      </c>
      <c r="C56" s="9" t="s">
        <v>68</v>
      </c>
      <c r="D56" s="9" t="s">
        <v>62</v>
      </c>
      <c r="E56" s="9" t="s">
        <v>56</v>
      </c>
      <c r="F56" s="9" t="s">
        <v>57</v>
      </c>
      <c r="G56" s="9" t="s">
        <v>54</v>
      </c>
      <c r="H56" s="9" t="s">
        <v>65</v>
      </c>
      <c r="I56">
        <v>0</v>
      </c>
      <c r="J56">
        <v>3</v>
      </c>
      <c r="K56">
        <v>3</v>
      </c>
      <c r="L56">
        <v>3</v>
      </c>
      <c r="M56">
        <v>0</v>
      </c>
      <c r="N56">
        <v>88</v>
      </c>
      <c r="O56">
        <v>88</v>
      </c>
      <c r="P56">
        <v>2</v>
      </c>
      <c r="Q56">
        <v>0</v>
      </c>
      <c r="R56">
        <v>1</v>
      </c>
      <c r="S56">
        <v>1</v>
      </c>
      <c r="T56">
        <v>0</v>
      </c>
      <c r="U56">
        <v>0</v>
      </c>
      <c r="V56">
        <v>1</v>
      </c>
      <c r="W56" s="9" t="s">
        <v>51</v>
      </c>
      <c r="X56">
        <v>0</v>
      </c>
      <c r="Y56">
        <v>88</v>
      </c>
    </row>
    <row r="57" spans="1:25" x14ac:dyDescent="0.35">
      <c r="A57" s="9" t="s">
        <v>186</v>
      </c>
      <c r="B57" s="9" t="s">
        <v>187</v>
      </c>
      <c r="C57" s="9" t="s">
        <v>61</v>
      </c>
      <c r="D57" s="9" t="s">
        <v>55</v>
      </c>
      <c r="E57" s="9" t="s">
        <v>112</v>
      </c>
      <c r="F57" s="9" t="s">
        <v>113</v>
      </c>
      <c r="G57" s="9" t="s">
        <v>54</v>
      </c>
      <c r="H57" s="9" t="s">
        <v>65</v>
      </c>
      <c r="I57">
        <v>0</v>
      </c>
      <c r="J57">
        <v>1</v>
      </c>
      <c r="K57">
        <v>1</v>
      </c>
      <c r="L57">
        <v>1</v>
      </c>
      <c r="M57">
        <v>0</v>
      </c>
      <c r="N57">
        <v>43</v>
      </c>
      <c r="O57">
        <v>43</v>
      </c>
      <c r="P57">
        <v>0</v>
      </c>
      <c r="Q57">
        <v>0</v>
      </c>
      <c r="R57">
        <v>1</v>
      </c>
      <c r="S57">
        <v>1</v>
      </c>
      <c r="T57">
        <v>1</v>
      </c>
      <c r="U57">
        <v>0</v>
      </c>
      <c r="V57">
        <v>0</v>
      </c>
      <c r="W57" s="9" t="s">
        <v>95</v>
      </c>
      <c r="X57">
        <v>27</v>
      </c>
      <c r="Y57">
        <v>88</v>
      </c>
    </row>
    <row r="58" spans="1:25" x14ac:dyDescent="0.35">
      <c r="A58" s="9" t="s">
        <v>188</v>
      </c>
      <c r="B58" s="9" t="s">
        <v>189</v>
      </c>
      <c r="C58" s="9" t="s">
        <v>45</v>
      </c>
      <c r="D58" s="9" t="s">
        <v>62</v>
      </c>
      <c r="E58" s="9" t="s">
        <v>112</v>
      </c>
      <c r="F58" s="9" t="s">
        <v>113</v>
      </c>
      <c r="G58" s="9" t="s">
        <v>54</v>
      </c>
      <c r="H58" s="9" t="s">
        <v>50</v>
      </c>
      <c r="I58">
        <v>0</v>
      </c>
      <c r="J58">
        <v>2</v>
      </c>
      <c r="K58">
        <v>2</v>
      </c>
      <c r="L58">
        <v>2</v>
      </c>
      <c r="M58">
        <v>0</v>
      </c>
      <c r="N58">
        <v>88</v>
      </c>
      <c r="P58">
        <v>2</v>
      </c>
      <c r="Q58">
        <v>0</v>
      </c>
      <c r="R58">
        <v>1</v>
      </c>
      <c r="S58">
        <v>0</v>
      </c>
      <c r="T58">
        <v>0</v>
      </c>
      <c r="U58">
        <v>0</v>
      </c>
      <c r="V58">
        <v>0</v>
      </c>
      <c r="W58" s="9" t="s">
        <v>58</v>
      </c>
      <c r="X58">
        <v>0</v>
      </c>
      <c r="Y58">
        <v>88</v>
      </c>
    </row>
    <row r="59" spans="1:25" x14ac:dyDescent="0.35">
      <c r="A59" s="9" t="s">
        <v>190</v>
      </c>
      <c r="B59" s="9" t="s">
        <v>191</v>
      </c>
      <c r="C59" s="9" t="s">
        <v>61</v>
      </c>
      <c r="D59" s="9" t="s">
        <v>46</v>
      </c>
      <c r="E59" s="9" t="s">
        <v>69</v>
      </c>
      <c r="F59" s="9" t="s">
        <v>70</v>
      </c>
      <c r="G59" s="9" t="s">
        <v>49</v>
      </c>
      <c r="H59" s="9" t="s">
        <v>65</v>
      </c>
      <c r="I59">
        <v>0</v>
      </c>
      <c r="J59">
        <v>1</v>
      </c>
      <c r="K59">
        <v>1</v>
      </c>
      <c r="L59">
        <v>1</v>
      </c>
      <c r="M59">
        <v>0</v>
      </c>
      <c r="N59">
        <v>88</v>
      </c>
      <c r="O59">
        <v>88</v>
      </c>
      <c r="P59">
        <v>0</v>
      </c>
      <c r="Q59">
        <v>0</v>
      </c>
      <c r="R59">
        <v>1</v>
      </c>
      <c r="S59">
        <v>1</v>
      </c>
      <c r="T59">
        <v>0</v>
      </c>
      <c r="U59">
        <v>0</v>
      </c>
      <c r="V59">
        <v>1</v>
      </c>
      <c r="W59" s="9" t="s">
        <v>51</v>
      </c>
      <c r="X59">
        <v>0</v>
      </c>
      <c r="Y59">
        <v>88</v>
      </c>
    </row>
    <row r="60" spans="1:25" x14ac:dyDescent="0.35">
      <c r="A60" s="9" t="s">
        <v>192</v>
      </c>
      <c r="B60" s="9" t="s">
        <v>193</v>
      </c>
      <c r="C60" s="9" t="s">
        <v>54</v>
      </c>
      <c r="D60" s="9" t="s">
        <v>46</v>
      </c>
      <c r="E60" s="9" t="s">
        <v>112</v>
      </c>
      <c r="F60" s="9" t="s">
        <v>113</v>
      </c>
      <c r="G60" s="9" t="s">
        <v>54</v>
      </c>
      <c r="H60" s="9" t="s">
        <v>50</v>
      </c>
      <c r="I60">
        <v>1</v>
      </c>
      <c r="J60">
        <v>3</v>
      </c>
      <c r="K60">
        <v>3</v>
      </c>
      <c r="L60">
        <v>3</v>
      </c>
      <c r="M60">
        <v>0</v>
      </c>
      <c r="N60">
        <v>88</v>
      </c>
      <c r="O60">
        <v>53</v>
      </c>
      <c r="P60">
        <v>1</v>
      </c>
      <c r="Q60">
        <v>1</v>
      </c>
      <c r="R60">
        <v>1</v>
      </c>
      <c r="S60">
        <v>1</v>
      </c>
      <c r="T60">
        <v>1</v>
      </c>
      <c r="U60">
        <v>0</v>
      </c>
      <c r="V60">
        <v>0</v>
      </c>
      <c r="W60" s="9" t="s">
        <v>95</v>
      </c>
      <c r="X60">
        <v>22</v>
      </c>
      <c r="Y60">
        <v>88</v>
      </c>
    </row>
    <row r="61" spans="1:25" x14ac:dyDescent="0.35">
      <c r="A61" s="9" t="s">
        <v>194</v>
      </c>
      <c r="B61" s="9" t="s">
        <v>195</v>
      </c>
      <c r="C61" s="9" t="s">
        <v>45</v>
      </c>
      <c r="D61" s="9" t="s">
        <v>62</v>
      </c>
      <c r="E61" s="9" t="s">
        <v>69</v>
      </c>
      <c r="F61" s="9" t="s">
        <v>70</v>
      </c>
      <c r="G61" s="9" t="s">
        <v>49</v>
      </c>
      <c r="H61" s="9" t="s">
        <v>50</v>
      </c>
      <c r="I61">
        <v>0</v>
      </c>
      <c r="J61">
        <v>4</v>
      </c>
      <c r="K61">
        <v>4</v>
      </c>
      <c r="L61">
        <v>3</v>
      </c>
      <c r="M61">
        <v>1</v>
      </c>
      <c r="N61">
        <v>88</v>
      </c>
      <c r="O61">
        <v>88</v>
      </c>
      <c r="P61">
        <v>1</v>
      </c>
      <c r="Q61">
        <v>0</v>
      </c>
      <c r="R61">
        <v>1</v>
      </c>
      <c r="S61">
        <v>1</v>
      </c>
      <c r="T61">
        <v>0</v>
      </c>
      <c r="U61">
        <v>0</v>
      </c>
      <c r="V61">
        <v>1</v>
      </c>
      <c r="W61" s="9" t="s">
        <v>51</v>
      </c>
      <c r="X61">
        <v>0</v>
      </c>
      <c r="Y61">
        <v>88</v>
      </c>
    </row>
    <row r="62" spans="1:25" x14ac:dyDescent="0.35">
      <c r="A62" s="9" t="s">
        <v>196</v>
      </c>
      <c r="B62" s="9" t="s">
        <v>197</v>
      </c>
      <c r="C62" s="9" t="s">
        <v>61</v>
      </c>
      <c r="D62" s="9" t="s">
        <v>46</v>
      </c>
      <c r="E62" s="9" t="s">
        <v>56</v>
      </c>
      <c r="F62" s="9" t="s">
        <v>57</v>
      </c>
      <c r="G62" s="9" t="s">
        <v>54</v>
      </c>
      <c r="H62" s="9" t="s">
        <v>65</v>
      </c>
      <c r="I62">
        <v>0</v>
      </c>
      <c r="J62">
        <v>3</v>
      </c>
      <c r="K62">
        <v>3</v>
      </c>
      <c r="L62">
        <v>3</v>
      </c>
      <c r="M62">
        <v>0</v>
      </c>
      <c r="N62">
        <v>88</v>
      </c>
      <c r="O62">
        <v>88</v>
      </c>
      <c r="P62">
        <v>1</v>
      </c>
      <c r="Q62">
        <v>0</v>
      </c>
      <c r="R62">
        <v>1</v>
      </c>
      <c r="S62">
        <v>1</v>
      </c>
      <c r="T62">
        <v>0</v>
      </c>
      <c r="U62">
        <v>0</v>
      </c>
      <c r="V62">
        <v>1</v>
      </c>
      <c r="W62" s="9" t="s">
        <v>51</v>
      </c>
      <c r="X62">
        <v>0</v>
      </c>
      <c r="Y62">
        <v>88</v>
      </c>
    </row>
    <row r="63" spans="1:25" x14ac:dyDescent="0.35">
      <c r="A63" s="9" t="s">
        <v>198</v>
      </c>
      <c r="B63" s="9" t="s">
        <v>199</v>
      </c>
      <c r="C63" s="9" t="s">
        <v>68</v>
      </c>
      <c r="D63" s="9" t="s">
        <v>46</v>
      </c>
      <c r="E63" s="9" t="s">
        <v>80</v>
      </c>
      <c r="F63" s="9" t="s">
        <v>81</v>
      </c>
      <c r="G63" s="9" t="s">
        <v>82</v>
      </c>
      <c r="H63" s="9" t="s">
        <v>65</v>
      </c>
      <c r="I63">
        <v>0</v>
      </c>
      <c r="J63">
        <v>4</v>
      </c>
      <c r="K63">
        <v>4</v>
      </c>
      <c r="L63">
        <v>4</v>
      </c>
      <c r="M63">
        <v>0</v>
      </c>
      <c r="N63">
        <v>88</v>
      </c>
      <c r="O63">
        <v>88</v>
      </c>
      <c r="P63">
        <v>1</v>
      </c>
      <c r="Q63">
        <v>0</v>
      </c>
      <c r="R63">
        <v>1</v>
      </c>
      <c r="S63">
        <v>1</v>
      </c>
      <c r="T63">
        <v>0</v>
      </c>
      <c r="U63">
        <v>0</v>
      </c>
      <c r="V63">
        <v>1</v>
      </c>
      <c r="W63" s="9" t="s">
        <v>51</v>
      </c>
      <c r="X63">
        <v>0</v>
      </c>
      <c r="Y63">
        <v>88</v>
      </c>
    </row>
    <row r="64" spans="1:25" x14ac:dyDescent="0.35">
      <c r="A64" s="9" t="s">
        <v>200</v>
      </c>
      <c r="B64" s="9" t="s">
        <v>201</v>
      </c>
      <c r="C64" s="9" t="s">
        <v>61</v>
      </c>
      <c r="D64" s="9" t="s">
        <v>62</v>
      </c>
      <c r="E64" s="9" t="s">
        <v>112</v>
      </c>
      <c r="F64" s="9" t="s">
        <v>113</v>
      </c>
      <c r="G64" s="9" t="s">
        <v>54</v>
      </c>
      <c r="H64" s="9" t="s">
        <v>65</v>
      </c>
      <c r="I64">
        <v>0</v>
      </c>
      <c r="J64">
        <v>1</v>
      </c>
      <c r="K64">
        <v>1</v>
      </c>
      <c r="L64">
        <v>1</v>
      </c>
      <c r="M64">
        <v>0</v>
      </c>
      <c r="N64">
        <v>88</v>
      </c>
      <c r="P64">
        <v>1</v>
      </c>
      <c r="Q64">
        <v>0</v>
      </c>
      <c r="R64">
        <v>1</v>
      </c>
      <c r="S64">
        <v>0</v>
      </c>
      <c r="T64">
        <v>0</v>
      </c>
      <c r="U64">
        <v>0</v>
      </c>
      <c r="V64">
        <v>0</v>
      </c>
      <c r="W64" s="9" t="s">
        <v>58</v>
      </c>
      <c r="X64">
        <v>0</v>
      </c>
      <c r="Y64">
        <v>88</v>
      </c>
    </row>
    <row r="65" spans="1:25" x14ac:dyDescent="0.35">
      <c r="A65" s="9" t="s">
        <v>202</v>
      </c>
      <c r="B65" s="9" t="s">
        <v>203</v>
      </c>
      <c r="C65" s="9" t="s">
        <v>68</v>
      </c>
      <c r="D65" s="9" t="s">
        <v>62</v>
      </c>
      <c r="E65" s="9" t="s">
        <v>93</v>
      </c>
      <c r="F65" s="9" t="s">
        <v>94</v>
      </c>
      <c r="G65" s="9" t="s">
        <v>82</v>
      </c>
      <c r="H65" s="9" t="s">
        <v>65</v>
      </c>
      <c r="I65">
        <v>0</v>
      </c>
      <c r="J65">
        <v>1</v>
      </c>
      <c r="K65">
        <v>1</v>
      </c>
      <c r="L65">
        <v>1</v>
      </c>
      <c r="M65">
        <v>0</v>
      </c>
      <c r="N65">
        <v>88</v>
      </c>
      <c r="O65">
        <v>88</v>
      </c>
      <c r="P65">
        <v>0</v>
      </c>
      <c r="Q65">
        <v>0</v>
      </c>
      <c r="R65">
        <v>1</v>
      </c>
      <c r="S65">
        <v>1</v>
      </c>
      <c r="T65">
        <v>0</v>
      </c>
      <c r="U65">
        <v>0</v>
      </c>
      <c r="V65">
        <v>1</v>
      </c>
      <c r="W65" s="9" t="s">
        <v>51</v>
      </c>
      <c r="X65">
        <v>0</v>
      </c>
      <c r="Y65">
        <v>88</v>
      </c>
    </row>
    <row r="66" spans="1:25" x14ac:dyDescent="0.35">
      <c r="A66" s="9" t="s">
        <v>204</v>
      </c>
      <c r="B66" s="9" t="s">
        <v>205</v>
      </c>
      <c r="C66" s="9" t="s">
        <v>45</v>
      </c>
      <c r="D66" s="9" t="s">
        <v>62</v>
      </c>
      <c r="E66" s="9" t="s">
        <v>69</v>
      </c>
      <c r="F66" s="9" t="s">
        <v>70</v>
      </c>
      <c r="G66" s="9" t="s">
        <v>49</v>
      </c>
      <c r="H66" s="9" t="s">
        <v>50</v>
      </c>
      <c r="I66">
        <v>0</v>
      </c>
      <c r="J66">
        <v>2</v>
      </c>
      <c r="K66">
        <v>2</v>
      </c>
      <c r="L66">
        <v>2</v>
      </c>
      <c r="M66">
        <v>0</v>
      </c>
      <c r="N66">
        <v>88</v>
      </c>
      <c r="P66">
        <v>2</v>
      </c>
      <c r="Q66">
        <v>0</v>
      </c>
      <c r="R66">
        <v>1</v>
      </c>
      <c r="S66">
        <v>0</v>
      </c>
      <c r="T66">
        <v>0</v>
      </c>
      <c r="U66">
        <v>0</v>
      </c>
      <c r="V66">
        <v>0</v>
      </c>
      <c r="W66" s="9" t="s">
        <v>58</v>
      </c>
      <c r="X66">
        <v>0</v>
      </c>
      <c r="Y66">
        <v>88</v>
      </c>
    </row>
    <row r="67" spans="1:25" x14ac:dyDescent="0.35">
      <c r="A67" s="9" t="s">
        <v>206</v>
      </c>
      <c r="B67" s="9" t="s">
        <v>207</v>
      </c>
      <c r="C67" s="9" t="s">
        <v>68</v>
      </c>
      <c r="D67" s="9" t="s">
        <v>46</v>
      </c>
      <c r="E67" s="9" t="s">
        <v>80</v>
      </c>
      <c r="F67" s="9" t="s">
        <v>81</v>
      </c>
      <c r="G67" s="9" t="s">
        <v>82</v>
      </c>
      <c r="H67" s="9" t="s">
        <v>65</v>
      </c>
      <c r="I67">
        <v>0</v>
      </c>
      <c r="J67">
        <v>2</v>
      </c>
      <c r="K67">
        <v>2</v>
      </c>
      <c r="L67">
        <v>2</v>
      </c>
      <c r="M67">
        <v>0</v>
      </c>
      <c r="N67">
        <v>88</v>
      </c>
      <c r="O67">
        <v>88</v>
      </c>
      <c r="P67">
        <v>1</v>
      </c>
      <c r="Q67">
        <v>0</v>
      </c>
      <c r="R67">
        <v>1</v>
      </c>
      <c r="S67">
        <v>1</v>
      </c>
      <c r="T67">
        <v>0</v>
      </c>
      <c r="U67">
        <v>0</v>
      </c>
      <c r="V67">
        <v>1</v>
      </c>
      <c r="W67" s="9" t="s">
        <v>51</v>
      </c>
      <c r="X67">
        <v>0</v>
      </c>
      <c r="Y67">
        <v>88</v>
      </c>
    </row>
    <row r="68" spans="1:25" x14ac:dyDescent="0.35">
      <c r="A68" s="9" t="s">
        <v>208</v>
      </c>
      <c r="B68" s="9" t="s">
        <v>209</v>
      </c>
      <c r="C68" s="9" t="s">
        <v>61</v>
      </c>
      <c r="D68" s="9" t="s">
        <v>46</v>
      </c>
      <c r="E68" s="9" t="s">
        <v>56</v>
      </c>
      <c r="F68" s="9" t="s">
        <v>57</v>
      </c>
      <c r="G68" s="9" t="s">
        <v>54</v>
      </c>
      <c r="H68" s="9" t="s">
        <v>65</v>
      </c>
      <c r="I68">
        <v>0</v>
      </c>
      <c r="J68">
        <v>4</v>
      </c>
      <c r="K68">
        <v>4</v>
      </c>
      <c r="L68">
        <v>4</v>
      </c>
      <c r="M68">
        <v>0</v>
      </c>
      <c r="N68">
        <v>88</v>
      </c>
      <c r="O68">
        <v>88</v>
      </c>
      <c r="P68">
        <v>2</v>
      </c>
      <c r="Q68">
        <v>0</v>
      </c>
      <c r="R68">
        <v>1</v>
      </c>
      <c r="S68">
        <v>1</v>
      </c>
      <c r="T68">
        <v>0</v>
      </c>
      <c r="U68">
        <v>0</v>
      </c>
      <c r="V68">
        <v>1</v>
      </c>
      <c r="W68" s="9" t="s">
        <v>51</v>
      </c>
      <c r="X68">
        <v>0</v>
      </c>
      <c r="Y68">
        <v>88</v>
      </c>
    </row>
    <row r="69" spans="1:25" x14ac:dyDescent="0.35">
      <c r="A69" s="9" t="s">
        <v>210</v>
      </c>
      <c r="B69" s="9" t="s">
        <v>211</v>
      </c>
      <c r="C69" s="9" t="s">
        <v>54</v>
      </c>
      <c r="D69" s="9" t="s">
        <v>46</v>
      </c>
      <c r="E69" s="9" t="s">
        <v>112</v>
      </c>
      <c r="F69" s="9" t="s">
        <v>113</v>
      </c>
      <c r="G69" s="9" t="s">
        <v>54</v>
      </c>
      <c r="H69" s="9" t="s">
        <v>50</v>
      </c>
      <c r="I69">
        <v>1</v>
      </c>
      <c r="J69">
        <v>4</v>
      </c>
      <c r="K69">
        <v>4</v>
      </c>
      <c r="L69">
        <v>3</v>
      </c>
      <c r="M69">
        <v>1</v>
      </c>
      <c r="N69">
        <v>59</v>
      </c>
      <c r="O69">
        <v>59</v>
      </c>
      <c r="P69">
        <v>2</v>
      </c>
      <c r="Q69">
        <v>0</v>
      </c>
      <c r="R69">
        <v>1</v>
      </c>
      <c r="S69">
        <v>1</v>
      </c>
      <c r="T69">
        <v>1</v>
      </c>
      <c r="U69">
        <v>0</v>
      </c>
      <c r="V69">
        <v>0</v>
      </c>
      <c r="W69" s="9" t="s">
        <v>95</v>
      </c>
      <c r="X69">
        <v>21</v>
      </c>
      <c r="Y69">
        <v>88</v>
      </c>
    </row>
    <row r="70" spans="1:25" x14ac:dyDescent="0.35">
      <c r="A70" s="9" t="s">
        <v>212</v>
      </c>
      <c r="B70" s="9" t="s">
        <v>213</v>
      </c>
      <c r="C70" s="9" t="s">
        <v>68</v>
      </c>
      <c r="D70" s="9" t="s">
        <v>55</v>
      </c>
      <c r="E70" s="9" t="s">
        <v>47</v>
      </c>
      <c r="F70" s="9" t="s">
        <v>48</v>
      </c>
      <c r="G70" s="9" t="s">
        <v>49</v>
      </c>
      <c r="H70" s="9" t="s">
        <v>65</v>
      </c>
      <c r="I70">
        <v>0</v>
      </c>
      <c r="J70">
        <v>2</v>
      </c>
      <c r="K70">
        <v>2</v>
      </c>
      <c r="L70">
        <v>2</v>
      </c>
      <c r="M70">
        <v>0</v>
      </c>
      <c r="N70">
        <v>88</v>
      </c>
      <c r="O70">
        <v>88</v>
      </c>
      <c r="P70">
        <v>1</v>
      </c>
      <c r="Q70">
        <v>0</v>
      </c>
      <c r="R70">
        <v>1</v>
      </c>
      <c r="S70">
        <v>1</v>
      </c>
      <c r="T70">
        <v>0</v>
      </c>
      <c r="U70">
        <v>0</v>
      </c>
      <c r="V70">
        <v>1</v>
      </c>
      <c r="W70" s="9" t="s">
        <v>51</v>
      </c>
      <c r="X70">
        <v>0</v>
      </c>
      <c r="Y70">
        <v>88</v>
      </c>
    </row>
    <row r="71" spans="1:25" x14ac:dyDescent="0.35">
      <c r="A71" s="9" t="s">
        <v>214</v>
      </c>
      <c r="B71" s="9" t="s">
        <v>215</v>
      </c>
      <c r="C71" s="9" t="s">
        <v>45</v>
      </c>
      <c r="D71" s="9" t="s">
        <v>46</v>
      </c>
      <c r="E71" s="9" t="s">
        <v>47</v>
      </c>
      <c r="F71" s="9" t="s">
        <v>48</v>
      </c>
      <c r="G71" s="9" t="s">
        <v>49</v>
      </c>
      <c r="H71" s="9" t="s">
        <v>50</v>
      </c>
      <c r="I71">
        <v>0</v>
      </c>
      <c r="J71">
        <v>2</v>
      </c>
      <c r="K71">
        <v>2</v>
      </c>
      <c r="L71">
        <v>2</v>
      </c>
      <c r="M71">
        <v>0</v>
      </c>
      <c r="N71">
        <v>88</v>
      </c>
      <c r="O71">
        <v>88</v>
      </c>
      <c r="P71">
        <v>0</v>
      </c>
      <c r="Q71">
        <v>0</v>
      </c>
      <c r="R71">
        <v>1</v>
      </c>
      <c r="S71">
        <v>1</v>
      </c>
      <c r="T71">
        <v>0</v>
      </c>
      <c r="U71">
        <v>0</v>
      </c>
      <c r="V71">
        <v>1</v>
      </c>
      <c r="W71" s="9" t="s">
        <v>51</v>
      </c>
      <c r="X71">
        <v>0</v>
      </c>
      <c r="Y71">
        <v>88</v>
      </c>
    </row>
    <row r="72" spans="1:25" x14ac:dyDescent="0.35">
      <c r="A72" s="9" t="s">
        <v>216</v>
      </c>
      <c r="B72" s="9" t="s">
        <v>217</v>
      </c>
      <c r="C72" s="9" t="s">
        <v>61</v>
      </c>
      <c r="D72" s="9" t="s">
        <v>46</v>
      </c>
      <c r="E72" s="9" t="s">
        <v>56</v>
      </c>
      <c r="F72" s="9" t="s">
        <v>57</v>
      </c>
      <c r="G72" s="9" t="s">
        <v>54</v>
      </c>
      <c r="H72" s="9" t="s">
        <v>65</v>
      </c>
      <c r="I72">
        <v>0</v>
      </c>
      <c r="J72">
        <v>1</v>
      </c>
      <c r="K72">
        <v>1</v>
      </c>
      <c r="L72">
        <v>1</v>
      </c>
      <c r="M72">
        <v>0</v>
      </c>
      <c r="N72">
        <v>88</v>
      </c>
      <c r="O72">
        <v>88</v>
      </c>
      <c r="P72">
        <v>0</v>
      </c>
      <c r="Q72">
        <v>0</v>
      </c>
      <c r="R72">
        <v>1</v>
      </c>
      <c r="S72">
        <v>1</v>
      </c>
      <c r="T72">
        <v>0</v>
      </c>
      <c r="U72">
        <v>0</v>
      </c>
      <c r="V72">
        <v>1</v>
      </c>
      <c r="W72" s="9" t="s">
        <v>51</v>
      </c>
      <c r="X72">
        <v>0</v>
      </c>
      <c r="Y72">
        <v>88</v>
      </c>
    </row>
    <row r="73" spans="1:25" x14ac:dyDescent="0.35">
      <c r="A73" s="9" t="s">
        <v>218</v>
      </c>
      <c r="B73" s="9" t="s">
        <v>219</v>
      </c>
      <c r="C73" s="9" t="s">
        <v>61</v>
      </c>
      <c r="D73" s="9" t="s">
        <v>55</v>
      </c>
      <c r="E73" s="9" t="s">
        <v>47</v>
      </c>
      <c r="F73" s="9" t="s">
        <v>48</v>
      </c>
      <c r="G73" s="9" t="s">
        <v>49</v>
      </c>
      <c r="H73" s="9" t="s">
        <v>65</v>
      </c>
      <c r="I73">
        <v>0</v>
      </c>
      <c r="J73">
        <v>3</v>
      </c>
      <c r="K73">
        <v>3</v>
      </c>
      <c r="L73">
        <v>3</v>
      </c>
      <c r="M73">
        <v>0</v>
      </c>
      <c r="N73">
        <v>88</v>
      </c>
      <c r="O73">
        <v>88</v>
      </c>
      <c r="P73">
        <v>2</v>
      </c>
      <c r="Q73">
        <v>0</v>
      </c>
      <c r="R73">
        <v>1</v>
      </c>
      <c r="S73">
        <v>1</v>
      </c>
      <c r="T73">
        <v>0</v>
      </c>
      <c r="U73">
        <v>0</v>
      </c>
      <c r="V73">
        <v>1</v>
      </c>
      <c r="W73" s="9" t="s">
        <v>51</v>
      </c>
      <c r="X73">
        <v>0</v>
      </c>
      <c r="Y73">
        <v>88</v>
      </c>
    </row>
    <row r="74" spans="1:25" x14ac:dyDescent="0.35">
      <c r="A74" s="9" t="s">
        <v>220</v>
      </c>
      <c r="B74" s="9" t="s">
        <v>221</v>
      </c>
      <c r="C74" s="9" t="s">
        <v>68</v>
      </c>
      <c r="D74" s="9" t="s">
        <v>46</v>
      </c>
      <c r="E74" s="9" t="s">
        <v>76</v>
      </c>
      <c r="F74" s="9" t="s">
        <v>77</v>
      </c>
      <c r="G74" s="9" t="s">
        <v>54</v>
      </c>
      <c r="H74" s="9" t="s">
        <v>65</v>
      </c>
      <c r="I74">
        <v>0</v>
      </c>
      <c r="J74">
        <v>2</v>
      </c>
      <c r="K74">
        <v>2</v>
      </c>
      <c r="L74">
        <v>1</v>
      </c>
      <c r="M74">
        <v>0</v>
      </c>
      <c r="N74">
        <v>88</v>
      </c>
      <c r="O74">
        <v>88</v>
      </c>
      <c r="P74">
        <v>0</v>
      </c>
      <c r="Q74">
        <v>0</v>
      </c>
      <c r="R74">
        <v>1</v>
      </c>
      <c r="S74">
        <v>1</v>
      </c>
      <c r="T74">
        <v>0</v>
      </c>
      <c r="U74">
        <v>0</v>
      </c>
      <c r="V74">
        <v>1</v>
      </c>
      <c r="W74" s="9" t="s">
        <v>51</v>
      </c>
      <c r="X74">
        <v>0</v>
      </c>
      <c r="Y74">
        <v>88</v>
      </c>
    </row>
    <row r="75" spans="1:25" x14ac:dyDescent="0.35">
      <c r="A75" s="9" t="s">
        <v>222</v>
      </c>
      <c r="B75" s="9" t="s">
        <v>223</v>
      </c>
      <c r="C75" s="9" t="s">
        <v>61</v>
      </c>
      <c r="D75" s="9" t="s">
        <v>46</v>
      </c>
      <c r="E75" s="9" t="s">
        <v>69</v>
      </c>
      <c r="F75" s="9" t="s">
        <v>70</v>
      </c>
      <c r="G75" s="9" t="s">
        <v>49</v>
      </c>
      <c r="H75" s="9" t="s">
        <v>65</v>
      </c>
      <c r="I75">
        <v>0</v>
      </c>
      <c r="J75">
        <v>4</v>
      </c>
      <c r="K75">
        <v>4</v>
      </c>
      <c r="L75">
        <v>4</v>
      </c>
      <c r="M75">
        <v>0</v>
      </c>
      <c r="N75">
        <v>88</v>
      </c>
      <c r="O75">
        <v>88</v>
      </c>
      <c r="P75">
        <v>1</v>
      </c>
      <c r="Q75">
        <v>0</v>
      </c>
      <c r="R75">
        <v>1</v>
      </c>
      <c r="S75">
        <v>1</v>
      </c>
      <c r="T75">
        <v>0</v>
      </c>
      <c r="U75">
        <v>0</v>
      </c>
      <c r="V75">
        <v>1</v>
      </c>
      <c r="W75" s="9" t="s">
        <v>51</v>
      </c>
      <c r="X75">
        <v>0</v>
      </c>
      <c r="Y75">
        <v>88</v>
      </c>
    </row>
    <row r="76" spans="1:25" x14ac:dyDescent="0.35">
      <c r="A76" s="9" t="s">
        <v>224</v>
      </c>
      <c r="B76" s="9" t="s">
        <v>225</v>
      </c>
      <c r="C76" s="9" t="s">
        <v>45</v>
      </c>
      <c r="D76" s="9" t="s">
        <v>62</v>
      </c>
      <c r="E76" s="9" t="s">
        <v>80</v>
      </c>
      <c r="F76" s="9" t="s">
        <v>81</v>
      </c>
      <c r="G76" s="9" t="s">
        <v>82</v>
      </c>
      <c r="H76" s="9" t="s">
        <v>50</v>
      </c>
      <c r="I76">
        <v>0</v>
      </c>
      <c r="J76">
        <v>1</v>
      </c>
      <c r="K76">
        <v>1</v>
      </c>
      <c r="L76">
        <v>1</v>
      </c>
      <c r="M76">
        <v>0</v>
      </c>
      <c r="N76">
        <v>88</v>
      </c>
      <c r="P76">
        <v>1</v>
      </c>
      <c r="Q76">
        <v>0</v>
      </c>
      <c r="R76">
        <v>1</v>
      </c>
      <c r="S76">
        <v>0</v>
      </c>
      <c r="T76">
        <v>0</v>
      </c>
      <c r="U76">
        <v>0</v>
      </c>
      <c r="V76">
        <v>0</v>
      </c>
      <c r="W76" s="9" t="s">
        <v>58</v>
      </c>
      <c r="X76">
        <v>0</v>
      </c>
      <c r="Y76">
        <v>88</v>
      </c>
    </row>
    <row r="77" spans="1:25" x14ac:dyDescent="0.35">
      <c r="A77" s="9" t="s">
        <v>226</v>
      </c>
      <c r="B77" s="9" t="s">
        <v>227</v>
      </c>
      <c r="C77" s="9" t="s">
        <v>68</v>
      </c>
      <c r="D77" s="9" t="s">
        <v>55</v>
      </c>
      <c r="E77" s="9" t="s">
        <v>56</v>
      </c>
      <c r="F77" s="9" t="s">
        <v>57</v>
      </c>
      <c r="G77" s="9" t="s">
        <v>54</v>
      </c>
      <c r="H77" s="9" t="s">
        <v>65</v>
      </c>
      <c r="I77">
        <v>0</v>
      </c>
      <c r="J77">
        <v>2</v>
      </c>
      <c r="K77">
        <v>2</v>
      </c>
      <c r="L77">
        <v>2</v>
      </c>
      <c r="M77">
        <v>0</v>
      </c>
      <c r="N77">
        <v>69</v>
      </c>
      <c r="O77">
        <v>69</v>
      </c>
      <c r="P77">
        <v>0</v>
      </c>
      <c r="Q77">
        <v>0</v>
      </c>
      <c r="R77">
        <v>1</v>
      </c>
      <c r="S77">
        <v>1</v>
      </c>
      <c r="T77">
        <v>1</v>
      </c>
      <c r="U77">
        <v>0</v>
      </c>
      <c r="V77">
        <v>0</v>
      </c>
      <c r="W77" s="9" t="s">
        <v>95</v>
      </c>
      <c r="X77">
        <v>14</v>
      </c>
      <c r="Y77">
        <v>88</v>
      </c>
    </row>
    <row r="78" spans="1:25" x14ac:dyDescent="0.35">
      <c r="A78" s="9" t="s">
        <v>228</v>
      </c>
      <c r="B78" s="9" t="s">
        <v>229</v>
      </c>
      <c r="C78" s="9" t="s">
        <v>54</v>
      </c>
      <c r="D78" s="9" t="s">
        <v>55</v>
      </c>
      <c r="E78" s="9" t="s">
        <v>69</v>
      </c>
      <c r="F78" s="9" t="s">
        <v>70</v>
      </c>
      <c r="G78" s="9" t="s">
        <v>49</v>
      </c>
      <c r="H78" s="9" t="s">
        <v>50</v>
      </c>
      <c r="I78">
        <v>1</v>
      </c>
      <c r="J78">
        <v>4</v>
      </c>
      <c r="K78">
        <v>4</v>
      </c>
      <c r="L78">
        <v>4</v>
      </c>
      <c r="M78">
        <v>0</v>
      </c>
      <c r="N78">
        <v>88</v>
      </c>
      <c r="O78">
        <v>88</v>
      </c>
      <c r="P78">
        <v>2</v>
      </c>
      <c r="Q78">
        <v>1</v>
      </c>
      <c r="R78">
        <v>1</v>
      </c>
      <c r="S78">
        <v>1</v>
      </c>
      <c r="T78">
        <v>0</v>
      </c>
      <c r="U78">
        <v>0</v>
      </c>
      <c r="V78">
        <v>1</v>
      </c>
      <c r="W78" s="9" t="s">
        <v>51</v>
      </c>
      <c r="X78">
        <v>0</v>
      </c>
      <c r="Y78">
        <v>88</v>
      </c>
    </row>
    <row r="79" spans="1:25" x14ac:dyDescent="0.35">
      <c r="A79" s="9" t="s">
        <v>230</v>
      </c>
      <c r="B79" s="9" t="s">
        <v>231</v>
      </c>
      <c r="C79" s="9" t="s">
        <v>45</v>
      </c>
      <c r="D79" s="9" t="s">
        <v>62</v>
      </c>
      <c r="E79" s="9" t="s">
        <v>93</v>
      </c>
      <c r="F79" s="9" t="s">
        <v>94</v>
      </c>
      <c r="G79" s="9" t="s">
        <v>82</v>
      </c>
      <c r="H79" s="9" t="s">
        <v>50</v>
      </c>
      <c r="I79">
        <v>0</v>
      </c>
      <c r="J79">
        <v>1</v>
      </c>
      <c r="K79">
        <v>1</v>
      </c>
      <c r="L79">
        <v>1</v>
      </c>
      <c r="M79">
        <v>0</v>
      </c>
      <c r="N79">
        <v>69</v>
      </c>
      <c r="O79">
        <v>69</v>
      </c>
      <c r="P79">
        <v>0</v>
      </c>
      <c r="Q79">
        <v>0</v>
      </c>
      <c r="R79">
        <v>1</v>
      </c>
      <c r="S79">
        <v>1</v>
      </c>
      <c r="T79">
        <v>1</v>
      </c>
      <c r="U79">
        <v>0</v>
      </c>
      <c r="V79">
        <v>0</v>
      </c>
      <c r="W79" s="9" t="s">
        <v>95</v>
      </c>
      <c r="X79">
        <v>2</v>
      </c>
      <c r="Y79">
        <v>88</v>
      </c>
    </row>
    <row r="80" spans="1:25" x14ac:dyDescent="0.35">
      <c r="A80" s="9" t="s">
        <v>232</v>
      </c>
      <c r="B80" s="9" t="s">
        <v>233</v>
      </c>
      <c r="C80" s="9" t="s">
        <v>54</v>
      </c>
      <c r="D80" s="9" t="s">
        <v>46</v>
      </c>
      <c r="E80" s="9" t="s">
        <v>112</v>
      </c>
      <c r="F80" s="9" t="s">
        <v>113</v>
      </c>
      <c r="G80" s="9" t="s">
        <v>54</v>
      </c>
      <c r="H80" s="9" t="s">
        <v>50</v>
      </c>
      <c r="I80">
        <v>1</v>
      </c>
      <c r="J80">
        <v>2</v>
      </c>
      <c r="K80">
        <v>2</v>
      </c>
      <c r="L80">
        <v>2</v>
      </c>
      <c r="M80">
        <v>0</v>
      </c>
      <c r="N80">
        <v>88</v>
      </c>
      <c r="P80">
        <v>2</v>
      </c>
      <c r="Q80">
        <v>2</v>
      </c>
      <c r="R80">
        <v>1</v>
      </c>
      <c r="S80">
        <v>0</v>
      </c>
      <c r="T80">
        <v>0</v>
      </c>
      <c r="U80">
        <v>0</v>
      </c>
      <c r="V80">
        <v>0</v>
      </c>
      <c r="W80" s="9" t="s">
        <v>58</v>
      </c>
      <c r="X80">
        <v>0</v>
      </c>
      <c r="Y80">
        <v>88</v>
      </c>
    </row>
    <row r="81" spans="1:25" x14ac:dyDescent="0.35">
      <c r="A81" s="9" t="s">
        <v>234</v>
      </c>
      <c r="B81" s="9" t="s">
        <v>235</v>
      </c>
      <c r="C81" s="9" t="s">
        <v>61</v>
      </c>
      <c r="D81" s="9" t="s">
        <v>46</v>
      </c>
      <c r="E81" s="9" t="s">
        <v>69</v>
      </c>
      <c r="F81" s="9" t="s">
        <v>70</v>
      </c>
      <c r="G81" s="9" t="s">
        <v>49</v>
      </c>
      <c r="H81" s="9" t="s">
        <v>65</v>
      </c>
      <c r="I81">
        <v>0</v>
      </c>
      <c r="J81">
        <v>3</v>
      </c>
      <c r="K81">
        <v>3</v>
      </c>
      <c r="L81">
        <v>3</v>
      </c>
      <c r="M81">
        <v>0</v>
      </c>
      <c r="N81">
        <v>88</v>
      </c>
      <c r="O81">
        <v>88</v>
      </c>
      <c r="P81">
        <v>0</v>
      </c>
      <c r="Q81">
        <v>0</v>
      </c>
      <c r="R81">
        <v>1</v>
      </c>
      <c r="S81">
        <v>1</v>
      </c>
      <c r="T81">
        <v>0</v>
      </c>
      <c r="U81">
        <v>0</v>
      </c>
      <c r="V81">
        <v>1</v>
      </c>
      <c r="W81" s="9" t="s">
        <v>51</v>
      </c>
      <c r="X81">
        <v>0</v>
      </c>
      <c r="Y81">
        <v>88</v>
      </c>
    </row>
    <row r="82" spans="1:25" x14ac:dyDescent="0.35">
      <c r="A82" s="9" t="s">
        <v>236</v>
      </c>
      <c r="B82" s="9" t="s">
        <v>237</v>
      </c>
      <c r="C82" s="9" t="s">
        <v>68</v>
      </c>
      <c r="D82" s="9" t="s">
        <v>55</v>
      </c>
      <c r="E82" s="9" t="s">
        <v>63</v>
      </c>
      <c r="F82" s="9" t="s">
        <v>64</v>
      </c>
      <c r="G82" s="9" t="s">
        <v>49</v>
      </c>
      <c r="H82" s="9" t="s">
        <v>65</v>
      </c>
      <c r="I82">
        <v>0</v>
      </c>
      <c r="J82">
        <v>2</v>
      </c>
      <c r="K82">
        <v>2</v>
      </c>
      <c r="L82">
        <v>2</v>
      </c>
      <c r="M82">
        <v>0</v>
      </c>
      <c r="N82">
        <v>88</v>
      </c>
      <c r="O82">
        <v>88</v>
      </c>
      <c r="P82">
        <v>0</v>
      </c>
      <c r="Q82">
        <v>0</v>
      </c>
      <c r="R82">
        <v>1</v>
      </c>
      <c r="S82">
        <v>1</v>
      </c>
      <c r="T82">
        <v>0</v>
      </c>
      <c r="U82">
        <v>0</v>
      </c>
      <c r="V82">
        <v>1</v>
      </c>
      <c r="W82" s="9" t="s">
        <v>51</v>
      </c>
      <c r="X82">
        <v>0</v>
      </c>
      <c r="Y82">
        <v>88</v>
      </c>
    </row>
    <row r="83" spans="1:25" x14ac:dyDescent="0.35">
      <c r="A83" s="9" t="s">
        <v>238</v>
      </c>
      <c r="B83" s="9" t="s">
        <v>239</v>
      </c>
      <c r="C83" s="9" t="s">
        <v>134</v>
      </c>
      <c r="D83" s="9" t="s">
        <v>46</v>
      </c>
      <c r="E83" s="9" t="s">
        <v>56</v>
      </c>
      <c r="F83" s="9" t="s">
        <v>57</v>
      </c>
      <c r="G83" s="9" t="s">
        <v>54</v>
      </c>
      <c r="H83" s="9" t="s">
        <v>135</v>
      </c>
      <c r="I83">
        <v>1</v>
      </c>
      <c r="J83">
        <v>2</v>
      </c>
      <c r="K83">
        <v>2</v>
      </c>
      <c r="L83">
        <v>2</v>
      </c>
      <c r="M83">
        <v>0</v>
      </c>
      <c r="N83">
        <v>88</v>
      </c>
      <c r="O83">
        <v>88</v>
      </c>
      <c r="P83">
        <v>1</v>
      </c>
      <c r="Q83">
        <v>0</v>
      </c>
      <c r="R83">
        <v>1</v>
      </c>
      <c r="S83">
        <v>1</v>
      </c>
      <c r="T83">
        <v>0</v>
      </c>
      <c r="U83">
        <v>0</v>
      </c>
      <c r="V83">
        <v>1</v>
      </c>
      <c r="W83" s="9" t="s">
        <v>51</v>
      </c>
      <c r="X83">
        <v>0</v>
      </c>
      <c r="Y83">
        <v>88</v>
      </c>
    </row>
    <row r="84" spans="1:25" x14ac:dyDescent="0.35">
      <c r="A84" s="9" t="s">
        <v>240</v>
      </c>
      <c r="B84" s="9" t="s">
        <v>241</v>
      </c>
      <c r="C84" s="9" t="s">
        <v>61</v>
      </c>
      <c r="D84" s="9" t="s">
        <v>46</v>
      </c>
      <c r="E84" s="9" t="s">
        <v>56</v>
      </c>
      <c r="F84" s="9" t="s">
        <v>57</v>
      </c>
      <c r="G84" s="9" t="s">
        <v>54</v>
      </c>
      <c r="H84" s="9" t="s">
        <v>65</v>
      </c>
      <c r="I84">
        <v>0</v>
      </c>
      <c r="J84">
        <v>3</v>
      </c>
      <c r="K84">
        <v>3</v>
      </c>
      <c r="L84">
        <v>3</v>
      </c>
      <c r="M84">
        <v>0</v>
      </c>
      <c r="N84">
        <v>59</v>
      </c>
      <c r="O84">
        <v>59</v>
      </c>
      <c r="P84">
        <v>0</v>
      </c>
      <c r="Q84">
        <v>0</v>
      </c>
      <c r="R84">
        <v>1</v>
      </c>
      <c r="S84">
        <v>1</v>
      </c>
      <c r="T84">
        <v>1</v>
      </c>
      <c r="U84">
        <v>0</v>
      </c>
      <c r="V84">
        <v>0</v>
      </c>
      <c r="W84" s="9" t="s">
        <v>95</v>
      </c>
      <c r="X84">
        <v>21</v>
      </c>
      <c r="Y84">
        <v>88</v>
      </c>
    </row>
    <row r="85" spans="1:25" x14ac:dyDescent="0.35">
      <c r="A85" s="9" t="s">
        <v>242</v>
      </c>
      <c r="B85" s="9" t="s">
        <v>243</v>
      </c>
      <c r="C85" s="9" t="s">
        <v>61</v>
      </c>
      <c r="D85" s="9" t="s">
        <v>55</v>
      </c>
      <c r="E85" s="9" t="s">
        <v>69</v>
      </c>
      <c r="F85" s="9" t="s">
        <v>70</v>
      </c>
      <c r="G85" s="9" t="s">
        <v>49</v>
      </c>
      <c r="H85" s="9" t="s">
        <v>65</v>
      </c>
      <c r="I85">
        <v>0</v>
      </c>
      <c r="J85">
        <v>3</v>
      </c>
      <c r="K85">
        <v>3</v>
      </c>
      <c r="L85">
        <v>3</v>
      </c>
      <c r="M85">
        <v>0</v>
      </c>
      <c r="N85">
        <v>88</v>
      </c>
      <c r="O85">
        <v>88</v>
      </c>
      <c r="P85">
        <v>2</v>
      </c>
      <c r="Q85">
        <v>0</v>
      </c>
      <c r="R85">
        <v>1</v>
      </c>
      <c r="S85">
        <v>1</v>
      </c>
      <c r="T85">
        <v>0</v>
      </c>
      <c r="U85">
        <v>0</v>
      </c>
      <c r="V85">
        <v>1</v>
      </c>
      <c r="W85" s="9" t="s">
        <v>51</v>
      </c>
      <c r="X85">
        <v>0</v>
      </c>
      <c r="Y85">
        <v>88</v>
      </c>
    </row>
    <row r="86" spans="1:25" x14ac:dyDescent="0.35">
      <c r="A86" s="9" t="s">
        <v>244</v>
      </c>
      <c r="B86" s="9" t="s">
        <v>245</v>
      </c>
      <c r="C86" s="9" t="s">
        <v>68</v>
      </c>
      <c r="D86" s="9" t="s">
        <v>55</v>
      </c>
      <c r="E86" s="9" t="s">
        <v>80</v>
      </c>
      <c r="F86" s="9" t="s">
        <v>81</v>
      </c>
      <c r="G86" s="9" t="s">
        <v>82</v>
      </c>
      <c r="H86" s="9" t="s">
        <v>65</v>
      </c>
      <c r="I86">
        <v>0</v>
      </c>
      <c r="J86">
        <v>4</v>
      </c>
      <c r="K86">
        <v>4</v>
      </c>
      <c r="L86">
        <v>3</v>
      </c>
      <c r="M86">
        <v>0</v>
      </c>
      <c r="N86">
        <v>88</v>
      </c>
      <c r="O86">
        <v>88</v>
      </c>
      <c r="P86">
        <v>0</v>
      </c>
      <c r="Q86">
        <v>0</v>
      </c>
      <c r="R86">
        <v>1</v>
      </c>
      <c r="S86">
        <v>1</v>
      </c>
      <c r="T86">
        <v>0</v>
      </c>
      <c r="U86">
        <v>0</v>
      </c>
      <c r="V86">
        <v>1</v>
      </c>
      <c r="W86" s="9" t="s">
        <v>51</v>
      </c>
      <c r="X86">
        <v>0</v>
      </c>
      <c r="Y86">
        <v>88</v>
      </c>
    </row>
    <row r="87" spans="1:25" x14ac:dyDescent="0.35">
      <c r="A87" s="9" t="s">
        <v>246</v>
      </c>
      <c r="B87" s="9" t="s">
        <v>247</v>
      </c>
      <c r="C87" s="9" t="s">
        <v>45</v>
      </c>
      <c r="D87" s="9" t="s">
        <v>55</v>
      </c>
      <c r="E87" s="9" t="s">
        <v>47</v>
      </c>
      <c r="F87" s="9" t="s">
        <v>48</v>
      </c>
      <c r="G87" s="9" t="s">
        <v>49</v>
      </c>
      <c r="H87" s="9" t="s">
        <v>50</v>
      </c>
      <c r="I87">
        <v>0</v>
      </c>
      <c r="J87">
        <v>3</v>
      </c>
      <c r="K87">
        <v>3</v>
      </c>
      <c r="L87">
        <v>2</v>
      </c>
      <c r="M87">
        <v>1</v>
      </c>
      <c r="N87">
        <v>88</v>
      </c>
      <c r="O87">
        <v>88</v>
      </c>
      <c r="P87">
        <v>0</v>
      </c>
      <c r="Q87">
        <v>0</v>
      </c>
      <c r="R87">
        <v>1</v>
      </c>
      <c r="S87">
        <v>1</v>
      </c>
      <c r="T87">
        <v>0</v>
      </c>
      <c r="U87">
        <v>0</v>
      </c>
      <c r="V87">
        <v>1</v>
      </c>
      <c r="W87" s="9" t="s">
        <v>51</v>
      </c>
      <c r="X87">
        <v>0</v>
      </c>
      <c r="Y87">
        <v>88</v>
      </c>
    </row>
    <row r="88" spans="1:25" x14ac:dyDescent="0.35">
      <c r="A88" s="9" t="s">
        <v>248</v>
      </c>
      <c r="B88" s="9" t="s">
        <v>249</v>
      </c>
      <c r="C88" s="9" t="s">
        <v>134</v>
      </c>
      <c r="D88" s="9" t="s">
        <v>46</v>
      </c>
      <c r="E88" s="9" t="s">
        <v>56</v>
      </c>
      <c r="F88" s="9" t="s">
        <v>57</v>
      </c>
      <c r="G88" s="9" t="s">
        <v>54</v>
      </c>
      <c r="H88" s="9" t="s">
        <v>135</v>
      </c>
      <c r="I88">
        <v>1</v>
      </c>
      <c r="J88">
        <v>4</v>
      </c>
      <c r="K88">
        <v>4</v>
      </c>
      <c r="L88">
        <v>4</v>
      </c>
      <c r="M88">
        <v>0</v>
      </c>
      <c r="N88">
        <v>51</v>
      </c>
      <c r="P88">
        <v>4</v>
      </c>
      <c r="Q88">
        <v>1</v>
      </c>
      <c r="R88">
        <v>1</v>
      </c>
      <c r="S88">
        <v>0</v>
      </c>
      <c r="T88">
        <v>0</v>
      </c>
      <c r="U88">
        <v>0</v>
      </c>
      <c r="V88">
        <v>0</v>
      </c>
      <c r="W88" s="9" t="s">
        <v>58</v>
      </c>
      <c r="X88">
        <v>0</v>
      </c>
      <c r="Y88">
        <v>88</v>
      </c>
    </row>
    <row r="89" spans="1:25" x14ac:dyDescent="0.35">
      <c r="A89" s="9" t="s">
        <v>250</v>
      </c>
      <c r="B89" s="9" t="s">
        <v>251</v>
      </c>
      <c r="C89" s="9" t="s">
        <v>61</v>
      </c>
      <c r="D89" s="9" t="s">
        <v>55</v>
      </c>
      <c r="E89" s="9" t="s">
        <v>112</v>
      </c>
      <c r="F89" s="9" t="s">
        <v>113</v>
      </c>
      <c r="G89" s="9" t="s">
        <v>54</v>
      </c>
      <c r="H89" s="9" t="s">
        <v>65</v>
      </c>
      <c r="I89">
        <v>0</v>
      </c>
      <c r="J89">
        <v>4</v>
      </c>
      <c r="K89">
        <v>4</v>
      </c>
      <c r="L89">
        <v>4</v>
      </c>
      <c r="M89">
        <v>0</v>
      </c>
      <c r="N89">
        <v>88</v>
      </c>
      <c r="O89">
        <v>88</v>
      </c>
      <c r="P89">
        <v>1</v>
      </c>
      <c r="Q89">
        <v>0</v>
      </c>
      <c r="R89">
        <v>1</v>
      </c>
      <c r="S89">
        <v>1</v>
      </c>
      <c r="T89">
        <v>0</v>
      </c>
      <c r="U89">
        <v>0</v>
      </c>
      <c r="V89">
        <v>1</v>
      </c>
      <c r="W89" s="9" t="s">
        <v>51</v>
      </c>
      <c r="X89">
        <v>0</v>
      </c>
      <c r="Y89">
        <v>88</v>
      </c>
    </row>
    <row r="90" spans="1:25" x14ac:dyDescent="0.35">
      <c r="A90" s="9" t="s">
        <v>252</v>
      </c>
      <c r="B90" s="9" t="s">
        <v>253</v>
      </c>
      <c r="C90" s="9" t="s">
        <v>61</v>
      </c>
      <c r="D90" s="9" t="s">
        <v>55</v>
      </c>
      <c r="E90" s="9" t="s">
        <v>76</v>
      </c>
      <c r="F90" s="9" t="s">
        <v>77</v>
      </c>
      <c r="G90" s="9" t="s">
        <v>54</v>
      </c>
      <c r="H90" s="9" t="s">
        <v>65</v>
      </c>
      <c r="I90">
        <v>0</v>
      </c>
      <c r="J90">
        <v>1</v>
      </c>
      <c r="K90">
        <v>1</v>
      </c>
      <c r="L90">
        <v>1</v>
      </c>
      <c r="M90">
        <v>0</v>
      </c>
      <c r="N90">
        <v>88</v>
      </c>
      <c r="O90">
        <v>88</v>
      </c>
      <c r="P90">
        <v>0</v>
      </c>
      <c r="Q90">
        <v>0</v>
      </c>
      <c r="R90">
        <v>1</v>
      </c>
      <c r="S90">
        <v>1</v>
      </c>
      <c r="T90">
        <v>0</v>
      </c>
      <c r="U90">
        <v>0</v>
      </c>
      <c r="V90">
        <v>1</v>
      </c>
      <c r="W90" s="9" t="s">
        <v>51</v>
      </c>
      <c r="X90">
        <v>0</v>
      </c>
      <c r="Y90">
        <v>88</v>
      </c>
    </row>
    <row r="91" spans="1:25" x14ac:dyDescent="0.35">
      <c r="A91" s="9" t="s">
        <v>254</v>
      </c>
      <c r="B91" s="9" t="s">
        <v>255</v>
      </c>
      <c r="C91" s="9" t="s">
        <v>54</v>
      </c>
      <c r="D91" s="9" t="s">
        <v>46</v>
      </c>
      <c r="E91" s="9" t="s">
        <v>76</v>
      </c>
      <c r="F91" s="9" t="s">
        <v>77</v>
      </c>
      <c r="G91" s="9" t="s">
        <v>54</v>
      </c>
      <c r="H91" s="9" t="s">
        <v>50</v>
      </c>
      <c r="I91">
        <v>1</v>
      </c>
      <c r="J91">
        <v>2</v>
      </c>
      <c r="K91">
        <v>2</v>
      </c>
      <c r="L91">
        <v>2</v>
      </c>
      <c r="M91">
        <v>0</v>
      </c>
      <c r="N91">
        <v>88</v>
      </c>
      <c r="O91">
        <v>31</v>
      </c>
      <c r="P91">
        <v>0</v>
      </c>
      <c r="Q91">
        <v>1</v>
      </c>
      <c r="R91">
        <v>1</v>
      </c>
      <c r="S91">
        <v>1</v>
      </c>
      <c r="T91">
        <v>1</v>
      </c>
      <c r="U91">
        <v>0</v>
      </c>
      <c r="V91">
        <v>0</v>
      </c>
      <c r="W91" s="9" t="s">
        <v>95</v>
      </c>
      <c r="X91">
        <v>9</v>
      </c>
      <c r="Y91">
        <v>88</v>
      </c>
    </row>
    <row r="92" spans="1:25" x14ac:dyDescent="0.35">
      <c r="A92" s="9" t="s">
        <v>256</v>
      </c>
      <c r="B92" s="9" t="s">
        <v>257</v>
      </c>
      <c r="C92" s="9" t="s">
        <v>45</v>
      </c>
      <c r="D92" s="9" t="s">
        <v>46</v>
      </c>
      <c r="E92" s="9" t="s">
        <v>69</v>
      </c>
      <c r="F92" s="9" t="s">
        <v>70</v>
      </c>
      <c r="G92" s="9" t="s">
        <v>49</v>
      </c>
      <c r="H92" s="9" t="s">
        <v>50</v>
      </c>
      <c r="I92">
        <v>0</v>
      </c>
      <c r="J92">
        <v>2</v>
      </c>
      <c r="K92">
        <v>2</v>
      </c>
      <c r="L92">
        <v>1</v>
      </c>
      <c r="M92">
        <v>1</v>
      </c>
      <c r="N92">
        <v>39</v>
      </c>
      <c r="O92">
        <v>39</v>
      </c>
      <c r="P92">
        <v>0</v>
      </c>
      <c r="Q92">
        <v>0</v>
      </c>
      <c r="R92">
        <v>1</v>
      </c>
      <c r="S92">
        <v>1</v>
      </c>
      <c r="T92">
        <v>1</v>
      </c>
      <c r="U92">
        <v>0</v>
      </c>
      <c r="V92">
        <v>0</v>
      </c>
      <c r="W92" s="9" t="s">
        <v>95</v>
      </c>
      <c r="X92">
        <v>4</v>
      </c>
      <c r="Y92">
        <v>88</v>
      </c>
    </row>
    <row r="93" spans="1:25" x14ac:dyDescent="0.35">
      <c r="A93" s="9" t="s">
        <v>258</v>
      </c>
      <c r="B93" s="9" t="s">
        <v>259</v>
      </c>
      <c r="C93" s="9" t="s">
        <v>54</v>
      </c>
      <c r="D93" s="9" t="s">
        <v>46</v>
      </c>
      <c r="E93" s="9" t="s">
        <v>76</v>
      </c>
      <c r="F93" s="9" t="s">
        <v>77</v>
      </c>
      <c r="G93" s="9" t="s">
        <v>54</v>
      </c>
      <c r="H93" s="9" t="s">
        <v>50</v>
      </c>
      <c r="I93">
        <v>1</v>
      </c>
      <c r="J93">
        <v>3</v>
      </c>
      <c r="K93">
        <v>3</v>
      </c>
      <c r="L93">
        <v>3</v>
      </c>
      <c r="M93">
        <v>0</v>
      </c>
      <c r="N93">
        <v>88</v>
      </c>
      <c r="O93">
        <v>88</v>
      </c>
      <c r="P93">
        <v>1</v>
      </c>
      <c r="Q93">
        <v>0</v>
      </c>
      <c r="R93">
        <v>1</v>
      </c>
      <c r="S93">
        <v>1</v>
      </c>
      <c r="T93">
        <v>0</v>
      </c>
      <c r="U93">
        <v>0</v>
      </c>
      <c r="V93">
        <v>1</v>
      </c>
      <c r="W93" s="9" t="s">
        <v>51</v>
      </c>
      <c r="X93">
        <v>0</v>
      </c>
      <c r="Y93">
        <v>88</v>
      </c>
    </row>
    <row r="94" spans="1:25" x14ac:dyDescent="0.35">
      <c r="A94" s="9" t="s">
        <v>260</v>
      </c>
      <c r="B94" s="9" t="s">
        <v>261</v>
      </c>
      <c r="C94" s="9" t="s">
        <v>68</v>
      </c>
      <c r="D94" s="9" t="s">
        <v>62</v>
      </c>
      <c r="E94" s="9" t="s">
        <v>47</v>
      </c>
      <c r="F94" s="9" t="s">
        <v>48</v>
      </c>
      <c r="G94" s="9" t="s">
        <v>49</v>
      </c>
      <c r="H94" s="9" t="s">
        <v>65</v>
      </c>
      <c r="I94">
        <v>0</v>
      </c>
      <c r="J94">
        <v>1</v>
      </c>
      <c r="K94">
        <v>1</v>
      </c>
      <c r="L94">
        <v>1</v>
      </c>
      <c r="M94">
        <v>0</v>
      </c>
      <c r="N94">
        <v>88</v>
      </c>
      <c r="P94">
        <v>1</v>
      </c>
      <c r="Q94">
        <v>0</v>
      </c>
      <c r="R94">
        <v>1</v>
      </c>
      <c r="S94">
        <v>0</v>
      </c>
      <c r="T94">
        <v>0</v>
      </c>
      <c r="U94">
        <v>0</v>
      </c>
      <c r="V94">
        <v>0</v>
      </c>
      <c r="W94" s="9" t="s">
        <v>58</v>
      </c>
      <c r="X94">
        <v>0</v>
      </c>
      <c r="Y94">
        <v>88</v>
      </c>
    </row>
    <row r="95" spans="1:25" x14ac:dyDescent="0.35">
      <c r="A95" s="9" t="s">
        <v>262</v>
      </c>
      <c r="B95" s="9" t="s">
        <v>263</v>
      </c>
      <c r="C95" s="9" t="s">
        <v>68</v>
      </c>
      <c r="D95" s="9" t="s">
        <v>46</v>
      </c>
      <c r="E95" s="9" t="s">
        <v>63</v>
      </c>
      <c r="F95" s="9" t="s">
        <v>64</v>
      </c>
      <c r="G95" s="9" t="s">
        <v>49</v>
      </c>
      <c r="H95" s="9" t="s">
        <v>65</v>
      </c>
      <c r="I95">
        <v>0</v>
      </c>
      <c r="J95">
        <v>3</v>
      </c>
      <c r="K95">
        <v>3</v>
      </c>
      <c r="L95">
        <v>3</v>
      </c>
      <c r="M95">
        <v>0</v>
      </c>
      <c r="N95">
        <v>88</v>
      </c>
      <c r="O95">
        <v>88</v>
      </c>
      <c r="P95">
        <v>0</v>
      </c>
      <c r="Q95">
        <v>0</v>
      </c>
      <c r="R95">
        <v>1</v>
      </c>
      <c r="S95">
        <v>1</v>
      </c>
      <c r="T95">
        <v>0</v>
      </c>
      <c r="U95">
        <v>0</v>
      </c>
      <c r="V95">
        <v>1</v>
      </c>
      <c r="W95" s="9" t="s">
        <v>51</v>
      </c>
      <c r="X95">
        <v>0</v>
      </c>
      <c r="Y95">
        <v>88</v>
      </c>
    </row>
    <row r="96" spans="1:25" x14ac:dyDescent="0.35">
      <c r="A96" s="9" t="s">
        <v>264</v>
      </c>
      <c r="B96" s="9" t="s">
        <v>265</v>
      </c>
      <c r="C96" s="9" t="s">
        <v>134</v>
      </c>
      <c r="D96" s="9" t="s">
        <v>55</v>
      </c>
      <c r="E96" s="9" t="s">
        <v>56</v>
      </c>
      <c r="F96" s="9" t="s">
        <v>57</v>
      </c>
      <c r="G96" s="9" t="s">
        <v>54</v>
      </c>
      <c r="H96" s="9" t="s">
        <v>135</v>
      </c>
      <c r="I96">
        <v>1</v>
      </c>
      <c r="J96">
        <v>3</v>
      </c>
      <c r="K96">
        <v>3</v>
      </c>
      <c r="L96">
        <v>3</v>
      </c>
      <c r="M96">
        <v>0</v>
      </c>
      <c r="N96">
        <v>88</v>
      </c>
      <c r="O96">
        <v>88</v>
      </c>
      <c r="P96">
        <v>0</v>
      </c>
      <c r="Q96">
        <v>1</v>
      </c>
      <c r="R96">
        <v>1</v>
      </c>
      <c r="S96">
        <v>1</v>
      </c>
      <c r="T96">
        <v>0</v>
      </c>
      <c r="U96">
        <v>0</v>
      </c>
      <c r="V96">
        <v>1</v>
      </c>
      <c r="W96" s="9" t="s">
        <v>51</v>
      </c>
      <c r="X96">
        <v>0</v>
      </c>
      <c r="Y96">
        <v>88</v>
      </c>
    </row>
    <row r="97" spans="1:25" x14ac:dyDescent="0.35">
      <c r="A97" s="9" t="s">
        <v>266</v>
      </c>
      <c r="B97" s="9" t="s">
        <v>267</v>
      </c>
      <c r="C97" s="9" t="s">
        <v>68</v>
      </c>
      <c r="D97" s="9" t="s">
        <v>46</v>
      </c>
      <c r="E97" s="9" t="s">
        <v>47</v>
      </c>
      <c r="F97" s="9" t="s">
        <v>48</v>
      </c>
      <c r="G97" s="9" t="s">
        <v>49</v>
      </c>
      <c r="H97" s="9" t="s">
        <v>65</v>
      </c>
      <c r="I97">
        <v>0</v>
      </c>
      <c r="J97">
        <v>1</v>
      </c>
      <c r="K97">
        <v>1</v>
      </c>
      <c r="L97">
        <v>0</v>
      </c>
      <c r="M97">
        <v>0</v>
      </c>
      <c r="P97">
        <v>0</v>
      </c>
      <c r="Q97">
        <v>0</v>
      </c>
      <c r="R97">
        <v>0</v>
      </c>
      <c r="S97">
        <v>0</v>
      </c>
      <c r="T97">
        <v>0</v>
      </c>
      <c r="U97">
        <v>0</v>
      </c>
      <c r="V97">
        <v>0</v>
      </c>
      <c r="W97" s="9" t="s">
        <v>73</v>
      </c>
      <c r="X97">
        <v>0</v>
      </c>
      <c r="Y97">
        <v>88</v>
      </c>
    </row>
    <row r="98" spans="1:25" x14ac:dyDescent="0.35">
      <c r="A98" s="9" t="s">
        <v>268</v>
      </c>
      <c r="B98" s="9" t="s">
        <v>269</v>
      </c>
      <c r="C98" s="9" t="s">
        <v>68</v>
      </c>
      <c r="D98" s="9" t="s">
        <v>46</v>
      </c>
      <c r="E98" s="9" t="s">
        <v>69</v>
      </c>
      <c r="F98" s="9" t="s">
        <v>70</v>
      </c>
      <c r="G98" s="9" t="s">
        <v>49</v>
      </c>
      <c r="H98" s="9" t="s">
        <v>65</v>
      </c>
      <c r="I98">
        <v>0</v>
      </c>
      <c r="J98">
        <v>4</v>
      </c>
      <c r="K98">
        <v>4</v>
      </c>
      <c r="L98">
        <v>3</v>
      </c>
      <c r="M98">
        <v>0</v>
      </c>
      <c r="N98">
        <v>88</v>
      </c>
      <c r="O98">
        <v>88</v>
      </c>
      <c r="P98">
        <v>0</v>
      </c>
      <c r="Q98">
        <v>0</v>
      </c>
      <c r="R98">
        <v>1</v>
      </c>
      <c r="S98">
        <v>1</v>
      </c>
      <c r="T98">
        <v>0</v>
      </c>
      <c r="U98">
        <v>0</v>
      </c>
      <c r="V98">
        <v>1</v>
      </c>
      <c r="W98" s="9" t="s">
        <v>51</v>
      </c>
      <c r="X98">
        <v>0</v>
      </c>
      <c r="Y98">
        <v>88</v>
      </c>
    </row>
    <row r="99" spans="1:25" x14ac:dyDescent="0.35">
      <c r="A99" s="9" t="s">
        <v>270</v>
      </c>
      <c r="B99" s="9" t="s">
        <v>271</v>
      </c>
      <c r="C99" s="9" t="s">
        <v>45</v>
      </c>
      <c r="D99" s="9" t="s">
        <v>55</v>
      </c>
      <c r="E99" s="9" t="s">
        <v>47</v>
      </c>
      <c r="F99" s="9" t="s">
        <v>48</v>
      </c>
      <c r="G99" s="9" t="s">
        <v>49</v>
      </c>
      <c r="H99" s="9" t="s">
        <v>50</v>
      </c>
      <c r="I99">
        <v>0</v>
      </c>
      <c r="J99">
        <v>3</v>
      </c>
      <c r="K99">
        <v>3</v>
      </c>
      <c r="L99">
        <v>3</v>
      </c>
      <c r="M99">
        <v>0</v>
      </c>
      <c r="N99">
        <v>88</v>
      </c>
      <c r="O99">
        <v>88</v>
      </c>
      <c r="P99">
        <v>2</v>
      </c>
      <c r="Q99">
        <v>0</v>
      </c>
      <c r="R99">
        <v>1</v>
      </c>
      <c r="S99">
        <v>1</v>
      </c>
      <c r="T99">
        <v>0</v>
      </c>
      <c r="U99">
        <v>0</v>
      </c>
      <c r="V99">
        <v>1</v>
      </c>
      <c r="W99" s="9" t="s">
        <v>51</v>
      </c>
      <c r="X99">
        <v>0</v>
      </c>
      <c r="Y99">
        <v>88</v>
      </c>
    </row>
    <row r="100" spans="1:25" x14ac:dyDescent="0.35">
      <c r="A100" s="9" t="s">
        <v>272</v>
      </c>
      <c r="B100" s="9" t="s">
        <v>273</v>
      </c>
      <c r="C100" s="9" t="s">
        <v>61</v>
      </c>
      <c r="D100" s="9" t="s">
        <v>46</v>
      </c>
      <c r="E100" s="9" t="s">
        <v>69</v>
      </c>
      <c r="F100" s="9" t="s">
        <v>70</v>
      </c>
      <c r="G100" s="9" t="s">
        <v>49</v>
      </c>
      <c r="H100" s="9" t="s">
        <v>65</v>
      </c>
      <c r="I100">
        <v>0</v>
      </c>
      <c r="J100">
        <v>3</v>
      </c>
      <c r="K100">
        <v>3</v>
      </c>
      <c r="L100">
        <v>3</v>
      </c>
      <c r="M100">
        <v>0</v>
      </c>
      <c r="N100">
        <v>88</v>
      </c>
      <c r="O100">
        <v>88</v>
      </c>
      <c r="P100">
        <v>1</v>
      </c>
      <c r="Q100">
        <v>0</v>
      </c>
      <c r="R100">
        <v>1</v>
      </c>
      <c r="S100">
        <v>1</v>
      </c>
      <c r="T100">
        <v>0</v>
      </c>
      <c r="U100">
        <v>0</v>
      </c>
      <c r="V100">
        <v>1</v>
      </c>
      <c r="W100" s="9" t="s">
        <v>51</v>
      </c>
      <c r="X100">
        <v>0</v>
      </c>
      <c r="Y100">
        <v>88</v>
      </c>
    </row>
    <row r="101" spans="1:25" x14ac:dyDescent="0.35">
      <c r="A101" s="9" t="s">
        <v>274</v>
      </c>
      <c r="B101" s="9" t="s">
        <v>275</v>
      </c>
      <c r="C101" s="9" t="s">
        <v>61</v>
      </c>
      <c r="D101" s="9" t="s">
        <v>55</v>
      </c>
      <c r="E101" s="9" t="s">
        <v>47</v>
      </c>
      <c r="F101" s="9" t="s">
        <v>48</v>
      </c>
      <c r="G101" s="9" t="s">
        <v>49</v>
      </c>
      <c r="H101" s="9" t="s">
        <v>65</v>
      </c>
      <c r="I101">
        <v>0</v>
      </c>
      <c r="J101">
        <v>4</v>
      </c>
      <c r="K101">
        <v>4</v>
      </c>
      <c r="L101">
        <v>4</v>
      </c>
      <c r="M101">
        <v>0</v>
      </c>
      <c r="N101">
        <v>88</v>
      </c>
      <c r="O101">
        <v>88</v>
      </c>
      <c r="P101">
        <v>2</v>
      </c>
      <c r="Q101">
        <v>0</v>
      </c>
      <c r="R101">
        <v>1</v>
      </c>
      <c r="S101">
        <v>1</v>
      </c>
      <c r="T101">
        <v>0</v>
      </c>
      <c r="U101">
        <v>0</v>
      </c>
      <c r="V101">
        <v>1</v>
      </c>
      <c r="W101" s="9" t="s">
        <v>51</v>
      </c>
      <c r="X101">
        <v>0</v>
      </c>
      <c r="Y101">
        <v>88</v>
      </c>
    </row>
    <row r="102" spans="1:25" x14ac:dyDescent="0.35">
      <c r="A102" s="9" t="s">
        <v>276</v>
      </c>
      <c r="B102" s="9" t="s">
        <v>277</v>
      </c>
      <c r="C102" s="9" t="s">
        <v>68</v>
      </c>
      <c r="D102" s="9" t="s">
        <v>55</v>
      </c>
      <c r="E102" s="9" t="s">
        <v>76</v>
      </c>
      <c r="F102" s="9" t="s">
        <v>77</v>
      </c>
      <c r="G102" s="9" t="s">
        <v>54</v>
      </c>
      <c r="H102" s="9" t="s">
        <v>65</v>
      </c>
      <c r="I102">
        <v>0</v>
      </c>
      <c r="J102">
        <v>2</v>
      </c>
      <c r="K102">
        <v>2</v>
      </c>
      <c r="L102">
        <v>2</v>
      </c>
      <c r="M102">
        <v>0</v>
      </c>
      <c r="N102">
        <v>88</v>
      </c>
      <c r="O102">
        <v>88</v>
      </c>
      <c r="P102">
        <v>0</v>
      </c>
      <c r="Q102">
        <v>0</v>
      </c>
      <c r="R102">
        <v>1</v>
      </c>
      <c r="S102">
        <v>1</v>
      </c>
      <c r="T102">
        <v>0</v>
      </c>
      <c r="U102">
        <v>0</v>
      </c>
      <c r="V102">
        <v>1</v>
      </c>
      <c r="W102" s="9" t="s">
        <v>51</v>
      </c>
      <c r="X102">
        <v>0</v>
      </c>
      <c r="Y102">
        <v>88</v>
      </c>
    </row>
    <row r="103" spans="1:25" x14ac:dyDescent="0.35">
      <c r="A103" s="9" t="s">
        <v>278</v>
      </c>
      <c r="B103" s="9" t="s">
        <v>279</v>
      </c>
      <c r="C103" s="9" t="s">
        <v>45</v>
      </c>
      <c r="D103" s="9" t="s">
        <v>55</v>
      </c>
      <c r="E103" s="9" t="s">
        <v>93</v>
      </c>
      <c r="F103" s="9" t="s">
        <v>94</v>
      </c>
      <c r="G103" s="9" t="s">
        <v>82</v>
      </c>
      <c r="H103" s="9" t="s">
        <v>50</v>
      </c>
      <c r="I103">
        <v>0</v>
      </c>
      <c r="J103">
        <v>2</v>
      </c>
      <c r="K103">
        <v>2</v>
      </c>
      <c r="L103">
        <v>2</v>
      </c>
      <c r="M103">
        <v>0</v>
      </c>
      <c r="N103">
        <v>88</v>
      </c>
      <c r="O103">
        <v>88</v>
      </c>
      <c r="P103">
        <v>0</v>
      </c>
      <c r="Q103">
        <v>0</v>
      </c>
      <c r="R103">
        <v>1</v>
      </c>
      <c r="S103">
        <v>1</v>
      </c>
      <c r="T103">
        <v>0</v>
      </c>
      <c r="U103">
        <v>0</v>
      </c>
      <c r="V103">
        <v>1</v>
      </c>
      <c r="W103" s="9" t="s">
        <v>51</v>
      </c>
      <c r="X103">
        <v>0</v>
      </c>
      <c r="Y103">
        <v>88</v>
      </c>
    </row>
    <row r="104" spans="1:25" x14ac:dyDescent="0.35">
      <c r="A104" s="9" t="s">
        <v>280</v>
      </c>
      <c r="B104" s="9" t="s">
        <v>281</v>
      </c>
      <c r="C104" s="9" t="s">
        <v>54</v>
      </c>
      <c r="D104" s="9" t="s">
        <v>46</v>
      </c>
      <c r="E104" s="9" t="s">
        <v>112</v>
      </c>
      <c r="F104" s="9" t="s">
        <v>113</v>
      </c>
      <c r="G104" s="9" t="s">
        <v>54</v>
      </c>
      <c r="H104" s="9" t="s">
        <v>50</v>
      </c>
      <c r="I104">
        <v>1</v>
      </c>
      <c r="J104">
        <v>2</v>
      </c>
      <c r="K104">
        <v>2</v>
      </c>
      <c r="L104">
        <v>2</v>
      </c>
      <c r="M104">
        <v>0</v>
      </c>
      <c r="N104">
        <v>42</v>
      </c>
      <c r="O104">
        <v>42</v>
      </c>
      <c r="P104">
        <v>0</v>
      </c>
      <c r="Q104">
        <v>0</v>
      </c>
      <c r="R104">
        <v>1</v>
      </c>
      <c r="S104">
        <v>1</v>
      </c>
      <c r="T104">
        <v>1</v>
      </c>
      <c r="U104">
        <v>0</v>
      </c>
      <c r="V104">
        <v>0</v>
      </c>
      <c r="W104" s="9" t="s">
        <v>95</v>
      </c>
      <c r="X104">
        <v>27</v>
      </c>
      <c r="Y104">
        <v>88</v>
      </c>
    </row>
    <row r="105" spans="1:25" x14ac:dyDescent="0.35">
      <c r="A105" s="9" t="s">
        <v>282</v>
      </c>
      <c r="B105" s="9" t="s">
        <v>283</v>
      </c>
      <c r="C105" s="9" t="s">
        <v>45</v>
      </c>
      <c r="D105" s="9" t="s">
        <v>55</v>
      </c>
      <c r="E105" s="9" t="s">
        <v>80</v>
      </c>
      <c r="F105" s="9" t="s">
        <v>81</v>
      </c>
      <c r="G105" s="9" t="s">
        <v>82</v>
      </c>
      <c r="H105" s="9" t="s">
        <v>50</v>
      </c>
      <c r="I105">
        <v>0</v>
      </c>
      <c r="J105">
        <v>3</v>
      </c>
      <c r="K105">
        <v>3</v>
      </c>
      <c r="L105">
        <v>3</v>
      </c>
      <c r="M105">
        <v>0</v>
      </c>
      <c r="N105">
        <v>69</v>
      </c>
      <c r="O105">
        <v>69</v>
      </c>
      <c r="P105">
        <v>0</v>
      </c>
      <c r="Q105">
        <v>0</v>
      </c>
      <c r="R105">
        <v>1</v>
      </c>
      <c r="S105">
        <v>1</v>
      </c>
      <c r="T105">
        <v>1</v>
      </c>
      <c r="U105">
        <v>0</v>
      </c>
      <c r="V105">
        <v>0</v>
      </c>
      <c r="W105" s="9" t="s">
        <v>95</v>
      </c>
      <c r="X105">
        <v>2</v>
      </c>
      <c r="Y105">
        <v>88</v>
      </c>
    </row>
    <row r="106" spans="1:25" x14ac:dyDescent="0.35">
      <c r="A106" s="9" t="s">
        <v>284</v>
      </c>
      <c r="B106" s="9" t="s">
        <v>285</v>
      </c>
      <c r="C106" s="9" t="s">
        <v>45</v>
      </c>
      <c r="D106" s="9" t="s">
        <v>62</v>
      </c>
      <c r="E106" s="9" t="s">
        <v>76</v>
      </c>
      <c r="F106" s="9" t="s">
        <v>77</v>
      </c>
      <c r="G106" s="9" t="s">
        <v>54</v>
      </c>
      <c r="H106" s="9" t="s">
        <v>50</v>
      </c>
      <c r="I106">
        <v>0</v>
      </c>
      <c r="J106">
        <v>1</v>
      </c>
      <c r="K106">
        <v>1</v>
      </c>
      <c r="L106">
        <v>1</v>
      </c>
      <c r="M106">
        <v>0</v>
      </c>
      <c r="N106">
        <v>88</v>
      </c>
      <c r="P106">
        <v>1</v>
      </c>
      <c r="Q106">
        <v>0</v>
      </c>
      <c r="R106">
        <v>1</v>
      </c>
      <c r="S106">
        <v>0</v>
      </c>
      <c r="T106">
        <v>0</v>
      </c>
      <c r="U106">
        <v>0</v>
      </c>
      <c r="V106">
        <v>0</v>
      </c>
      <c r="W106" s="9" t="s">
        <v>58</v>
      </c>
      <c r="X106">
        <v>0</v>
      </c>
      <c r="Y106">
        <v>88</v>
      </c>
    </row>
    <row r="107" spans="1:25" x14ac:dyDescent="0.35">
      <c r="A107" s="9" t="s">
        <v>286</v>
      </c>
      <c r="B107" s="9" t="s">
        <v>287</v>
      </c>
      <c r="C107" s="9" t="s">
        <v>54</v>
      </c>
      <c r="D107" s="9" t="s">
        <v>46</v>
      </c>
      <c r="E107" s="9" t="s">
        <v>56</v>
      </c>
      <c r="F107" s="9" t="s">
        <v>57</v>
      </c>
      <c r="G107" s="9" t="s">
        <v>54</v>
      </c>
      <c r="H107" s="9" t="s">
        <v>50</v>
      </c>
      <c r="I107">
        <v>1</v>
      </c>
      <c r="J107">
        <v>1</v>
      </c>
      <c r="K107">
        <v>1</v>
      </c>
      <c r="L107">
        <v>1</v>
      </c>
      <c r="M107">
        <v>0</v>
      </c>
      <c r="N107">
        <v>39</v>
      </c>
      <c r="P107">
        <v>1</v>
      </c>
      <c r="Q107">
        <v>1</v>
      </c>
      <c r="R107">
        <v>1</v>
      </c>
      <c r="S107">
        <v>0</v>
      </c>
      <c r="T107">
        <v>0</v>
      </c>
      <c r="U107">
        <v>0</v>
      </c>
      <c r="V107">
        <v>0</v>
      </c>
      <c r="W107" s="9" t="s">
        <v>58</v>
      </c>
      <c r="X107">
        <v>0</v>
      </c>
      <c r="Y107">
        <v>88</v>
      </c>
    </row>
    <row r="108" spans="1:25" x14ac:dyDescent="0.35">
      <c r="A108" s="9" t="s">
        <v>288</v>
      </c>
      <c r="B108" s="9" t="s">
        <v>289</v>
      </c>
      <c r="C108" s="9" t="s">
        <v>68</v>
      </c>
      <c r="D108" s="9" t="s">
        <v>55</v>
      </c>
      <c r="E108" s="9" t="s">
        <v>47</v>
      </c>
      <c r="F108" s="9" t="s">
        <v>48</v>
      </c>
      <c r="G108" s="9" t="s">
        <v>49</v>
      </c>
      <c r="H108" s="9" t="s">
        <v>65</v>
      </c>
      <c r="I108">
        <v>0</v>
      </c>
      <c r="J108">
        <v>1</v>
      </c>
      <c r="K108">
        <v>1</v>
      </c>
      <c r="L108">
        <v>1</v>
      </c>
      <c r="M108">
        <v>0</v>
      </c>
      <c r="N108">
        <v>88</v>
      </c>
      <c r="P108">
        <v>1</v>
      </c>
      <c r="Q108">
        <v>0</v>
      </c>
      <c r="R108">
        <v>1</v>
      </c>
      <c r="S108">
        <v>0</v>
      </c>
      <c r="T108">
        <v>0</v>
      </c>
      <c r="U108">
        <v>0</v>
      </c>
      <c r="V108">
        <v>0</v>
      </c>
      <c r="W108" s="9" t="s">
        <v>58</v>
      </c>
      <c r="X108">
        <v>0</v>
      </c>
      <c r="Y108">
        <v>88</v>
      </c>
    </row>
    <row r="109" spans="1:25" x14ac:dyDescent="0.35">
      <c r="A109" s="9" t="s">
        <v>290</v>
      </c>
      <c r="B109" s="9" t="s">
        <v>291</v>
      </c>
      <c r="C109" s="9" t="s">
        <v>45</v>
      </c>
      <c r="D109" s="9" t="s">
        <v>55</v>
      </c>
      <c r="E109" s="9" t="s">
        <v>63</v>
      </c>
      <c r="F109" s="9" t="s">
        <v>64</v>
      </c>
      <c r="G109" s="9" t="s">
        <v>49</v>
      </c>
      <c r="H109" s="9" t="s">
        <v>50</v>
      </c>
      <c r="I109">
        <v>0</v>
      </c>
      <c r="J109">
        <v>1</v>
      </c>
      <c r="K109">
        <v>1</v>
      </c>
      <c r="L109">
        <v>1</v>
      </c>
      <c r="M109">
        <v>0</v>
      </c>
      <c r="N109">
        <v>88</v>
      </c>
      <c r="O109">
        <v>88</v>
      </c>
      <c r="P109">
        <v>0</v>
      </c>
      <c r="Q109">
        <v>0</v>
      </c>
      <c r="R109">
        <v>1</v>
      </c>
      <c r="S109">
        <v>1</v>
      </c>
      <c r="T109">
        <v>0</v>
      </c>
      <c r="U109">
        <v>0</v>
      </c>
      <c r="V109">
        <v>1</v>
      </c>
      <c r="W109" s="9" t="s">
        <v>51</v>
      </c>
      <c r="X109">
        <v>0</v>
      </c>
      <c r="Y109">
        <v>88</v>
      </c>
    </row>
    <row r="110" spans="1:25" x14ac:dyDescent="0.35">
      <c r="A110" s="9" t="s">
        <v>292</v>
      </c>
      <c r="B110" s="9" t="s">
        <v>293</v>
      </c>
      <c r="C110" s="9" t="s">
        <v>68</v>
      </c>
      <c r="D110" s="9" t="s">
        <v>55</v>
      </c>
      <c r="E110" s="9" t="s">
        <v>93</v>
      </c>
      <c r="F110" s="9" t="s">
        <v>94</v>
      </c>
      <c r="G110" s="9" t="s">
        <v>82</v>
      </c>
      <c r="H110" s="9" t="s">
        <v>65</v>
      </c>
      <c r="I110">
        <v>0</v>
      </c>
      <c r="J110">
        <v>4</v>
      </c>
      <c r="K110">
        <v>4</v>
      </c>
      <c r="L110">
        <v>3</v>
      </c>
      <c r="M110">
        <v>0</v>
      </c>
      <c r="N110">
        <v>88</v>
      </c>
      <c r="O110">
        <v>88</v>
      </c>
      <c r="P110">
        <v>0</v>
      </c>
      <c r="Q110">
        <v>0</v>
      </c>
      <c r="R110">
        <v>1</v>
      </c>
      <c r="S110">
        <v>1</v>
      </c>
      <c r="T110">
        <v>0</v>
      </c>
      <c r="U110">
        <v>0</v>
      </c>
      <c r="V110">
        <v>1</v>
      </c>
      <c r="W110" s="9" t="s">
        <v>51</v>
      </c>
      <c r="X110">
        <v>0</v>
      </c>
      <c r="Y110">
        <v>88</v>
      </c>
    </row>
    <row r="111" spans="1:25" x14ac:dyDescent="0.35">
      <c r="A111" s="9" t="s">
        <v>294</v>
      </c>
      <c r="B111" s="9" t="s">
        <v>295</v>
      </c>
      <c r="C111" s="9" t="s">
        <v>134</v>
      </c>
      <c r="D111" s="9" t="s">
        <v>46</v>
      </c>
      <c r="E111" s="9" t="s">
        <v>56</v>
      </c>
      <c r="F111" s="9" t="s">
        <v>57</v>
      </c>
      <c r="G111" s="9" t="s">
        <v>54</v>
      </c>
      <c r="H111" s="9" t="s">
        <v>135</v>
      </c>
      <c r="I111">
        <v>1</v>
      </c>
      <c r="J111">
        <v>3</v>
      </c>
      <c r="K111">
        <v>3</v>
      </c>
      <c r="L111">
        <v>2</v>
      </c>
      <c r="M111">
        <v>1</v>
      </c>
      <c r="N111">
        <v>88</v>
      </c>
      <c r="O111">
        <v>31</v>
      </c>
      <c r="P111">
        <v>1</v>
      </c>
      <c r="Q111">
        <v>0</v>
      </c>
      <c r="R111">
        <v>1</v>
      </c>
      <c r="S111">
        <v>1</v>
      </c>
      <c r="T111">
        <v>1</v>
      </c>
      <c r="U111">
        <v>0</v>
      </c>
      <c r="V111">
        <v>0</v>
      </c>
      <c r="W111" s="9" t="s">
        <v>95</v>
      </c>
      <c r="X111">
        <v>29</v>
      </c>
      <c r="Y111">
        <v>88</v>
      </c>
    </row>
    <row r="112" spans="1:25" x14ac:dyDescent="0.35">
      <c r="A112" s="9" t="s">
        <v>296</v>
      </c>
      <c r="B112" s="9" t="s">
        <v>297</v>
      </c>
      <c r="C112" s="9" t="s">
        <v>68</v>
      </c>
      <c r="D112" s="9" t="s">
        <v>62</v>
      </c>
      <c r="E112" s="9" t="s">
        <v>63</v>
      </c>
      <c r="F112" s="9" t="s">
        <v>64</v>
      </c>
      <c r="G112" s="9" t="s">
        <v>49</v>
      </c>
      <c r="H112" s="9" t="s">
        <v>65</v>
      </c>
      <c r="I112">
        <v>0</v>
      </c>
      <c r="J112">
        <v>4</v>
      </c>
      <c r="K112">
        <v>4</v>
      </c>
      <c r="L112">
        <v>4</v>
      </c>
      <c r="M112">
        <v>0</v>
      </c>
      <c r="N112">
        <v>88</v>
      </c>
      <c r="O112">
        <v>67</v>
      </c>
      <c r="P112">
        <v>1</v>
      </c>
      <c r="Q112">
        <v>0</v>
      </c>
      <c r="R112">
        <v>1</v>
      </c>
      <c r="S112">
        <v>1</v>
      </c>
      <c r="T112">
        <v>1</v>
      </c>
      <c r="U112">
        <v>0</v>
      </c>
      <c r="V112">
        <v>0</v>
      </c>
      <c r="W112" s="9" t="s">
        <v>95</v>
      </c>
      <c r="X112">
        <v>2</v>
      </c>
      <c r="Y112">
        <v>88</v>
      </c>
    </row>
    <row r="113" spans="1:25" x14ac:dyDescent="0.35">
      <c r="A113" s="9" t="s">
        <v>298</v>
      </c>
      <c r="B113" s="9" t="s">
        <v>299</v>
      </c>
      <c r="C113" s="9" t="s">
        <v>68</v>
      </c>
      <c r="D113" s="9" t="s">
        <v>46</v>
      </c>
      <c r="E113" s="9" t="s">
        <v>112</v>
      </c>
      <c r="F113" s="9" t="s">
        <v>113</v>
      </c>
      <c r="G113" s="9" t="s">
        <v>54</v>
      </c>
      <c r="H113" s="9" t="s">
        <v>65</v>
      </c>
      <c r="I113">
        <v>0</v>
      </c>
      <c r="J113">
        <v>4</v>
      </c>
      <c r="K113">
        <v>4</v>
      </c>
      <c r="L113">
        <v>4</v>
      </c>
      <c r="M113">
        <v>0</v>
      </c>
      <c r="N113">
        <v>88</v>
      </c>
      <c r="O113">
        <v>88</v>
      </c>
      <c r="P113">
        <v>2</v>
      </c>
      <c r="Q113">
        <v>0</v>
      </c>
      <c r="R113">
        <v>1</v>
      </c>
      <c r="S113">
        <v>1</v>
      </c>
      <c r="T113">
        <v>0</v>
      </c>
      <c r="U113">
        <v>0</v>
      </c>
      <c r="V113">
        <v>1</v>
      </c>
      <c r="W113" s="9" t="s">
        <v>51</v>
      </c>
      <c r="X113">
        <v>0</v>
      </c>
      <c r="Y113">
        <v>88</v>
      </c>
    </row>
    <row r="114" spans="1:25" x14ac:dyDescent="0.35">
      <c r="A114" s="9" t="s">
        <v>300</v>
      </c>
      <c r="B114" s="9" t="s">
        <v>301</v>
      </c>
      <c r="C114" s="9" t="s">
        <v>54</v>
      </c>
      <c r="D114" s="9" t="s">
        <v>46</v>
      </c>
      <c r="E114" s="9" t="s">
        <v>47</v>
      </c>
      <c r="F114" s="9" t="s">
        <v>48</v>
      </c>
      <c r="G114" s="9" t="s">
        <v>49</v>
      </c>
      <c r="H114" s="9" t="s">
        <v>50</v>
      </c>
      <c r="I114">
        <v>1</v>
      </c>
      <c r="J114">
        <v>4</v>
      </c>
      <c r="K114">
        <v>4</v>
      </c>
      <c r="L114">
        <v>3</v>
      </c>
      <c r="M114">
        <v>0</v>
      </c>
      <c r="N114">
        <v>88</v>
      </c>
      <c r="P114">
        <v>2</v>
      </c>
      <c r="Q114">
        <v>1</v>
      </c>
      <c r="R114">
        <v>1</v>
      </c>
      <c r="S114">
        <v>0</v>
      </c>
      <c r="T114">
        <v>0</v>
      </c>
      <c r="U114">
        <v>0</v>
      </c>
      <c r="V114">
        <v>0</v>
      </c>
      <c r="W114" s="9" t="s">
        <v>58</v>
      </c>
      <c r="X114">
        <v>0</v>
      </c>
      <c r="Y114">
        <v>88</v>
      </c>
    </row>
    <row r="115" spans="1:25" x14ac:dyDescent="0.35">
      <c r="A115" s="9" t="s">
        <v>302</v>
      </c>
      <c r="B115" s="9" t="s">
        <v>303</v>
      </c>
      <c r="C115" s="9" t="s">
        <v>45</v>
      </c>
      <c r="D115" s="9" t="s">
        <v>55</v>
      </c>
      <c r="E115" s="9" t="s">
        <v>80</v>
      </c>
      <c r="F115" s="9" t="s">
        <v>81</v>
      </c>
      <c r="G115" s="9" t="s">
        <v>82</v>
      </c>
      <c r="H115" s="9" t="s">
        <v>50</v>
      </c>
      <c r="I115">
        <v>0</v>
      </c>
      <c r="J115">
        <v>3</v>
      </c>
      <c r="K115">
        <v>3</v>
      </c>
      <c r="L115">
        <v>2</v>
      </c>
      <c r="M115">
        <v>0</v>
      </c>
      <c r="N115">
        <v>88</v>
      </c>
      <c r="P115">
        <v>2</v>
      </c>
      <c r="Q115">
        <v>0</v>
      </c>
      <c r="R115">
        <v>1</v>
      </c>
      <c r="S115">
        <v>0</v>
      </c>
      <c r="T115">
        <v>0</v>
      </c>
      <c r="U115">
        <v>0</v>
      </c>
      <c r="V115">
        <v>0</v>
      </c>
      <c r="W115" s="9" t="s">
        <v>58</v>
      </c>
      <c r="X115">
        <v>0</v>
      </c>
      <c r="Y115">
        <v>88</v>
      </c>
    </row>
    <row r="116" spans="1:25" x14ac:dyDescent="0.35">
      <c r="A116" s="9" t="s">
        <v>304</v>
      </c>
      <c r="B116" s="9" t="s">
        <v>305</v>
      </c>
      <c r="C116" s="9" t="s">
        <v>68</v>
      </c>
      <c r="D116" s="9" t="s">
        <v>46</v>
      </c>
      <c r="E116" s="9" t="s">
        <v>56</v>
      </c>
      <c r="F116" s="9" t="s">
        <v>57</v>
      </c>
      <c r="G116" s="9" t="s">
        <v>54</v>
      </c>
      <c r="H116" s="9" t="s">
        <v>65</v>
      </c>
      <c r="I116">
        <v>0</v>
      </c>
      <c r="J116">
        <v>2</v>
      </c>
      <c r="K116">
        <v>2</v>
      </c>
      <c r="L116">
        <v>2</v>
      </c>
      <c r="M116">
        <v>0</v>
      </c>
      <c r="N116">
        <v>88</v>
      </c>
      <c r="P116">
        <v>2</v>
      </c>
      <c r="Q116">
        <v>0</v>
      </c>
      <c r="R116">
        <v>1</v>
      </c>
      <c r="S116">
        <v>0</v>
      </c>
      <c r="T116">
        <v>0</v>
      </c>
      <c r="U116">
        <v>0</v>
      </c>
      <c r="V116">
        <v>0</v>
      </c>
      <c r="W116" s="9" t="s">
        <v>58</v>
      </c>
      <c r="X116">
        <v>0</v>
      </c>
      <c r="Y116">
        <v>88</v>
      </c>
    </row>
    <row r="117" spans="1:25" x14ac:dyDescent="0.35">
      <c r="A117" s="9" t="s">
        <v>306</v>
      </c>
      <c r="B117" s="9" t="s">
        <v>307</v>
      </c>
      <c r="C117" s="9" t="s">
        <v>45</v>
      </c>
      <c r="D117" s="9" t="s">
        <v>62</v>
      </c>
      <c r="E117" s="9" t="s">
        <v>69</v>
      </c>
      <c r="F117" s="9" t="s">
        <v>70</v>
      </c>
      <c r="G117" s="9" t="s">
        <v>49</v>
      </c>
      <c r="H117" s="9" t="s">
        <v>50</v>
      </c>
      <c r="I117">
        <v>0</v>
      </c>
      <c r="J117">
        <v>3</v>
      </c>
      <c r="K117">
        <v>3</v>
      </c>
      <c r="L117">
        <v>2</v>
      </c>
      <c r="M117">
        <v>1</v>
      </c>
      <c r="N117">
        <v>88</v>
      </c>
      <c r="O117">
        <v>88</v>
      </c>
      <c r="P117">
        <v>1</v>
      </c>
      <c r="Q117">
        <v>0</v>
      </c>
      <c r="R117">
        <v>1</v>
      </c>
      <c r="S117">
        <v>1</v>
      </c>
      <c r="T117">
        <v>0</v>
      </c>
      <c r="U117">
        <v>0</v>
      </c>
      <c r="V117">
        <v>1</v>
      </c>
      <c r="W117" s="9" t="s">
        <v>51</v>
      </c>
      <c r="X117">
        <v>0</v>
      </c>
      <c r="Y117">
        <v>88</v>
      </c>
    </row>
    <row r="118" spans="1:25" x14ac:dyDescent="0.35">
      <c r="A118" s="9" t="s">
        <v>308</v>
      </c>
      <c r="B118" s="9" t="s">
        <v>309</v>
      </c>
      <c r="C118" s="9" t="s">
        <v>45</v>
      </c>
      <c r="D118" s="9" t="s">
        <v>62</v>
      </c>
      <c r="E118" s="9" t="s">
        <v>112</v>
      </c>
      <c r="F118" s="9" t="s">
        <v>113</v>
      </c>
      <c r="G118" s="9" t="s">
        <v>54</v>
      </c>
      <c r="H118" s="9" t="s">
        <v>50</v>
      </c>
      <c r="I118">
        <v>0</v>
      </c>
      <c r="J118">
        <v>2</v>
      </c>
      <c r="K118">
        <v>2</v>
      </c>
      <c r="L118">
        <v>2</v>
      </c>
      <c r="M118">
        <v>0</v>
      </c>
      <c r="N118">
        <v>63</v>
      </c>
      <c r="O118">
        <v>63</v>
      </c>
      <c r="P118">
        <v>0</v>
      </c>
      <c r="Q118">
        <v>0</v>
      </c>
      <c r="R118">
        <v>1</v>
      </c>
      <c r="S118">
        <v>1</v>
      </c>
      <c r="T118">
        <v>1</v>
      </c>
      <c r="U118">
        <v>0</v>
      </c>
      <c r="V118">
        <v>0</v>
      </c>
      <c r="W118" s="9" t="s">
        <v>95</v>
      </c>
      <c r="X118">
        <v>18</v>
      </c>
      <c r="Y118">
        <v>88</v>
      </c>
    </row>
    <row r="119" spans="1:25" x14ac:dyDescent="0.35">
      <c r="A119" s="9" t="s">
        <v>310</v>
      </c>
      <c r="B119" s="9" t="s">
        <v>311</v>
      </c>
      <c r="C119" s="9" t="s">
        <v>61</v>
      </c>
      <c r="D119" s="9" t="s">
        <v>55</v>
      </c>
      <c r="E119" s="9" t="s">
        <v>80</v>
      </c>
      <c r="F119" s="9" t="s">
        <v>81</v>
      </c>
      <c r="G119" s="9" t="s">
        <v>82</v>
      </c>
      <c r="H119" s="9" t="s">
        <v>65</v>
      </c>
      <c r="I119">
        <v>0</v>
      </c>
      <c r="J119">
        <v>4</v>
      </c>
      <c r="K119">
        <v>4</v>
      </c>
      <c r="L119">
        <v>4</v>
      </c>
      <c r="M119">
        <v>0</v>
      </c>
      <c r="N119">
        <v>88</v>
      </c>
      <c r="O119">
        <v>88</v>
      </c>
      <c r="P119">
        <v>1</v>
      </c>
      <c r="Q119">
        <v>0</v>
      </c>
      <c r="R119">
        <v>1</v>
      </c>
      <c r="S119">
        <v>1</v>
      </c>
      <c r="T119">
        <v>0</v>
      </c>
      <c r="U119">
        <v>0</v>
      </c>
      <c r="V119">
        <v>1</v>
      </c>
      <c r="W119" s="9" t="s">
        <v>51</v>
      </c>
      <c r="X119">
        <v>0</v>
      </c>
      <c r="Y119">
        <v>88</v>
      </c>
    </row>
    <row r="120" spans="1:25" x14ac:dyDescent="0.35">
      <c r="A120" s="9" t="s">
        <v>312</v>
      </c>
      <c r="B120" s="9" t="s">
        <v>313</v>
      </c>
      <c r="C120" s="9" t="s">
        <v>54</v>
      </c>
      <c r="D120" s="9" t="s">
        <v>46</v>
      </c>
      <c r="E120" s="9" t="s">
        <v>47</v>
      </c>
      <c r="F120" s="9" t="s">
        <v>48</v>
      </c>
      <c r="G120" s="9" t="s">
        <v>49</v>
      </c>
      <c r="H120" s="9" t="s">
        <v>50</v>
      </c>
      <c r="I120">
        <v>1</v>
      </c>
      <c r="J120">
        <v>1</v>
      </c>
      <c r="K120">
        <v>1</v>
      </c>
      <c r="L120">
        <v>1</v>
      </c>
      <c r="M120">
        <v>0</v>
      </c>
      <c r="N120">
        <v>88</v>
      </c>
      <c r="P120">
        <v>1</v>
      </c>
      <c r="Q120">
        <v>0</v>
      </c>
      <c r="R120">
        <v>1</v>
      </c>
      <c r="S120">
        <v>0</v>
      </c>
      <c r="T120">
        <v>0</v>
      </c>
      <c r="U120">
        <v>0</v>
      </c>
      <c r="V120">
        <v>0</v>
      </c>
      <c r="W120" s="9" t="s">
        <v>58</v>
      </c>
      <c r="X120">
        <v>0</v>
      </c>
      <c r="Y120">
        <v>88</v>
      </c>
    </row>
    <row r="121" spans="1:25" x14ac:dyDescent="0.35">
      <c r="A121" s="9" t="s">
        <v>314</v>
      </c>
      <c r="B121" s="9" t="s">
        <v>315</v>
      </c>
      <c r="C121" s="9" t="s">
        <v>61</v>
      </c>
      <c r="D121" s="9" t="s">
        <v>62</v>
      </c>
      <c r="E121" s="9" t="s">
        <v>112</v>
      </c>
      <c r="F121" s="9" t="s">
        <v>113</v>
      </c>
      <c r="G121" s="9" t="s">
        <v>54</v>
      </c>
      <c r="H121" s="9" t="s">
        <v>65</v>
      </c>
      <c r="I121">
        <v>0</v>
      </c>
      <c r="J121">
        <v>1</v>
      </c>
      <c r="K121">
        <v>1</v>
      </c>
      <c r="L121">
        <v>1</v>
      </c>
      <c r="M121">
        <v>0</v>
      </c>
      <c r="N121">
        <v>88</v>
      </c>
      <c r="O121">
        <v>88</v>
      </c>
      <c r="P121">
        <v>0</v>
      </c>
      <c r="Q121">
        <v>0</v>
      </c>
      <c r="R121">
        <v>1</v>
      </c>
      <c r="S121">
        <v>1</v>
      </c>
      <c r="T121">
        <v>0</v>
      </c>
      <c r="U121">
        <v>0</v>
      </c>
      <c r="V121">
        <v>1</v>
      </c>
      <c r="W121" s="9" t="s">
        <v>51</v>
      </c>
      <c r="X121">
        <v>0</v>
      </c>
      <c r="Y121">
        <v>88</v>
      </c>
    </row>
    <row r="122" spans="1:25" x14ac:dyDescent="0.35">
      <c r="A122" s="9" t="s">
        <v>316</v>
      </c>
      <c r="B122" s="9" t="s">
        <v>317</v>
      </c>
      <c r="C122" s="9" t="s">
        <v>54</v>
      </c>
      <c r="D122" s="9" t="s">
        <v>46</v>
      </c>
      <c r="E122" s="9" t="s">
        <v>69</v>
      </c>
      <c r="F122" s="9" t="s">
        <v>70</v>
      </c>
      <c r="G122" s="9" t="s">
        <v>49</v>
      </c>
      <c r="H122" s="9" t="s">
        <v>50</v>
      </c>
      <c r="I122">
        <v>1</v>
      </c>
      <c r="J122">
        <v>1</v>
      </c>
      <c r="K122">
        <v>1</v>
      </c>
      <c r="L122">
        <v>1</v>
      </c>
      <c r="M122">
        <v>0</v>
      </c>
      <c r="N122">
        <v>88</v>
      </c>
      <c r="P122">
        <v>0</v>
      </c>
      <c r="Q122">
        <v>1</v>
      </c>
      <c r="R122">
        <v>1</v>
      </c>
      <c r="S122">
        <v>0</v>
      </c>
      <c r="T122">
        <v>0</v>
      </c>
      <c r="U122">
        <v>0</v>
      </c>
      <c r="V122">
        <v>0</v>
      </c>
      <c r="W122" s="9" t="s">
        <v>58</v>
      </c>
      <c r="X122">
        <v>0</v>
      </c>
      <c r="Y122">
        <v>88</v>
      </c>
    </row>
    <row r="123" spans="1:25" x14ac:dyDescent="0.35">
      <c r="A123" s="9" t="s">
        <v>318</v>
      </c>
      <c r="B123" s="9" t="s">
        <v>319</v>
      </c>
      <c r="C123" s="9" t="s">
        <v>61</v>
      </c>
      <c r="D123" s="9" t="s">
        <v>55</v>
      </c>
      <c r="E123" s="9" t="s">
        <v>112</v>
      </c>
      <c r="F123" s="9" t="s">
        <v>113</v>
      </c>
      <c r="G123" s="9" t="s">
        <v>54</v>
      </c>
      <c r="H123" s="9" t="s">
        <v>65</v>
      </c>
      <c r="I123">
        <v>0</v>
      </c>
      <c r="J123">
        <v>3</v>
      </c>
      <c r="K123">
        <v>3</v>
      </c>
      <c r="L123">
        <v>3</v>
      </c>
      <c r="M123">
        <v>0</v>
      </c>
      <c r="N123">
        <v>88</v>
      </c>
      <c r="O123">
        <v>88</v>
      </c>
      <c r="P123">
        <v>0</v>
      </c>
      <c r="Q123">
        <v>0</v>
      </c>
      <c r="R123">
        <v>1</v>
      </c>
      <c r="S123">
        <v>1</v>
      </c>
      <c r="T123">
        <v>0</v>
      </c>
      <c r="U123">
        <v>0</v>
      </c>
      <c r="V123">
        <v>1</v>
      </c>
      <c r="W123" s="9" t="s">
        <v>51</v>
      </c>
      <c r="X123">
        <v>0</v>
      </c>
      <c r="Y123">
        <v>88</v>
      </c>
    </row>
    <row r="124" spans="1:25" x14ac:dyDescent="0.35">
      <c r="A124" s="9" t="s">
        <v>320</v>
      </c>
      <c r="B124" s="9" t="s">
        <v>321</v>
      </c>
      <c r="C124" s="9" t="s">
        <v>45</v>
      </c>
      <c r="D124" s="9" t="s">
        <v>62</v>
      </c>
      <c r="E124" s="9" t="s">
        <v>47</v>
      </c>
      <c r="F124" s="9" t="s">
        <v>48</v>
      </c>
      <c r="G124" s="9" t="s">
        <v>49</v>
      </c>
      <c r="H124" s="9" t="s">
        <v>50</v>
      </c>
      <c r="I124">
        <v>0</v>
      </c>
      <c r="J124">
        <v>4</v>
      </c>
      <c r="K124">
        <v>4</v>
      </c>
      <c r="L124">
        <v>3</v>
      </c>
      <c r="M124">
        <v>0</v>
      </c>
      <c r="N124">
        <v>88</v>
      </c>
      <c r="O124">
        <v>88</v>
      </c>
      <c r="P124">
        <v>1</v>
      </c>
      <c r="Q124">
        <v>0</v>
      </c>
      <c r="R124">
        <v>1</v>
      </c>
      <c r="S124">
        <v>1</v>
      </c>
      <c r="T124">
        <v>0</v>
      </c>
      <c r="U124">
        <v>0</v>
      </c>
      <c r="V124">
        <v>1</v>
      </c>
      <c r="W124" s="9" t="s">
        <v>51</v>
      </c>
      <c r="X124">
        <v>0</v>
      </c>
      <c r="Y124">
        <v>88</v>
      </c>
    </row>
    <row r="125" spans="1:25" x14ac:dyDescent="0.35">
      <c r="A125" s="9" t="s">
        <v>322</v>
      </c>
      <c r="B125" s="9" t="s">
        <v>323</v>
      </c>
      <c r="C125" s="9" t="s">
        <v>45</v>
      </c>
      <c r="D125" s="9" t="s">
        <v>46</v>
      </c>
      <c r="E125" s="9" t="s">
        <v>63</v>
      </c>
      <c r="F125" s="9" t="s">
        <v>64</v>
      </c>
      <c r="G125" s="9" t="s">
        <v>49</v>
      </c>
      <c r="H125" s="9" t="s">
        <v>50</v>
      </c>
      <c r="I125">
        <v>0</v>
      </c>
      <c r="J125">
        <v>2</v>
      </c>
      <c r="K125">
        <v>2</v>
      </c>
      <c r="L125">
        <v>2</v>
      </c>
      <c r="M125">
        <v>0</v>
      </c>
      <c r="N125">
        <v>88</v>
      </c>
      <c r="O125">
        <v>88</v>
      </c>
      <c r="P125">
        <v>0</v>
      </c>
      <c r="Q125">
        <v>0</v>
      </c>
      <c r="R125">
        <v>1</v>
      </c>
      <c r="S125">
        <v>1</v>
      </c>
      <c r="T125">
        <v>0</v>
      </c>
      <c r="U125">
        <v>0</v>
      </c>
      <c r="V125">
        <v>1</v>
      </c>
      <c r="W125" s="9" t="s">
        <v>51</v>
      </c>
      <c r="X125">
        <v>0</v>
      </c>
      <c r="Y125">
        <v>88</v>
      </c>
    </row>
    <row r="126" spans="1:25" x14ac:dyDescent="0.35">
      <c r="A126" s="9" t="s">
        <v>324</v>
      </c>
      <c r="B126" s="9" t="s">
        <v>325</v>
      </c>
      <c r="C126" s="9" t="s">
        <v>68</v>
      </c>
      <c r="D126" s="9" t="s">
        <v>62</v>
      </c>
      <c r="E126" s="9" t="s">
        <v>56</v>
      </c>
      <c r="F126" s="9" t="s">
        <v>57</v>
      </c>
      <c r="G126" s="9" t="s">
        <v>54</v>
      </c>
      <c r="H126" s="9" t="s">
        <v>65</v>
      </c>
      <c r="I126">
        <v>0</v>
      </c>
      <c r="J126">
        <v>3</v>
      </c>
      <c r="K126">
        <v>3</v>
      </c>
      <c r="L126">
        <v>3</v>
      </c>
      <c r="M126">
        <v>0</v>
      </c>
      <c r="N126">
        <v>49</v>
      </c>
      <c r="O126">
        <v>49</v>
      </c>
      <c r="P126">
        <v>1</v>
      </c>
      <c r="Q126">
        <v>0</v>
      </c>
      <c r="R126">
        <v>1</v>
      </c>
      <c r="S126">
        <v>1</v>
      </c>
      <c r="T126">
        <v>1</v>
      </c>
      <c r="U126">
        <v>0</v>
      </c>
      <c r="V126">
        <v>0</v>
      </c>
      <c r="W126" s="9" t="s">
        <v>95</v>
      </c>
      <c r="X126">
        <v>22</v>
      </c>
      <c r="Y126">
        <v>88</v>
      </c>
    </row>
    <row r="127" spans="1:25" x14ac:dyDescent="0.35">
      <c r="A127" s="9" t="s">
        <v>326</v>
      </c>
      <c r="B127" s="9" t="s">
        <v>327</v>
      </c>
      <c r="C127" s="9" t="s">
        <v>45</v>
      </c>
      <c r="D127" s="9" t="s">
        <v>62</v>
      </c>
      <c r="E127" s="9" t="s">
        <v>112</v>
      </c>
      <c r="F127" s="9" t="s">
        <v>113</v>
      </c>
      <c r="G127" s="9" t="s">
        <v>54</v>
      </c>
      <c r="H127" s="9" t="s">
        <v>50</v>
      </c>
      <c r="I127">
        <v>0</v>
      </c>
      <c r="J127">
        <v>3</v>
      </c>
      <c r="K127">
        <v>3</v>
      </c>
      <c r="L127">
        <v>2</v>
      </c>
      <c r="M127">
        <v>0</v>
      </c>
      <c r="N127">
        <v>88</v>
      </c>
      <c r="O127">
        <v>88</v>
      </c>
      <c r="P127">
        <v>0</v>
      </c>
      <c r="Q127">
        <v>0</v>
      </c>
      <c r="R127">
        <v>1</v>
      </c>
      <c r="S127">
        <v>1</v>
      </c>
      <c r="T127">
        <v>0</v>
      </c>
      <c r="U127">
        <v>0</v>
      </c>
      <c r="V127">
        <v>1</v>
      </c>
      <c r="W127" s="9" t="s">
        <v>51</v>
      </c>
      <c r="X127">
        <v>0</v>
      </c>
      <c r="Y127">
        <v>88</v>
      </c>
    </row>
    <row r="128" spans="1:25" x14ac:dyDescent="0.35">
      <c r="A128" s="9" t="s">
        <v>328</v>
      </c>
      <c r="B128" s="9" t="s">
        <v>329</v>
      </c>
      <c r="C128" s="9" t="s">
        <v>68</v>
      </c>
      <c r="D128" s="9" t="s">
        <v>55</v>
      </c>
      <c r="E128" s="9" t="s">
        <v>80</v>
      </c>
      <c r="F128" s="9" t="s">
        <v>81</v>
      </c>
      <c r="G128" s="9" t="s">
        <v>82</v>
      </c>
      <c r="H128" s="9" t="s">
        <v>65</v>
      </c>
      <c r="I128">
        <v>0</v>
      </c>
      <c r="J128">
        <v>2</v>
      </c>
      <c r="K128">
        <v>2</v>
      </c>
      <c r="L128">
        <v>2</v>
      </c>
      <c r="M128">
        <v>0</v>
      </c>
      <c r="N128">
        <v>88</v>
      </c>
      <c r="O128">
        <v>88</v>
      </c>
      <c r="P128">
        <v>0</v>
      </c>
      <c r="Q128">
        <v>0</v>
      </c>
      <c r="R128">
        <v>1</v>
      </c>
      <c r="S128">
        <v>1</v>
      </c>
      <c r="T128">
        <v>0</v>
      </c>
      <c r="U128">
        <v>0</v>
      </c>
      <c r="V128">
        <v>1</v>
      </c>
      <c r="W128" s="9" t="s">
        <v>51</v>
      </c>
      <c r="X128">
        <v>0</v>
      </c>
      <c r="Y128">
        <v>88</v>
      </c>
    </row>
    <row r="129" spans="1:25" x14ac:dyDescent="0.35">
      <c r="A129" s="9" t="s">
        <v>330</v>
      </c>
      <c r="B129" s="9" t="s">
        <v>331</v>
      </c>
      <c r="C129" s="9" t="s">
        <v>61</v>
      </c>
      <c r="D129" s="9" t="s">
        <v>62</v>
      </c>
      <c r="E129" s="9" t="s">
        <v>69</v>
      </c>
      <c r="F129" s="9" t="s">
        <v>70</v>
      </c>
      <c r="G129" s="9" t="s">
        <v>49</v>
      </c>
      <c r="H129" s="9" t="s">
        <v>65</v>
      </c>
      <c r="I129">
        <v>0</v>
      </c>
      <c r="J129">
        <v>1</v>
      </c>
      <c r="K129">
        <v>1</v>
      </c>
      <c r="L129">
        <v>1</v>
      </c>
      <c r="M129">
        <v>0</v>
      </c>
      <c r="N129">
        <v>46</v>
      </c>
      <c r="O129">
        <v>46</v>
      </c>
      <c r="P129">
        <v>0</v>
      </c>
      <c r="Q129">
        <v>0</v>
      </c>
      <c r="R129">
        <v>1</v>
      </c>
      <c r="S129">
        <v>1</v>
      </c>
      <c r="T129">
        <v>1</v>
      </c>
      <c r="U129">
        <v>0</v>
      </c>
      <c r="V129">
        <v>0</v>
      </c>
      <c r="W129" s="9" t="s">
        <v>95</v>
      </c>
      <c r="X129">
        <v>2</v>
      </c>
      <c r="Y129">
        <v>88</v>
      </c>
    </row>
    <row r="130" spans="1:25" x14ac:dyDescent="0.35">
      <c r="A130" s="9" t="s">
        <v>332</v>
      </c>
      <c r="B130" s="9" t="s">
        <v>333</v>
      </c>
      <c r="C130" s="9" t="s">
        <v>54</v>
      </c>
      <c r="D130" s="9" t="s">
        <v>55</v>
      </c>
      <c r="E130" s="9" t="s">
        <v>112</v>
      </c>
      <c r="F130" s="9" t="s">
        <v>113</v>
      </c>
      <c r="G130" s="9" t="s">
        <v>54</v>
      </c>
      <c r="H130" s="9" t="s">
        <v>50</v>
      </c>
      <c r="I130">
        <v>1</v>
      </c>
      <c r="J130">
        <v>2</v>
      </c>
      <c r="K130">
        <v>2</v>
      </c>
      <c r="L130">
        <v>2</v>
      </c>
      <c r="M130">
        <v>0</v>
      </c>
      <c r="N130">
        <v>71</v>
      </c>
      <c r="P130">
        <v>2</v>
      </c>
      <c r="Q130">
        <v>0</v>
      </c>
      <c r="R130">
        <v>1</v>
      </c>
      <c r="S130">
        <v>0</v>
      </c>
      <c r="T130">
        <v>0</v>
      </c>
      <c r="U130">
        <v>0</v>
      </c>
      <c r="V130">
        <v>0</v>
      </c>
      <c r="W130" s="9" t="s">
        <v>58</v>
      </c>
      <c r="X130">
        <v>0</v>
      </c>
      <c r="Y130">
        <v>88</v>
      </c>
    </row>
    <row r="131" spans="1:25" x14ac:dyDescent="0.35">
      <c r="A131" s="9" t="s">
        <v>334</v>
      </c>
      <c r="B131" s="9" t="s">
        <v>335</v>
      </c>
      <c r="C131" s="9" t="s">
        <v>61</v>
      </c>
      <c r="D131" s="9" t="s">
        <v>46</v>
      </c>
      <c r="E131" s="9" t="s">
        <v>112</v>
      </c>
      <c r="F131" s="9" t="s">
        <v>113</v>
      </c>
      <c r="G131" s="9" t="s">
        <v>54</v>
      </c>
      <c r="H131" s="9" t="s">
        <v>65</v>
      </c>
      <c r="I131">
        <v>0</v>
      </c>
      <c r="J131">
        <v>4</v>
      </c>
      <c r="K131">
        <v>4</v>
      </c>
      <c r="L131">
        <v>4</v>
      </c>
      <c r="M131">
        <v>0</v>
      </c>
      <c r="N131">
        <v>88</v>
      </c>
      <c r="O131">
        <v>88</v>
      </c>
      <c r="P131">
        <v>1</v>
      </c>
      <c r="Q131">
        <v>0</v>
      </c>
      <c r="R131">
        <v>1</v>
      </c>
      <c r="S131">
        <v>1</v>
      </c>
      <c r="T131">
        <v>0</v>
      </c>
      <c r="U131">
        <v>0</v>
      </c>
      <c r="V131">
        <v>1</v>
      </c>
      <c r="W131" s="9" t="s">
        <v>51</v>
      </c>
      <c r="X131">
        <v>0</v>
      </c>
      <c r="Y131">
        <v>88</v>
      </c>
    </row>
    <row r="132" spans="1:25" x14ac:dyDescent="0.35">
      <c r="A132" s="9" t="s">
        <v>336</v>
      </c>
      <c r="B132" s="9" t="s">
        <v>337</v>
      </c>
      <c r="C132" s="9" t="s">
        <v>45</v>
      </c>
      <c r="D132" s="9" t="s">
        <v>46</v>
      </c>
      <c r="E132" s="9" t="s">
        <v>80</v>
      </c>
      <c r="F132" s="9" t="s">
        <v>81</v>
      </c>
      <c r="G132" s="9" t="s">
        <v>82</v>
      </c>
      <c r="H132" s="9" t="s">
        <v>50</v>
      </c>
      <c r="I132">
        <v>0</v>
      </c>
      <c r="J132">
        <v>4</v>
      </c>
      <c r="K132">
        <v>4</v>
      </c>
      <c r="L132">
        <v>4</v>
      </c>
      <c r="M132">
        <v>0</v>
      </c>
      <c r="N132">
        <v>88</v>
      </c>
      <c r="O132">
        <v>88</v>
      </c>
      <c r="P132">
        <v>0</v>
      </c>
      <c r="Q132">
        <v>0</v>
      </c>
      <c r="R132">
        <v>1</v>
      </c>
      <c r="S132">
        <v>1</v>
      </c>
      <c r="T132">
        <v>0</v>
      </c>
      <c r="U132">
        <v>0</v>
      </c>
      <c r="V132">
        <v>1</v>
      </c>
      <c r="W132" s="9" t="s">
        <v>51</v>
      </c>
      <c r="X132">
        <v>0</v>
      </c>
      <c r="Y132">
        <v>88</v>
      </c>
    </row>
    <row r="133" spans="1:25" x14ac:dyDescent="0.35">
      <c r="A133" s="9" t="s">
        <v>338</v>
      </c>
      <c r="B133" s="9" t="s">
        <v>339</v>
      </c>
      <c r="C133" s="9" t="s">
        <v>68</v>
      </c>
      <c r="D133" s="9" t="s">
        <v>46</v>
      </c>
      <c r="E133" s="9" t="s">
        <v>76</v>
      </c>
      <c r="F133" s="9" t="s">
        <v>77</v>
      </c>
      <c r="G133" s="9" t="s">
        <v>54</v>
      </c>
      <c r="H133" s="9" t="s">
        <v>65</v>
      </c>
      <c r="I133">
        <v>0</v>
      </c>
      <c r="J133">
        <v>1</v>
      </c>
      <c r="K133">
        <v>1</v>
      </c>
      <c r="L133">
        <v>1</v>
      </c>
      <c r="M133">
        <v>0</v>
      </c>
      <c r="N133">
        <v>88</v>
      </c>
      <c r="P133">
        <v>1</v>
      </c>
      <c r="Q133">
        <v>0</v>
      </c>
      <c r="R133">
        <v>1</v>
      </c>
      <c r="S133">
        <v>0</v>
      </c>
      <c r="T133">
        <v>0</v>
      </c>
      <c r="U133">
        <v>0</v>
      </c>
      <c r="V133">
        <v>0</v>
      </c>
      <c r="W133" s="9" t="s">
        <v>58</v>
      </c>
      <c r="X133">
        <v>0</v>
      </c>
      <c r="Y133">
        <v>88</v>
      </c>
    </row>
    <row r="134" spans="1:25" x14ac:dyDescent="0.35">
      <c r="A134" s="9" t="s">
        <v>340</v>
      </c>
      <c r="B134" s="9" t="s">
        <v>341</v>
      </c>
      <c r="C134" s="9" t="s">
        <v>61</v>
      </c>
      <c r="D134" s="9" t="s">
        <v>62</v>
      </c>
      <c r="E134" s="9" t="s">
        <v>112</v>
      </c>
      <c r="F134" s="9" t="s">
        <v>113</v>
      </c>
      <c r="G134" s="9" t="s">
        <v>54</v>
      </c>
      <c r="H134" s="9" t="s">
        <v>65</v>
      </c>
      <c r="I134">
        <v>0</v>
      </c>
      <c r="J134">
        <v>4</v>
      </c>
      <c r="K134">
        <v>4</v>
      </c>
      <c r="L134">
        <v>3</v>
      </c>
      <c r="M134">
        <v>0</v>
      </c>
      <c r="N134">
        <v>65</v>
      </c>
      <c r="O134">
        <v>65</v>
      </c>
      <c r="P134">
        <v>1</v>
      </c>
      <c r="Q134">
        <v>0</v>
      </c>
      <c r="R134">
        <v>1</v>
      </c>
      <c r="S134">
        <v>1</v>
      </c>
      <c r="T134">
        <v>1</v>
      </c>
      <c r="U134">
        <v>0</v>
      </c>
      <c r="V134">
        <v>0</v>
      </c>
      <c r="W134" s="9" t="s">
        <v>95</v>
      </c>
      <c r="X134">
        <v>17</v>
      </c>
      <c r="Y134">
        <v>88</v>
      </c>
    </row>
    <row r="135" spans="1:25" x14ac:dyDescent="0.35">
      <c r="A135" s="9" t="s">
        <v>342</v>
      </c>
      <c r="B135" s="9" t="s">
        <v>343</v>
      </c>
      <c r="C135" s="9" t="s">
        <v>45</v>
      </c>
      <c r="D135" s="9" t="s">
        <v>55</v>
      </c>
      <c r="E135" s="9" t="s">
        <v>76</v>
      </c>
      <c r="F135" s="9" t="s">
        <v>77</v>
      </c>
      <c r="G135" s="9" t="s">
        <v>54</v>
      </c>
      <c r="H135" s="9" t="s">
        <v>50</v>
      </c>
      <c r="I135">
        <v>0</v>
      </c>
      <c r="J135">
        <v>2</v>
      </c>
      <c r="K135">
        <v>2</v>
      </c>
      <c r="L135">
        <v>2</v>
      </c>
      <c r="M135">
        <v>0</v>
      </c>
      <c r="N135">
        <v>88</v>
      </c>
      <c r="O135">
        <v>88</v>
      </c>
      <c r="P135">
        <v>1</v>
      </c>
      <c r="Q135">
        <v>0</v>
      </c>
      <c r="R135">
        <v>1</v>
      </c>
      <c r="S135">
        <v>1</v>
      </c>
      <c r="T135">
        <v>0</v>
      </c>
      <c r="U135">
        <v>0</v>
      </c>
      <c r="V135">
        <v>1</v>
      </c>
      <c r="W135" s="9" t="s">
        <v>51</v>
      </c>
      <c r="X135">
        <v>0</v>
      </c>
      <c r="Y135">
        <v>88</v>
      </c>
    </row>
    <row r="136" spans="1:25" x14ac:dyDescent="0.35">
      <c r="A136" s="9" t="s">
        <v>344</v>
      </c>
      <c r="B136" s="9" t="s">
        <v>345</v>
      </c>
      <c r="C136" s="9" t="s">
        <v>45</v>
      </c>
      <c r="D136" s="9" t="s">
        <v>46</v>
      </c>
      <c r="E136" s="9" t="s">
        <v>69</v>
      </c>
      <c r="F136" s="9" t="s">
        <v>70</v>
      </c>
      <c r="G136" s="9" t="s">
        <v>49</v>
      </c>
      <c r="H136" s="9" t="s">
        <v>50</v>
      </c>
      <c r="I136">
        <v>0</v>
      </c>
      <c r="J136">
        <v>3</v>
      </c>
      <c r="K136">
        <v>3</v>
      </c>
      <c r="L136">
        <v>3</v>
      </c>
      <c r="M136">
        <v>0</v>
      </c>
      <c r="N136">
        <v>88</v>
      </c>
      <c r="O136">
        <v>88</v>
      </c>
      <c r="P136">
        <v>0</v>
      </c>
      <c r="Q136">
        <v>0</v>
      </c>
      <c r="R136">
        <v>1</v>
      </c>
      <c r="S136">
        <v>1</v>
      </c>
      <c r="T136">
        <v>0</v>
      </c>
      <c r="U136">
        <v>0</v>
      </c>
      <c r="V136">
        <v>1</v>
      </c>
      <c r="W136" s="9" t="s">
        <v>51</v>
      </c>
      <c r="X136">
        <v>0</v>
      </c>
      <c r="Y136">
        <v>88</v>
      </c>
    </row>
    <row r="137" spans="1:25" x14ac:dyDescent="0.35">
      <c r="A137" s="9" t="s">
        <v>346</v>
      </c>
      <c r="B137" s="9" t="s">
        <v>347</v>
      </c>
      <c r="C137" s="9" t="s">
        <v>61</v>
      </c>
      <c r="D137" s="9" t="s">
        <v>46</v>
      </c>
      <c r="E137" s="9" t="s">
        <v>56</v>
      </c>
      <c r="F137" s="9" t="s">
        <v>57</v>
      </c>
      <c r="G137" s="9" t="s">
        <v>54</v>
      </c>
      <c r="H137" s="9" t="s">
        <v>65</v>
      </c>
      <c r="I137">
        <v>0</v>
      </c>
      <c r="J137">
        <v>1</v>
      </c>
      <c r="K137">
        <v>1</v>
      </c>
      <c r="L137">
        <v>1</v>
      </c>
      <c r="M137">
        <v>0</v>
      </c>
      <c r="N137">
        <v>59</v>
      </c>
      <c r="P137">
        <v>1</v>
      </c>
      <c r="Q137">
        <v>0</v>
      </c>
      <c r="R137">
        <v>1</v>
      </c>
      <c r="S137">
        <v>0</v>
      </c>
      <c r="T137">
        <v>0</v>
      </c>
      <c r="U137">
        <v>0</v>
      </c>
      <c r="V137">
        <v>0</v>
      </c>
      <c r="W137" s="9" t="s">
        <v>58</v>
      </c>
      <c r="X137">
        <v>0</v>
      </c>
      <c r="Y137">
        <v>88</v>
      </c>
    </row>
    <row r="138" spans="1:25" x14ac:dyDescent="0.35">
      <c r="A138" s="9" t="s">
        <v>348</v>
      </c>
      <c r="B138" s="9" t="s">
        <v>349</v>
      </c>
      <c r="C138" s="9" t="s">
        <v>68</v>
      </c>
      <c r="D138" s="9" t="s">
        <v>46</v>
      </c>
      <c r="E138" s="9" t="s">
        <v>80</v>
      </c>
      <c r="F138" s="9" t="s">
        <v>81</v>
      </c>
      <c r="G138" s="9" t="s">
        <v>82</v>
      </c>
      <c r="H138" s="9" t="s">
        <v>65</v>
      </c>
      <c r="I138">
        <v>0</v>
      </c>
      <c r="J138">
        <v>3</v>
      </c>
      <c r="K138">
        <v>3</v>
      </c>
      <c r="L138">
        <v>3</v>
      </c>
      <c r="M138">
        <v>0</v>
      </c>
      <c r="N138">
        <v>88</v>
      </c>
      <c r="O138">
        <v>88</v>
      </c>
      <c r="P138">
        <v>0</v>
      </c>
      <c r="Q138">
        <v>0</v>
      </c>
      <c r="R138">
        <v>1</v>
      </c>
      <c r="S138">
        <v>1</v>
      </c>
      <c r="T138">
        <v>0</v>
      </c>
      <c r="U138">
        <v>0</v>
      </c>
      <c r="V138">
        <v>1</v>
      </c>
      <c r="W138" s="9" t="s">
        <v>51</v>
      </c>
      <c r="X138">
        <v>0</v>
      </c>
      <c r="Y138">
        <v>88</v>
      </c>
    </row>
    <row r="139" spans="1:25" x14ac:dyDescent="0.35">
      <c r="A139" s="9" t="s">
        <v>350</v>
      </c>
      <c r="B139" s="9" t="s">
        <v>351</v>
      </c>
      <c r="C139" s="9" t="s">
        <v>68</v>
      </c>
      <c r="D139" s="9" t="s">
        <v>55</v>
      </c>
      <c r="E139" s="9" t="s">
        <v>56</v>
      </c>
      <c r="F139" s="9" t="s">
        <v>57</v>
      </c>
      <c r="G139" s="9" t="s">
        <v>54</v>
      </c>
      <c r="H139" s="9" t="s">
        <v>65</v>
      </c>
      <c r="I139">
        <v>0</v>
      </c>
      <c r="J139">
        <v>3</v>
      </c>
      <c r="K139">
        <v>3</v>
      </c>
      <c r="L139">
        <v>3</v>
      </c>
      <c r="M139">
        <v>0</v>
      </c>
      <c r="N139">
        <v>88</v>
      </c>
      <c r="O139">
        <v>88</v>
      </c>
      <c r="P139">
        <v>0</v>
      </c>
      <c r="Q139">
        <v>0</v>
      </c>
      <c r="R139">
        <v>1</v>
      </c>
      <c r="S139">
        <v>1</v>
      </c>
      <c r="T139">
        <v>0</v>
      </c>
      <c r="U139">
        <v>0</v>
      </c>
      <c r="V139">
        <v>1</v>
      </c>
      <c r="W139" s="9" t="s">
        <v>51</v>
      </c>
      <c r="X139">
        <v>0</v>
      </c>
      <c r="Y139">
        <v>88</v>
      </c>
    </row>
    <row r="140" spans="1:25" x14ac:dyDescent="0.35">
      <c r="A140" s="9" t="s">
        <v>352</v>
      </c>
      <c r="B140" s="9" t="s">
        <v>353</v>
      </c>
      <c r="C140" s="9" t="s">
        <v>68</v>
      </c>
      <c r="D140" s="9" t="s">
        <v>46</v>
      </c>
      <c r="E140" s="9" t="s">
        <v>93</v>
      </c>
      <c r="F140" s="9" t="s">
        <v>94</v>
      </c>
      <c r="G140" s="9" t="s">
        <v>82</v>
      </c>
      <c r="H140" s="9" t="s">
        <v>65</v>
      </c>
      <c r="I140">
        <v>0</v>
      </c>
      <c r="J140">
        <v>2</v>
      </c>
      <c r="K140">
        <v>2</v>
      </c>
      <c r="L140">
        <v>2</v>
      </c>
      <c r="M140">
        <v>0</v>
      </c>
      <c r="N140">
        <v>88</v>
      </c>
      <c r="O140">
        <v>88</v>
      </c>
      <c r="P140">
        <v>0</v>
      </c>
      <c r="Q140">
        <v>0</v>
      </c>
      <c r="R140">
        <v>1</v>
      </c>
      <c r="S140">
        <v>1</v>
      </c>
      <c r="T140">
        <v>0</v>
      </c>
      <c r="U140">
        <v>0</v>
      </c>
      <c r="V140">
        <v>1</v>
      </c>
      <c r="W140" s="9" t="s">
        <v>51</v>
      </c>
      <c r="X140">
        <v>0</v>
      </c>
      <c r="Y140">
        <v>88</v>
      </c>
    </row>
    <row r="141" spans="1:25" x14ac:dyDescent="0.35">
      <c r="A141" s="9" t="s">
        <v>354</v>
      </c>
      <c r="B141" s="9" t="s">
        <v>355</v>
      </c>
      <c r="C141" s="9" t="s">
        <v>68</v>
      </c>
      <c r="D141" s="9" t="s">
        <v>62</v>
      </c>
      <c r="E141" s="9" t="s">
        <v>93</v>
      </c>
      <c r="F141" s="9" t="s">
        <v>94</v>
      </c>
      <c r="G141" s="9" t="s">
        <v>82</v>
      </c>
      <c r="H141" s="9" t="s">
        <v>65</v>
      </c>
      <c r="I141">
        <v>0</v>
      </c>
      <c r="J141">
        <v>1</v>
      </c>
      <c r="K141">
        <v>1</v>
      </c>
      <c r="L141">
        <v>1</v>
      </c>
      <c r="M141">
        <v>0</v>
      </c>
      <c r="N141">
        <v>88</v>
      </c>
      <c r="O141">
        <v>88</v>
      </c>
      <c r="P141">
        <v>0</v>
      </c>
      <c r="Q141">
        <v>0</v>
      </c>
      <c r="R141">
        <v>1</v>
      </c>
      <c r="S141">
        <v>1</v>
      </c>
      <c r="T141">
        <v>0</v>
      </c>
      <c r="U141">
        <v>0</v>
      </c>
      <c r="V141">
        <v>1</v>
      </c>
      <c r="W141" s="9" t="s">
        <v>51</v>
      </c>
      <c r="X141">
        <v>0</v>
      </c>
      <c r="Y141">
        <v>88</v>
      </c>
    </row>
    <row r="142" spans="1:25" x14ac:dyDescent="0.35">
      <c r="A142" s="9" t="s">
        <v>356</v>
      </c>
      <c r="B142" s="9" t="s">
        <v>357</v>
      </c>
      <c r="C142" s="9" t="s">
        <v>54</v>
      </c>
      <c r="D142" s="9" t="s">
        <v>46</v>
      </c>
      <c r="E142" s="9" t="s">
        <v>76</v>
      </c>
      <c r="F142" s="9" t="s">
        <v>77</v>
      </c>
      <c r="G142" s="9" t="s">
        <v>54</v>
      </c>
      <c r="H142" s="9" t="s">
        <v>50</v>
      </c>
      <c r="I142">
        <v>1</v>
      </c>
      <c r="J142">
        <v>3</v>
      </c>
      <c r="K142">
        <v>3</v>
      </c>
      <c r="L142">
        <v>3</v>
      </c>
      <c r="M142">
        <v>0</v>
      </c>
      <c r="N142">
        <v>88</v>
      </c>
      <c r="O142">
        <v>88</v>
      </c>
      <c r="P142">
        <v>2</v>
      </c>
      <c r="Q142">
        <v>0</v>
      </c>
      <c r="R142">
        <v>1</v>
      </c>
      <c r="S142">
        <v>1</v>
      </c>
      <c r="T142">
        <v>0</v>
      </c>
      <c r="U142">
        <v>0</v>
      </c>
      <c r="V142">
        <v>1</v>
      </c>
      <c r="W142" s="9" t="s">
        <v>51</v>
      </c>
      <c r="X142">
        <v>0</v>
      </c>
      <c r="Y142">
        <v>88</v>
      </c>
    </row>
    <row r="143" spans="1:25" x14ac:dyDescent="0.35">
      <c r="A143" s="9" t="s">
        <v>358</v>
      </c>
      <c r="B143" s="9" t="s">
        <v>359</v>
      </c>
      <c r="C143" s="9" t="s">
        <v>61</v>
      </c>
      <c r="D143" s="9" t="s">
        <v>55</v>
      </c>
      <c r="E143" s="9" t="s">
        <v>56</v>
      </c>
      <c r="F143" s="9" t="s">
        <v>57</v>
      </c>
      <c r="G143" s="9" t="s">
        <v>54</v>
      </c>
      <c r="H143" s="9" t="s">
        <v>65</v>
      </c>
      <c r="I143">
        <v>0</v>
      </c>
      <c r="J143">
        <v>3</v>
      </c>
      <c r="K143">
        <v>3</v>
      </c>
      <c r="L143">
        <v>3</v>
      </c>
      <c r="M143">
        <v>0</v>
      </c>
      <c r="N143">
        <v>88</v>
      </c>
      <c r="O143">
        <v>61</v>
      </c>
      <c r="P143">
        <v>2</v>
      </c>
      <c r="Q143">
        <v>0</v>
      </c>
      <c r="R143">
        <v>1</v>
      </c>
      <c r="S143">
        <v>1</v>
      </c>
      <c r="T143">
        <v>1</v>
      </c>
      <c r="U143">
        <v>0</v>
      </c>
      <c r="V143">
        <v>0</v>
      </c>
      <c r="W143" s="9" t="s">
        <v>95</v>
      </c>
      <c r="X143">
        <v>20</v>
      </c>
      <c r="Y143">
        <v>88</v>
      </c>
    </row>
    <row r="144" spans="1:25" x14ac:dyDescent="0.35">
      <c r="A144" s="9" t="s">
        <v>360</v>
      </c>
      <c r="B144" s="9" t="s">
        <v>361</v>
      </c>
      <c r="C144" s="9" t="s">
        <v>54</v>
      </c>
      <c r="D144" s="9" t="s">
        <v>55</v>
      </c>
      <c r="E144" s="9" t="s">
        <v>112</v>
      </c>
      <c r="F144" s="9" t="s">
        <v>113</v>
      </c>
      <c r="G144" s="9" t="s">
        <v>54</v>
      </c>
      <c r="H144" s="9" t="s">
        <v>50</v>
      </c>
      <c r="I144">
        <v>1</v>
      </c>
      <c r="J144">
        <v>4</v>
      </c>
      <c r="K144">
        <v>4</v>
      </c>
      <c r="L144">
        <v>4</v>
      </c>
      <c r="M144">
        <v>0</v>
      </c>
      <c r="N144">
        <v>88</v>
      </c>
      <c r="O144">
        <v>70</v>
      </c>
      <c r="P144">
        <v>3</v>
      </c>
      <c r="Q144">
        <v>1</v>
      </c>
      <c r="R144">
        <v>1</v>
      </c>
      <c r="S144">
        <v>1</v>
      </c>
      <c r="T144">
        <v>1</v>
      </c>
      <c r="U144">
        <v>0</v>
      </c>
      <c r="V144">
        <v>0</v>
      </c>
      <c r="W144" s="9" t="s">
        <v>95</v>
      </c>
      <c r="X144">
        <v>13</v>
      </c>
      <c r="Y144">
        <v>88</v>
      </c>
    </row>
    <row r="145" spans="1:25" x14ac:dyDescent="0.35">
      <c r="A145" s="9" t="s">
        <v>362</v>
      </c>
      <c r="B145" s="9" t="s">
        <v>363</v>
      </c>
      <c r="C145" s="9" t="s">
        <v>54</v>
      </c>
      <c r="D145" s="9" t="s">
        <v>46</v>
      </c>
      <c r="E145" s="9" t="s">
        <v>56</v>
      </c>
      <c r="F145" s="9" t="s">
        <v>57</v>
      </c>
      <c r="G145" s="9" t="s">
        <v>54</v>
      </c>
      <c r="H145" s="9" t="s">
        <v>50</v>
      </c>
      <c r="I145">
        <v>1</v>
      </c>
      <c r="J145">
        <v>1</v>
      </c>
      <c r="K145">
        <v>1</v>
      </c>
      <c r="L145">
        <v>1</v>
      </c>
      <c r="M145">
        <v>0</v>
      </c>
      <c r="N145">
        <v>46</v>
      </c>
      <c r="P145">
        <v>1</v>
      </c>
      <c r="Q145">
        <v>0</v>
      </c>
      <c r="R145">
        <v>1</v>
      </c>
      <c r="S145">
        <v>0</v>
      </c>
      <c r="T145">
        <v>0</v>
      </c>
      <c r="U145">
        <v>0</v>
      </c>
      <c r="V145">
        <v>0</v>
      </c>
      <c r="W145" s="9" t="s">
        <v>58</v>
      </c>
      <c r="X145">
        <v>0</v>
      </c>
      <c r="Y145">
        <v>88</v>
      </c>
    </row>
    <row r="146" spans="1:25" x14ac:dyDescent="0.35">
      <c r="A146" s="9" t="s">
        <v>364</v>
      </c>
      <c r="B146" s="9" t="s">
        <v>365</v>
      </c>
      <c r="C146" s="9" t="s">
        <v>61</v>
      </c>
      <c r="D146" s="9" t="s">
        <v>55</v>
      </c>
      <c r="E146" s="9" t="s">
        <v>63</v>
      </c>
      <c r="F146" s="9" t="s">
        <v>64</v>
      </c>
      <c r="G146" s="9" t="s">
        <v>49</v>
      </c>
      <c r="H146" s="9" t="s">
        <v>65</v>
      </c>
      <c r="I146">
        <v>0</v>
      </c>
      <c r="J146">
        <v>3</v>
      </c>
      <c r="K146">
        <v>3</v>
      </c>
      <c r="L146">
        <v>3</v>
      </c>
      <c r="M146">
        <v>0</v>
      </c>
      <c r="N146">
        <v>88</v>
      </c>
      <c r="O146">
        <v>88</v>
      </c>
      <c r="P146">
        <v>1</v>
      </c>
      <c r="Q146">
        <v>0</v>
      </c>
      <c r="R146">
        <v>1</v>
      </c>
      <c r="S146">
        <v>1</v>
      </c>
      <c r="T146">
        <v>0</v>
      </c>
      <c r="U146">
        <v>0</v>
      </c>
      <c r="V146">
        <v>1</v>
      </c>
      <c r="W146" s="9" t="s">
        <v>51</v>
      </c>
      <c r="X146">
        <v>0</v>
      </c>
      <c r="Y146">
        <v>88</v>
      </c>
    </row>
    <row r="147" spans="1:25" x14ac:dyDescent="0.35">
      <c r="A147" s="9" t="s">
        <v>366</v>
      </c>
      <c r="B147" s="9" t="s">
        <v>367</v>
      </c>
      <c r="C147" s="9" t="s">
        <v>68</v>
      </c>
      <c r="D147" s="9" t="s">
        <v>62</v>
      </c>
      <c r="E147" s="9" t="s">
        <v>69</v>
      </c>
      <c r="F147" s="9" t="s">
        <v>70</v>
      </c>
      <c r="G147" s="9" t="s">
        <v>49</v>
      </c>
      <c r="H147" s="9" t="s">
        <v>65</v>
      </c>
      <c r="I147">
        <v>0</v>
      </c>
      <c r="J147">
        <v>1</v>
      </c>
      <c r="K147">
        <v>1</v>
      </c>
      <c r="L147">
        <v>1</v>
      </c>
      <c r="M147">
        <v>0</v>
      </c>
      <c r="N147">
        <v>88</v>
      </c>
      <c r="P147">
        <v>1</v>
      </c>
      <c r="Q147">
        <v>0</v>
      </c>
      <c r="R147">
        <v>1</v>
      </c>
      <c r="S147">
        <v>0</v>
      </c>
      <c r="T147">
        <v>0</v>
      </c>
      <c r="U147">
        <v>0</v>
      </c>
      <c r="V147">
        <v>0</v>
      </c>
      <c r="W147" s="9" t="s">
        <v>58</v>
      </c>
      <c r="X147">
        <v>0</v>
      </c>
      <c r="Y147">
        <v>88</v>
      </c>
    </row>
    <row r="148" spans="1:25" x14ac:dyDescent="0.35">
      <c r="A148" s="9" t="s">
        <v>368</v>
      </c>
      <c r="B148" s="9" t="s">
        <v>369</v>
      </c>
      <c r="C148" s="9" t="s">
        <v>45</v>
      </c>
      <c r="D148" s="9" t="s">
        <v>55</v>
      </c>
      <c r="E148" s="9" t="s">
        <v>93</v>
      </c>
      <c r="F148" s="9" t="s">
        <v>94</v>
      </c>
      <c r="G148" s="9" t="s">
        <v>82</v>
      </c>
      <c r="H148" s="9" t="s">
        <v>50</v>
      </c>
      <c r="I148">
        <v>0</v>
      </c>
      <c r="J148">
        <v>2</v>
      </c>
      <c r="K148">
        <v>2</v>
      </c>
      <c r="L148">
        <v>2</v>
      </c>
      <c r="M148">
        <v>0</v>
      </c>
      <c r="N148">
        <v>88</v>
      </c>
      <c r="O148">
        <v>58</v>
      </c>
      <c r="P148">
        <v>1</v>
      </c>
      <c r="Q148">
        <v>0</v>
      </c>
      <c r="R148">
        <v>1</v>
      </c>
      <c r="S148">
        <v>1</v>
      </c>
      <c r="T148">
        <v>1</v>
      </c>
      <c r="U148">
        <v>0</v>
      </c>
      <c r="V148">
        <v>0</v>
      </c>
      <c r="W148" s="9" t="s">
        <v>95</v>
      </c>
      <c r="X148">
        <v>5</v>
      </c>
      <c r="Y148">
        <v>88</v>
      </c>
    </row>
    <row r="149" spans="1:25" x14ac:dyDescent="0.35">
      <c r="A149" s="9" t="s">
        <v>370</v>
      </c>
      <c r="B149" s="9" t="s">
        <v>371</v>
      </c>
      <c r="C149" s="9" t="s">
        <v>54</v>
      </c>
      <c r="D149" s="9" t="s">
        <v>46</v>
      </c>
      <c r="E149" s="9" t="s">
        <v>56</v>
      </c>
      <c r="F149" s="9" t="s">
        <v>57</v>
      </c>
      <c r="G149" s="9" t="s">
        <v>54</v>
      </c>
      <c r="H149" s="9" t="s">
        <v>50</v>
      </c>
      <c r="I149">
        <v>1</v>
      </c>
      <c r="J149">
        <v>4</v>
      </c>
      <c r="K149">
        <v>4</v>
      </c>
      <c r="L149">
        <v>4</v>
      </c>
      <c r="M149">
        <v>0</v>
      </c>
      <c r="N149">
        <v>88</v>
      </c>
      <c r="O149">
        <v>88</v>
      </c>
      <c r="P149">
        <v>1</v>
      </c>
      <c r="Q149">
        <v>0</v>
      </c>
      <c r="R149">
        <v>1</v>
      </c>
      <c r="S149">
        <v>1</v>
      </c>
      <c r="T149">
        <v>0</v>
      </c>
      <c r="U149">
        <v>0</v>
      </c>
      <c r="V149">
        <v>1</v>
      </c>
      <c r="W149" s="9" t="s">
        <v>51</v>
      </c>
      <c r="X149">
        <v>0</v>
      </c>
      <c r="Y149">
        <v>88</v>
      </c>
    </row>
    <row r="150" spans="1:25" x14ac:dyDescent="0.35">
      <c r="A150" s="9" t="s">
        <v>372</v>
      </c>
      <c r="B150" s="9" t="s">
        <v>373</v>
      </c>
      <c r="C150" s="9" t="s">
        <v>134</v>
      </c>
      <c r="D150" s="9" t="s">
        <v>46</v>
      </c>
      <c r="E150" s="9" t="s">
        <v>56</v>
      </c>
      <c r="F150" s="9" t="s">
        <v>57</v>
      </c>
      <c r="G150" s="9" t="s">
        <v>54</v>
      </c>
      <c r="H150" s="9" t="s">
        <v>135</v>
      </c>
      <c r="I150">
        <v>1</v>
      </c>
      <c r="J150">
        <v>4</v>
      </c>
      <c r="K150">
        <v>4</v>
      </c>
      <c r="L150">
        <v>4</v>
      </c>
      <c r="M150">
        <v>0</v>
      </c>
      <c r="N150">
        <v>65</v>
      </c>
      <c r="O150">
        <v>65</v>
      </c>
      <c r="P150">
        <v>2</v>
      </c>
      <c r="Q150">
        <v>2</v>
      </c>
      <c r="R150">
        <v>1</v>
      </c>
      <c r="S150">
        <v>1</v>
      </c>
      <c r="T150">
        <v>1</v>
      </c>
      <c r="U150">
        <v>0</v>
      </c>
      <c r="V150">
        <v>0</v>
      </c>
      <c r="W150" s="9" t="s">
        <v>95</v>
      </c>
      <c r="X150">
        <v>16</v>
      </c>
      <c r="Y150">
        <v>88</v>
      </c>
    </row>
    <row r="151" spans="1:25" x14ac:dyDescent="0.35">
      <c r="A151" s="9" t="s">
        <v>374</v>
      </c>
      <c r="B151" s="9" t="s">
        <v>375</v>
      </c>
      <c r="C151" s="9" t="s">
        <v>68</v>
      </c>
      <c r="D151" s="9" t="s">
        <v>46</v>
      </c>
      <c r="E151" s="9" t="s">
        <v>69</v>
      </c>
      <c r="F151" s="9" t="s">
        <v>70</v>
      </c>
      <c r="G151" s="9" t="s">
        <v>49</v>
      </c>
      <c r="H151" s="9" t="s">
        <v>65</v>
      </c>
      <c r="I151">
        <v>0</v>
      </c>
      <c r="J151">
        <v>1</v>
      </c>
      <c r="K151">
        <v>1</v>
      </c>
      <c r="L151">
        <v>1</v>
      </c>
      <c r="M151">
        <v>0</v>
      </c>
      <c r="N151">
        <v>88</v>
      </c>
      <c r="P151">
        <v>1</v>
      </c>
      <c r="Q151">
        <v>0</v>
      </c>
      <c r="R151">
        <v>1</v>
      </c>
      <c r="S151">
        <v>0</v>
      </c>
      <c r="T151">
        <v>0</v>
      </c>
      <c r="U151">
        <v>0</v>
      </c>
      <c r="V151">
        <v>0</v>
      </c>
      <c r="W151" s="9" t="s">
        <v>58</v>
      </c>
      <c r="X151">
        <v>0</v>
      </c>
      <c r="Y151">
        <v>88</v>
      </c>
    </row>
    <row r="152" spans="1:25" x14ac:dyDescent="0.35">
      <c r="A152" s="9" t="s">
        <v>376</v>
      </c>
      <c r="B152" s="9" t="s">
        <v>377</v>
      </c>
      <c r="C152" s="9" t="s">
        <v>68</v>
      </c>
      <c r="D152" s="9" t="s">
        <v>55</v>
      </c>
      <c r="E152" s="9" t="s">
        <v>80</v>
      </c>
      <c r="F152" s="9" t="s">
        <v>81</v>
      </c>
      <c r="G152" s="9" t="s">
        <v>82</v>
      </c>
      <c r="H152" s="9" t="s">
        <v>65</v>
      </c>
      <c r="I152">
        <v>0</v>
      </c>
      <c r="J152">
        <v>2</v>
      </c>
      <c r="K152">
        <v>2</v>
      </c>
      <c r="L152">
        <v>2</v>
      </c>
      <c r="M152">
        <v>0</v>
      </c>
      <c r="N152">
        <v>88</v>
      </c>
      <c r="O152">
        <v>88</v>
      </c>
      <c r="P152">
        <v>0</v>
      </c>
      <c r="Q152">
        <v>0</v>
      </c>
      <c r="R152">
        <v>1</v>
      </c>
      <c r="S152">
        <v>1</v>
      </c>
      <c r="T152">
        <v>0</v>
      </c>
      <c r="U152">
        <v>0</v>
      </c>
      <c r="V152">
        <v>1</v>
      </c>
      <c r="W152" s="9" t="s">
        <v>51</v>
      </c>
      <c r="X152">
        <v>0</v>
      </c>
      <c r="Y152">
        <v>88</v>
      </c>
    </row>
    <row r="153" spans="1:25" x14ac:dyDescent="0.35">
      <c r="A153" s="9" t="s">
        <v>378</v>
      </c>
      <c r="B153" s="9" t="s">
        <v>379</v>
      </c>
      <c r="C153" s="9" t="s">
        <v>54</v>
      </c>
      <c r="D153" s="9" t="s">
        <v>46</v>
      </c>
      <c r="E153" s="9" t="s">
        <v>56</v>
      </c>
      <c r="F153" s="9" t="s">
        <v>57</v>
      </c>
      <c r="G153" s="9" t="s">
        <v>54</v>
      </c>
      <c r="H153" s="9" t="s">
        <v>50</v>
      </c>
      <c r="I153">
        <v>1</v>
      </c>
      <c r="J153">
        <v>4</v>
      </c>
      <c r="K153">
        <v>4</v>
      </c>
      <c r="L153">
        <v>4</v>
      </c>
      <c r="M153">
        <v>0</v>
      </c>
      <c r="N153">
        <v>68</v>
      </c>
      <c r="O153">
        <v>68</v>
      </c>
      <c r="P153">
        <v>3</v>
      </c>
      <c r="Q153">
        <v>0</v>
      </c>
      <c r="R153">
        <v>1</v>
      </c>
      <c r="S153">
        <v>1</v>
      </c>
      <c r="T153">
        <v>1</v>
      </c>
      <c r="U153">
        <v>0</v>
      </c>
      <c r="V153">
        <v>0</v>
      </c>
      <c r="W153" s="9" t="s">
        <v>95</v>
      </c>
      <c r="X153">
        <v>14</v>
      </c>
      <c r="Y153">
        <v>88</v>
      </c>
    </row>
    <row r="154" spans="1:25" x14ac:dyDescent="0.35">
      <c r="A154" s="9" t="s">
        <v>380</v>
      </c>
      <c r="B154" s="9" t="s">
        <v>381</v>
      </c>
      <c r="C154" s="9" t="s">
        <v>54</v>
      </c>
      <c r="D154" s="9" t="s">
        <v>46</v>
      </c>
      <c r="E154" s="9" t="s">
        <v>76</v>
      </c>
      <c r="F154" s="9" t="s">
        <v>77</v>
      </c>
      <c r="G154" s="9" t="s">
        <v>54</v>
      </c>
      <c r="H154" s="9" t="s">
        <v>50</v>
      </c>
      <c r="I154">
        <v>1</v>
      </c>
      <c r="J154">
        <v>3</v>
      </c>
      <c r="K154">
        <v>3</v>
      </c>
      <c r="L154">
        <v>3</v>
      </c>
      <c r="M154">
        <v>0</v>
      </c>
      <c r="N154">
        <v>88</v>
      </c>
      <c r="O154">
        <v>88</v>
      </c>
      <c r="P154">
        <v>0</v>
      </c>
      <c r="Q154">
        <v>1</v>
      </c>
      <c r="R154">
        <v>1</v>
      </c>
      <c r="S154">
        <v>1</v>
      </c>
      <c r="T154">
        <v>0</v>
      </c>
      <c r="U154">
        <v>0</v>
      </c>
      <c r="V154">
        <v>1</v>
      </c>
      <c r="W154" s="9" t="s">
        <v>51</v>
      </c>
      <c r="X154">
        <v>0</v>
      </c>
      <c r="Y154">
        <v>88</v>
      </c>
    </row>
    <row r="155" spans="1:25" x14ac:dyDescent="0.35">
      <c r="A155" s="9" t="s">
        <v>382</v>
      </c>
      <c r="B155" s="9" t="s">
        <v>383</v>
      </c>
      <c r="C155" s="9" t="s">
        <v>61</v>
      </c>
      <c r="D155" s="9" t="s">
        <v>55</v>
      </c>
      <c r="E155" s="9" t="s">
        <v>63</v>
      </c>
      <c r="F155" s="9" t="s">
        <v>64</v>
      </c>
      <c r="G155" s="9" t="s">
        <v>49</v>
      </c>
      <c r="H155" s="9" t="s">
        <v>65</v>
      </c>
      <c r="I155">
        <v>0</v>
      </c>
      <c r="J155">
        <v>3</v>
      </c>
      <c r="K155">
        <v>3</v>
      </c>
      <c r="L155">
        <v>3</v>
      </c>
      <c r="M155">
        <v>0</v>
      </c>
      <c r="N155">
        <v>88</v>
      </c>
      <c r="O155">
        <v>88</v>
      </c>
      <c r="P155">
        <v>1</v>
      </c>
      <c r="Q155">
        <v>0</v>
      </c>
      <c r="R155">
        <v>1</v>
      </c>
      <c r="S155">
        <v>1</v>
      </c>
      <c r="T155">
        <v>0</v>
      </c>
      <c r="U155">
        <v>0</v>
      </c>
      <c r="V155">
        <v>1</v>
      </c>
      <c r="W155" s="9" t="s">
        <v>51</v>
      </c>
      <c r="X155">
        <v>0</v>
      </c>
      <c r="Y155">
        <v>88</v>
      </c>
    </row>
    <row r="156" spans="1:25" x14ac:dyDescent="0.35">
      <c r="A156" s="9" t="s">
        <v>384</v>
      </c>
      <c r="B156" s="9" t="s">
        <v>385</v>
      </c>
      <c r="C156" s="9" t="s">
        <v>68</v>
      </c>
      <c r="D156" s="9" t="s">
        <v>55</v>
      </c>
      <c r="E156" s="9" t="s">
        <v>63</v>
      </c>
      <c r="F156" s="9" t="s">
        <v>64</v>
      </c>
      <c r="G156" s="9" t="s">
        <v>49</v>
      </c>
      <c r="H156" s="9" t="s">
        <v>65</v>
      </c>
      <c r="I156">
        <v>0</v>
      </c>
      <c r="J156">
        <v>2</v>
      </c>
      <c r="K156">
        <v>2</v>
      </c>
      <c r="L156">
        <v>2</v>
      </c>
      <c r="M156">
        <v>0</v>
      </c>
      <c r="N156">
        <v>63</v>
      </c>
      <c r="O156">
        <v>63</v>
      </c>
      <c r="P156">
        <v>0</v>
      </c>
      <c r="Q156">
        <v>0</v>
      </c>
      <c r="R156">
        <v>1</v>
      </c>
      <c r="S156">
        <v>1</v>
      </c>
      <c r="T156">
        <v>1</v>
      </c>
      <c r="U156">
        <v>0</v>
      </c>
      <c r="V156">
        <v>0</v>
      </c>
      <c r="W156" s="9" t="s">
        <v>95</v>
      </c>
      <c r="X156">
        <v>2</v>
      </c>
      <c r="Y156">
        <v>88</v>
      </c>
    </row>
    <row r="157" spans="1:25" x14ac:dyDescent="0.35">
      <c r="A157" s="9" t="s">
        <v>386</v>
      </c>
      <c r="B157" s="9" t="s">
        <v>387</v>
      </c>
      <c r="C157" s="9" t="s">
        <v>134</v>
      </c>
      <c r="D157" s="9" t="s">
        <v>46</v>
      </c>
      <c r="E157" s="9" t="s">
        <v>69</v>
      </c>
      <c r="F157" s="9" t="s">
        <v>70</v>
      </c>
      <c r="G157" s="9" t="s">
        <v>49</v>
      </c>
      <c r="H157" s="9" t="s">
        <v>135</v>
      </c>
      <c r="I157">
        <v>1</v>
      </c>
      <c r="J157">
        <v>4</v>
      </c>
      <c r="K157">
        <v>4</v>
      </c>
      <c r="L157">
        <v>2</v>
      </c>
      <c r="M157">
        <v>1</v>
      </c>
      <c r="N157">
        <v>69</v>
      </c>
      <c r="P157">
        <v>2</v>
      </c>
      <c r="Q157">
        <v>0</v>
      </c>
      <c r="R157">
        <v>1</v>
      </c>
      <c r="S157">
        <v>0</v>
      </c>
      <c r="T157">
        <v>0</v>
      </c>
      <c r="U157">
        <v>0</v>
      </c>
      <c r="V157">
        <v>0</v>
      </c>
      <c r="W157" s="9" t="s">
        <v>58</v>
      </c>
      <c r="X157">
        <v>0</v>
      </c>
      <c r="Y157">
        <v>88</v>
      </c>
    </row>
    <row r="158" spans="1:25" x14ac:dyDescent="0.35">
      <c r="A158" s="9" t="s">
        <v>388</v>
      </c>
      <c r="B158" s="9" t="s">
        <v>389</v>
      </c>
      <c r="C158" s="9" t="s">
        <v>45</v>
      </c>
      <c r="D158" s="9" t="s">
        <v>55</v>
      </c>
      <c r="E158" s="9" t="s">
        <v>69</v>
      </c>
      <c r="F158" s="9" t="s">
        <v>70</v>
      </c>
      <c r="G158" s="9" t="s">
        <v>49</v>
      </c>
      <c r="H158" s="9" t="s">
        <v>50</v>
      </c>
      <c r="I158">
        <v>0</v>
      </c>
      <c r="J158">
        <v>4</v>
      </c>
      <c r="K158">
        <v>4</v>
      </c>
      <c r="L158">
        <v>4</v>
      </c>
      <c r="M158">
        <v>0</v>
      </c>
      <c r="N158">
        <v>88</v>
      </c>
      <c r="O158">
        <v>88</v>
      </c>
      <c r="P158">
        <v>1</v>
      </c>
      <c r="Q158">
        <v>0</v>
      </c>
      <c r="R158">
        <v>1</v>
      </c>
      <c r="S158">
        <v>1</v>
      </c>
      <c r="T158">
        <v>0</v>
      </c>
      <c r="U158">
        <v>0</v>
      </c>
      <c r="V158">
        <v>1</v>
      </c>
      <c r="W158" s="9" t="s">
        <v>51</v>
      </c>
      <c r="X158">
        <v>0</v>
      </c>
      <c r="Y158">
        <v>88</v>
      </c>
    </row>
    <row r="159" spans="1:25" x14ac:dyDescent="0.35">
      <c r="A159" s="9" t="s">
        <v>390</v>
      </c>
      <c r="B159" s="9" t="s">
        <v>391</v>
      </c>
      <c r="C159" s="9" t="s">
        <v>68</v>
      </c>
      <c r="D159" s="9" t="s">
        <v>62</v>
      </c>
      <c r="E159" s="9" t="s">
        <v>93</v>
      </c>
      <c r="F159" s="9" t="s">
        <v>94</v>
      </c>
      <c r="G159" s="9" t="s">
        <v>82</v>
      </c>
      <c r="H159" s="9" t="s">
        <v>65</v>
      </c>
      <c r="I159">
        <v>0</v>
      </c>
      <c r="J159">
        <v>3</v>
      </c>
      <c r="K159">
        <v>3</v>
      </c>
      <c r="L159">
        <v>3</v>
      </c>
      <c r="M159">
        <v>0</v>
      </c>
      <c r="N159">
        <v>88</v>
      </c>
      <c r="O159">
        <v>88</v>
      </c>
      <c r="P159">
        <v>2</v>
      </c>
      <c r="Q159">
        <v>0</v>
      </c>
      <c r="R159">
        <v>1</v>
      </c>
      <c r="S159">
        <v>1</v>
      </c>
      <c r="T159">
        <v>0</v>
      </c>
      <c r="U159">
        <v>0</v>
      </c>
      <c r="V159">
        <v>1</v>
      </c>
      <c r="W159" s="9" t="s">
        <v>51</v>
      </c>
      <c r="X159">
        <v>0</v>
      </c>
      <c r="Y159">
        <v>88</v>
      </c>
    </row>
    <row r="160" spans="1:25" x14ac:dyDescent="0.35">
      <c r="A160" s="9" t="s">
        <v>392</v>
      </c>
      <c r="B160" s="9" t="s">
        <v>393</v>
      </c>
      <c r="C160" s="9" t="s">
        <v>45</v>
      </c>
      <c r="D160" s="9" t="s">
        <v>46</v>
      </c>
      <c r="E160" s="9" t="s">
        <v>56</v>
      </c>
      <c r="F160" s="9" t="s">
        <v>57</v>
      </c>
      <c r="G160" s="9" t="s">
        <v>54</v>
      </c>
      <c r="H160" s="9" t="s">
        <v>50</v>
      </c>
      <c r="I160">
        <v>0</v>
      </c>
      <c r="J160">
        <v>2</v>
      </c>
      <c r="K160">
        <v>2</v>
      </c>
      <c r="L160">
        <v>2</v>
      </c>
      <c r="M160">
        <v>0</v>
      </c>
      <c r="N160">
        <v>88</v>
      </c>
      <c r="O160">
        <v>88</v>
      </c>
      <c r="P160">
        <v>0</v>
      </c>
      <c r="Q160">
        <v>0</v>
      </c>
      <c r="R160">
        <v>1</v>
      </c>
      <c r="S160">
        <v>1</v>
      </c>
      <c r="T160">
        <v>0</v>
      </c>
      <c r="U160">
        <v>0</v>
      </c>
      <c r="V160">
        <v>1</v>
      </c>
      <c r="W160" s="9" t="s">
        <v>51</v>
      </c>
      <c r="X160">
        <v>0</v>
      </c>
      <c r="Y160">
        <v>88</v>
      </c>
    </row>
    <row r="161" spans="1:25" x14ac:dyDescent="0.35">
      <c r="A161" s="9" t="s">
        <v>394</v>
      </c>
      <c r="B161" s="9" t="s">
        <v>395</v>
      </c>
      <c r="C161" s="9" t="s">
        <v>68</v>
      </c>
      <c r="D161" s="9" t="s">
        <v>46</v>
      </c>
      <c r="E161" s="9" t="s">
        <v>56</v>
      </c>
      <c r="F161" s="9" t="s">
        <v>57</v>
      </c>
      <c r="G161" s="9" t="s">
        <v>54</v>
      </c>
      <c r="H161" s="9" t="s">
        <v>65</v>
      </c>
      <c r="I161">
        <v>0</v>
      </c>
      <c r="J161">
        <v>4</v>
      </c>
      <c r="K161">
        <v>4</v>
      </c>
      <c r="L161">
        <v>4</v>
      </c>
      <c r="M161">
        <v>0</v>
      </c>
      <c r="N161">
        <v>71</v>
      </c>
      <c r="O161">
        <v>71</v>
      </c>
      <c r="P161">
        <v>0</v>
      </c>
      <c r="Q161">
        <v>0</v>
      </c>
      <c r="R161">
        <v>1</v>
      </c>
      <c r="S161">
        <v>1</v>
      </c>
      <c r="T161">
        <v>1</v>
      </c>
      <c r="U161">
        <v>0</v>
      </c>
      <c r="V161">
        <v>0</v>
      </c>
      <c r="W161" s="9" t="s">
        <v>95</v>
      </c>
      <c r="X161">
        <v>12</v>
      </c>
      <c r="Y161">
        <v>88</v>
      </c>
    </row>
    <row r="162" spans="1:25" x14ac:dyDescent="0.35">
      <c r="A162" s="9" t="s">
        <v>396</v>
      </c>
      <c r="B162" s="9" t="s">
        <v>397</v>
      </c>
      <c r="C162" s="9" t="s">
        <v>54</v>
      </c>
      <c r="D162" s="9" t="s">
        <v>46</v>
      </c>
      <c r="E162" s="9" t="s">
        <v>56</v>
      </c>
      <c r="F162" s="9" t="s">
        <v>57</v>
      </c>
      <c r="G162" s="9" t="s">
        <v>54</v>
      </c>
      <c r="H162" s="9" t="s">
        <v>50</v>
      </c>
      <c r="I162">
        <v>1</v>
      </c>
      <c r="J162">
        <v>3</v>
      </c>
      <c r="K162">
        <v>3</v>
      </c>
      <c r="L162">
        <v>2</v>
      </c>
      <c r="M162">
        <v>0</v>
      </c>
      <c r="N162">
        <v>54</v>
      </c>
      <c r="O162">
        <v>54</v>
      </c>
      <c r="P162">
        <v>0</v>
      </c>
      <c r="Q162">
        <v>0</v>
      </c>
      <c r="R162">
        <v>1</v>
      </c>
      <c r="S162">
        <v>1</v>
      </c>
      <c r="T162">
        <v>1</v>
      </c>
      <c r="U162">
        <v>0</v>
      </c>
      <c r="V162">
        <v>0</v>
      </c>
      <c r="W162" s="9" t="s">
        <v>95</v>
      </c>
      <c r="X162">
        <v>22</v>
      </c>
      <c r="Y162">
        <v>88</v>
      </c>
    </row>
    <row r="163" spans="1:25" x14ac:dyDescent="0.35">
      <c r="A163" s="9" t="s">
        <v>398</v>
      </c>
      <c r="B163" s="9" t="s">
        <v>399</v>
      </c>
      <c r="C163" s="9" t="s">
        <v>54</v>
      </c>
      <c r="D163" s="9" t="s">
        <v>46</v>
      </c>
      <c r="E163" s="9" t="s">
        <v>56</v>
      </c>
      <c r="F163" s="9" t="s">
        <v>57</v>
      </c>
      <c r="G163" s="9" t="s">
        <v>54</v>
      </c>
      <c r="H163" s="9" t="s">
        <v>50</v>
      </c>
      <c r="I163">
        <v>1</v>
      </c>
      <c r="J163">
        <v>2</v>
      </c>
      <c r="K163">
        <v>2</v>
      </c>
      <c r="L163">
        <v>1</v>
      </c>
      <c r="M163">
        <v>1</v>
      </c>
      <c r="N163">
        <v>65</v>
      </c>
      <c r="O163">
        <v>65</v>
      </c>
      <c r="P163">
        <v>0</v>
      </c>
      <c r="Q163">
        <v>0</v>
      </c>
      <c r="R163">
        <v>1</v>
      </c>
      <c r="S163">
        <v>1</v>
      </c>
      <c r="T163">
        <v>1</v>
      </c>
      <c r="U163">
        <v>0</v>
      </c>
      <c r="V163">
        <v>0</v>
      </c>
      <c r="W163" s="9" t="s">
        <v>95</v>
      </c>
      <c r="X163">
        <v>16</v>
      </c>
      <c r="Y163">
        <v>88</v>
      </c>
    </row>
    <row r="164" spans="1:25" x14ac:dyDescent="0.35">
      <c r="A164" s="9" t="s">
        <v>400</v>
      </c>
      <c r="B164" s="9" t="s">
        <v>401</v>
      </c>
      <c r="C164" s="9" t="s">
        <v>68</v>
      </c>
      <c r="D164" s="9" t="s">
        <v>46</v>
      </c>
      <c r="E164" s="9" t="s">
        <v>80</v>
      </c>
      <c r="F164" s="9" t="s">
        <v>81</v>
      </c>
      <c r="G164" s="9" t="s">
        <v>82</v>
      </c>
      <c r="H164" s="9" t="s">
        <v>65</v>
      </c>
      <c r="I164">
        <v>0</v>
      </c>
      <c r="J164">
        <v>2</v>
      </c>
      <c r="K164">
        <v>2</v>
      </c>
      <c r="L164">
        <v>2</v>
      </c>
      <c r="M164">
        <v>0</v>
      </c>
      <c r="N164">
        <v>88</v>
      </c>
      <c r="O164">
        <v>88</v>
      </c>
      <c r="P164">
        <v>0</v>
      </c>
      <c r="Q164">
        <v>0</v>
      </c>
      <c r="R164">
        <v>1</v>
      </c>
      <c r="S164">
        <v>1</v>
      </c>
      <c r="T164">
        <v>0</v>
      </c>
      <c r="U164">
        <v>0</v>
      </c>
      <c r="V164">
        <v>1</v>
      </c>
      <c r="W164" s="9" t="s">
        <v>51</v>
      </c>
      <c r="X164">
        <v>0</v>
      </c>
      <c r="Y164">
        <v>88</v>
      </c>
    </row>
    <row r="165" spans="1:25" x14ac:dyDescent="0.35">
      <c r="A165" s="9" t="s">
        <v>402</v>
      </c>
      <c r="B165" s="9" t="s">
        <v>403</v>
      </c>
      <c r="C165" s="9" t="s">
        <v>45</v>
      </c>
      <c r="D165" s="9" t="s">
        <v>46</v>
      </c>
      <c r="E165" s="9" t="s">
        <v>56</v>
      </c>
      <c r="F165" s="9" t="s">
        <v>57</v>
      </c>
      <c r="G165" s="9" t="s">
        <v>54</v>
      </c>
      <c r="H165" s="9" t="s">
        <v>50</v>
      </c>
      <c r="I165">
        <v>0</v>
      </c>
      <c r="J165">
        <v>2</v>
      </c>
      <c r="K165">
        <v>2</v>
      </c>
      <c r="L165">
        <v>1</v>
      </c>
      <c r="M165">
        <v>1</v>
      </c>
      <c r="N165">
        <v>88</v>
      </c>
      <c r="P165">
        <v>1</v>
      </c>
      <c r="Q165">
        <v>0</v>
      </c>
      <c r="R165">
        <v>1</v>
      </c>
      <c r="S165">
        <v>0</v>
      </c>
      <c r="T165">
        <v>0</v>
      </c>
      <c r="U165">
        <v>0</v>
      </c>
      <c r="V165">
        <v>0</v>
      </c>
      <c r="W165" s="9" t="s">
        <v>58</v>
      </c>
      <c r="X165">
        <v>0</v>
      </c>
      <c r="Y165">
        <v>88</v>
      </c>
    </row>
    <row r="166" spans="1:25" x14ac:dyDescent="0.35">
      <c r="A166" s="9" t="s">
        <v>404</v>
      </c>
      <c r="B166" s="9" t="s">
        <v>405</v>
      </c>
      <c r="C166" s="9" t="s">
        <v>68</v>
      </c>
      <c r="D166" s="9" t="s">
        <v>62</v>
      </c>
      <c r="E166" s="9" t="s">
        <v>80</v>
      </c>
      <c r="F166" s="9" t="s">
        <v>81</v>
      </c>
      <c r="G166" s="9" t="s">
        <v>82</v>
      </c>
      <c r="H166" s="9" t="s">
        <v>65</v>
      </c>
      <c r="I166">
        <v>0</v>
      </c>
      <c r="J166">
        <v>4</v>
      </c>
      <c r="K166">
        <v>4</v>
      </c>
      <c r="L166">
        <v>4</v>
      </c>
      <c r="M166">
        <v>0</v>
      </c>
      <c r="N166">
        <v>88</v>
      </c>
      <c r="O166">
        <v>88</v>
      </c>
      <c r="P166">
        <v>0</v>
      </c>
      <c r="Q166">
        <v>0</v>
      </c>
      <c r="R166">
        <v>1</v>
      </c>
      <c r="S166">
        <v>1</v>
      </c>
      <c r="T166">
        <v>0</v>
      </c>
      <c r="U166">
        <v>0</v>
      </c>
      <c r="V166">
        <v>1</v>
      </c>
      <c r="W166" s="9" t="s">
        <v>51</v>
      </c>
      <c r="X166">
        <v>0</v>
      </c>
      <c r="Y166">
        <v>88</v>
      </c>
    </row>
    <row r="167" spans="1:25" x14ac:dyDescent="0.35">
      <c r="A167" s="9" t="s">
        <v>406</v>
      </c>
      <c r="B167" s="9" t="s">
        <v>407</v>
      </c>
      <c r="C167" s="9" t="s">
        <v>45</v>
      </c>
      <c r="D167" s="9" t="s">
        <v>55</v>
      </c>
      <c r="E167" s="9" t="s">
        <v>69</v>
      </c>
      <c r="F167" s="9" t="s">
        <v>70</v>
      </c>
      <c r="G167" s="9" t="s">
        <v>49</v>
      </c>
      <c r="H167" s="9" t="s">
        <v>50</v>
      </c>
      <c r="I167">
        <v>0</v>
      </c>
      <c r="J167">
        <v>3</v>
      </c>
      <c r="K167">
        <v>3</v>
      </c>
      <c r="L167">
        <v>2</v>
      </c>
      <c r="M167">
        <v>1</v>
      </c>
      <c r="N167">
        <v>88</v>
      </c>
      <c r="O167">
        <v>88</v>
      </c>
      <c r="P167">
        <v>1</v>
      </c>
      <c r="Q167">
        <v>0</v>
      </c>
      <c r="R167">
        <v>1</v>
      </c>
      <c r="S167">
        <v>1</v>
      </c>
      <c r="T167">
        <v>0</v>
      </c>
      <c r="U167">
        <v>0</v>
      </c>
      <c r="V167">
        <v>1</v>
      </c>
      <c r="W167" s="9" t="s">
        <v>51</v>
      </c>
      <c r="X167">
        <v>0</v>
      </c>
      <c r="Y167">
        <v>88</v>
      </c>
    </row>
    <row r="168" spans="1:25" x14ac:dyDescent="0.35">
      <c r="A168" s="9" t="s">
        <v>408</v>
      </c>
      <c r="B168" s="9" t="s">
        <v>409</v>
      </c>
      <c r="C168" s="9" t="s">
        <v>54</v>
      </c>
      <c r="D168" s="9" t="s">
        <v>46</v>
      </c>
      <c r="E168" s="9" t="s">
        <v>63</v>
      </c>
      <c r="F168" s="9" t="s">
        <v>64</v>
      </c>
      <c r="G168" s="9" t="s">
        <v>49</v>
      </c>
      <c r="H168" s="9" t="s">
        <v>50</v>
      </c>
      <c r="I168">
        <v>1</v>
      </c>
      <c r="J168">
        <v>3</v>
      </c>
      <c r="K168">
        <v>3</v>
      </c>
      <c r="L168">
        <v>3</v>
      </c>
      <c r="M168">
        <v>0</v>
      </c>
      <c r="N168">
        <v>88</v>
      </c>
      <c r="P168">
        <v>3</v>
      </c>
      <c r="Q168">
        <v>1</v>
      </c>
      <c r="R168">
        <v>1</v>
      </c>
      <c r="S168">
        <v>0</v>
      </c>
      <c r="T168">
        <v>0</v>
      </c>
      <c r="U168">
        <v>0</v>
      </c>
      <c r="V168">
        <v>0</v>
      </c>
      <c r="W168" s="9" t="s">
        <v>58</v>
      </c>
      <c r="X168">
        <v>0</v>
      </c>
      <c r="Y168">
        <v>88</v>
      </c>
    </row>
    <row r="169" spans="1:25" x14ac:dyDescent="0.35">
      <c r="A169" s="9" t="s">
        <v>410</v>
      </c>
      <c r="B169" s="9" t="s">
        <v>411</v>
      </c>
      <c r="C169" s="9" t="s">
        <v>68</v>
      </c>
      <c r="D169" s="9" t="s">
        <v>46</v>
      </c>
      <c r="E169" s="9" t="s">
        <v>47</v>
      </c>
      <c r="F169" s="9" t="s">
        <v>48</v>
      </c>
      <c r="G169" s="9" t="s">
        <v>49</v>
      </c>
      <c r="H169" s="9" t="s">
        <v>65</v>
      </c>
      <c r="I169">
        <v>0</v>
      </c>
      <c r="J169">
        <v>4</v>
      </c>
      <c r="K169">
        <v>4</v>
      </c>
      <c r="L169">
        <v>3</v>
      </c>
      <c r="M169">
        <v>0</v>
      </c>
      <c r="N169">
        <v>88</v>
      </c>
      <c r="O169">
        <v>88</v>
      </c>
      <c r="P169">
        <v>1</v>
      </c>
      <c r="Q169">
        <v>0</v>
      </c>
      <c r="R169">
        <v>1</v>
      </c>
      <c r="S169">
        <v>1</v>
      </c>
      <c r="T169">
        <v>0</v>
      </c>
      <c r="U169">
        <v>0</v>
      </c>
      <c r="V169">
        <v>1</v>
      </c>
      <c r="W169" s="9" t="s">
        <v>51</v>
      </c>
      <c r="X169">
        <v>0</v>
      </c>
      <c r="Y169">
        <v>88</v>
      </c>
    </row>
    <row r="170" spans="1:25" x14ac:dyDescent="0.35">
      <c r="A170" s="9" t="s">
        <v>412</v>
      </c>
      <c r="B170" s="9" t="s">
        <v>413</v>
      </c>
      <c r="C170" s="9" t="s">
        <v>45</v>
      </c>
      <c r="D170" s="9" t="s">
        <v>46</v>
      </c>
      <c r="E170" s="9" t="s">
        <v>47</v>
      </c>
      <c r="F170" s="9" t="s">
        <v>48</v>
      </c>
      <c r="G170" s="9" t="s">
        <v>49</v>
      </c>
      <c r="H170" s="9" t="s">
        <v>50</v>
      </c>
      <c r="I170">
        <v>0</v>
      </c>
      <c r="J170">
        <v>2</v>
      </c>
      <c r="K170">
        <v>2</v>
      </c>
      <c r="L170">
        <v>2</v>
      </c>
      <c r="M170">
        <v>0</v>
      </c>
      <c r="N170">
        <v>88</v>
      </c>
      <c r="O170">
        <v>88</v>
      </c>
      <c r="P170">
        <v>1</v>
      </c>
      <c r="Q170">
        <v>0</v>
      </c>
      <c r="R170">
        <v>1</v>
      </c>
      <c r="S170">
        <v>1</v>
      </c>
      <c r="T170">
        <v>0</v>
      </c>
      <c r="U170">
        <v>0</v>
      </c>
      <c r="V170">
        <v>1</v>
      </c>
      <c r="W170" s="9" t="s">
        <v>51</v>
      </c>
      <c r="X170">
        <v>0</v>
      </c>
      <c r="Y170">
        <v>88</v>
      </c>
    </row>
    <row r="171" spans="1:25" x14ac:dyDescent="0.35">
      <c r="A171" s="9" t="s">
        <v>414</v>
      </c>
      <c r="B171" s="9" t="s">
        <v>415</v>
      </c>
      <c r="C171" s="9" t="s">
        <v>134</v>
      </c>
      <c r="D171" s="9" t="s">
        <v>46</v>
      </c>
      <c r="E171" s="9" t="s">
        <v>56</v>
      </c>
      <c r="F171" s="9" t="s">
        <v>57</v>
      </c>
      <c r="G171" s="9" t="s">
        <v>54</v>
      </c>
      <c r="H171" s="9" t="s">
        <v>135</v>
      </c>
      <c r="I171">
        <v>1</v>
      </c>
      <c r="J171">
        <v>1</v>
      </c>
      <c r="K171">
        <v>1</v>
      </c>
      <c r="L171">
        <v>0</v>
      </c>
      <c r="M171">
        <v>1</v>
      </c>
      <c r="P171">
        <v>0</v>
      </c>
      <c r="Q171">
        <v>0</v>
      </c>
      <c r="R171">
        <v>0</v>
      </c>
      <c r="S171">
        <v>0</v>
      </c>
      <c r="T171">
        <v>0</v>
      </c>
      <c r="U171">
        <v>0</v>
      </c>
      <c r="V171">
        <v>0</v>
      </c>
      <c r="W171" s="9" t="s">
        <v>73</v>
      </c>
      <c r="X171">
        <v>0</v>
      </c>
      <c r="Y171">
        <v>88</v>
      </c>
    </row>
    <row r="172" spans="1:25" x14ac:dyDescent="0.35">
      <c r="A172" s="9" t="s">
        <v>416</v>
      </c>
      <c r="B172" s="9" t="s">
        <v>417</v>
      </c>
      <c r="C172" s="9" t="s">
        <v>68</v>
      </c>
      <c r="D172" s="9" t="s">
        <v>46</v>
      </c>
      <c r="E172" s="9" t="s">
        <v>47</v>
      </c>
      <c r="F172" s="9" t="s">
        <v>48</v>
      </c>
      <c r="G172" s="9" t="s">
        <v>49</v>
      </c>
      <c r="H172" s="9" t="s">
        <v>65</v>
      </c>
      <c r="I172">
        <v>0</v>
      </c>
      <c r="J172">
        <v>1</v>
      </c>
      <c r="K172">
        <v>1</v>
      </c>
      <c r="L172">
        <v>1</v>
      </c>
      <c r="M172">
        <v>0</v>
      </c>
      <c r="N172">
        <v>88</v>
      </c>
      <c r="O172">
        <v>88</v>
      </c>
      <c r="P172">
        <v>0</v>
      </c>
      <c r="Q172">
        <v>0</v>
      </c>
      <c r="R172">
        <v>1</v>
      </c>
      <c r="S172">
        <v>1</v>
      </c>
      <c r="T172">
        <v>0</v>
      </c>
      <c r="U172">
        <v>0</v>
      </c>
      <c r="V172">
        <v>1</v>
      </c>
      <c r="W172" s="9" t="s">
        <v>51</v>
      </c>
      <c r="X172">
        <v>0</v>
      </c>
      <c r="Y172">
        <v>88</v>
      </c>
    </row>
    <row r="173" spans="1:25" x14ac:dyDescent="0.35">
      <c r="A173" s="9" t="s">
        <v>418</v>
      </c>
      <c r="B173" s="9" t="s">
        <v>419</v>
      </c>
      <c r="C173" s="9" t="s">
        <v>68</v>
      </c>
      <c r="D173" s="9" t="s">
        <v>46</v>
      </c>
      <c r="E173" s="9" t="s">
        <v>112</v>
      </c>
      <c r="F173" s="9" t="s">
        <v>113</v>
      </c>
      <c r="G173" s="9" t="s">
        <v>54</v>
      </c>
      <c r="H173" s="9" t="s">
        <v>65</v>
      </c>
      <c r="I173">
        <v>0</v>
      </c>
      <c r="J173">
        <v>1</v>
      </c>
      <c r="K173">
        <v>1</v>
      </c>
      <c r="L173">
        <v>1</v>
      </c>
      <c r="M173">
        <v>0</v>
      </c>
      <c r="N173">
        <v>47</v>
      </c>
      <c r="P173">
        <v>1</v>
      </c>
      <c r="Q173">
        <v>0</v>
      </c>
      <c r="R173">
        <v>1</v>
      </c>
      <c r="S173">
        <v>0</v>
      </c>
      <c r="T173">
        <v>0</v>
      </c>
      <c r="U173">
        <v>0</v>
      </c>
      <c r="V173">
        <v>0</v>
      </c>
      <c r="W173" s="9" t="s">
        <v>58</v>
      </c>
      <c r="X173">
        <v>0</v>
      </c>
      <c r="Y173">
        <v>88</v>
      </c>
    </row>
    <row r="174" spans="1:25" x14ac:dyDescent="0.35">
      <c r="A174" s="9" t="s">
        <v>420</v>
      </c>
      <c r="B174" s="9" t="s">
        <v>421</v>
      </c>
      <c r="C174" s="9" t="s">
        <v>61</v>
      </c>
      <c r="D174" s="9" t="s">
        <v>62</v>
      </c>
      <c r="E174" s="9" t="s">
        <v>80</v>
      </c>
      <c r="F174" s="9" t="s">
        <v>81</v>
      </c>
      <c r="G174" s="9" t="s">
        <v>82</v>
      </c>
      <c r="H174" s="9" t="s">
        <v>65</v>
      </c>
      <c r="I174">
        <v>0</v>
      </c>
      <c r="J174">
        <v>4</v>
      </c>
      <c r="K174">
        <v>4</v>
      </c>
      <c r="L174">
        <v>4</v>
      </c>
      <c r="M174">
        <v>0</v>
      </c>
      <c r="N174">
        <v>88</v>
      </c>
      <c r="O174">
        <v>88</v>
      </c>
      <c r="P174">
        <v>2</v>
      </c>
      <c r="Q174">
        <v>0</v>
      </c>
      <c r="R174">
        <v>1</v>
      </c>
      <c r="S174">
        <v>1</v>
      </c>
      <c r="T174">
        <v>0</v>
      </c>
      <c r="U174">
        <v>0</v>
      </c>
      <c r="V174">
        <v>1</v>
      </c>
      <c r="W174" s="9" t="s">
        <v>51</v>
      </c>
      <c r="X174">
        <v>0</v>
      </c>
      <c r="Y174">
        <v>88</v>
      </c>
    </row>
    <row r="175" spans="1:25" x14ac:dyDescent="0.35">
      <c r="A175" s="9" t="s">
        <v>422</v>
      </c>
      <c r="B175" s="9" t="s">
        <v>423</v>
      </c>
      <c r="C175" s="9" t="s">
        <v>54</v>
      </c>
      <c r="D175" s="9" t="s">
        <v>46</v>
      </c>
      <c r="E175" s="9" t="s">
        <v>56</v>
      </c>
      <c r="F175" s="9" t="s">
        <v>57</v>
      </c>
      <c r="G175" s="9" t="s">
        <v>54</v>
      </c>
      <c r="H175" s="9" t="s">
        <v>50</v>
      </c>
      <c r="I175">
        <v>1</v>
      </c>
      <c r="J175">
        <v>1</v>
      </c>
      <c r="K175">
        <v>1</v>
      </c>
      <c r="L175">
        <v>1</v>
      </c>
      <c r="M175">
        <v>0</v>
      </c>
      <c r="N175">
        <v>88</v>
      </c>
      <c r="P175">
        <v>1</v>
      </c>
      <c r="Q175">
        <v>0</v>
      </c>
      <c r="R175">
        <v>1</v>
      </c>
      <c r="S175">
        <v>0</v>
      </c>
      <c r="T175">
        <v>0</v>
      </c>
      <c r="U175">
        <v>0</v>
      </c>
      <c r="V175">
        <v>0</v>
      </c>
      <c r="W175" s="9" t="s">
        <v>58</v>
      </c>
      <c r="X175">
        <v>0</v>
      </c>
      <c r="Y175">
        <v>88</v>
      </c>
    </row>
    <row r="176" spans="1:25" x14ac:dyDescent="0.35">
      <c r="A176" s="9" t="s">
        <v>424</v>
      </c>
      <c r="B176" s="9" t="s">
        <v>425</v>
      </c>
      <c r="C176" s="9" t="s">
        <v>45</v>
      </c>
      <c r="D176" s="9" t="s">
        <v>62</v>
      </c>
      <c r="E176" s="9" t="s">
        <v>76</v>
      </c>
      <c r="F176" s="9" t="s">
        <v>77</v>
      </c>
      <c r="G176" s="9" t="s">
        <v>54</v>
      </c>
      <c r="H176" s="9" t="s">
        <v>50</v>
      </c>
      <c r="I176">
        <v>0</v>
      </c>
      <c r="J176">
        <v>4</v>
      </c>
      <c r="K176">
        <v>4</v>
      </c>
      <c r="L176">
        <v>2</v>
      </c>
      <c r="M176">
        <v>0</v>
      </c>
      <c r="N176">
        <v>88</v>
      </c>
      <c r="O176">
        <v>88</v>
      </c>
      <c r="P176">
        <v>1</v>
      </c>
      <c r="Q176">
        <v>0</v>
      </c>
      <c r="R176">
        <v>1</v>
      </c>
      <c r="S176">
        <v>1</v>
      </c>
      <c r="T176">
        <v>0</v>
      </c>
      <c r="U176">
        <v>0</v>
      </c>
      <c r="V176">
        <v>1</v>
      </c>
      <c r="W176" s="9" t="s">
        <v>51</v>
      </c>
      <c r="X176">
        <v>0</v>
      </c>
      <c r="Y176">
        <v>88</v>
      </c>
    </row>
    <row r="177" spans="1:25" x14ac:dyDescent="0.35">
      <c r="A177" s="9" t="s">
        <v>426</v>
      </c>
      <c r="B177" s="9" t="s">
        <v>427</v>
      </c>
      <c r="C177" s="9" t="s">
        <v>45</v>
      </c>
      <c r="D177" s="9" t="s">
        <v>62</v>
      </c>
      <c r="E177" s="9" t="s">
        <v>69</v>
      </c>
      <c r="F177" s="9" t="s">
        <v>70</v>
      </c>
      <c r="G177" s="9" t="s">
        <v>49</v>
      </c>
      <c r="H177" s="9" t="s">
        <v>50</v>
      </c>
      <c r="I177">
        <v>0</v>
      </c>
      <c r="J177">
        <v>2</v>
      </c>
      <c r="K177">
        <v>2</v>
      </c>
      <c r="L177">
        <v>2</v>
      </c>
      <c r="M177">
        <v>0</v>
      </c>
      <c r="N177">
        <v>88</v>
      </c>
      <c r="O177">
        <v>48</v>
      </c>
      <c r="P177">
        <v>1</v>
      </c>
      <c r="Q177">
        <v>0</v>
      </c>
      <c r="R177">
        <v>1</v>
      </c>
      <c r="S177">
        <v>1</v>
      </c>
      <c r="T177">
        <v>1</v>
      </c>
      <c r="U177">
        <v>0</v>
      </c>
      <c r="V177">
        <v>0</v>
      </c>
      <c r="W177" s="9" t="s">
        <v>95</v>
      </c>
      <c r="X177">
        <v>2</v>
      </c>
      <c r="Y177">
        <v>88</v>
      </c>
    </row>
    <row r="178" spans="1:25" x14ac:dyDescent="0.35">
      <c r="A178" s="9" t="s">
        <v>428</v>
      </c>
      <c r="B178" s="9" t="s">
        <v>429</v>
      </c>
      <c r="C178" s="9" t="s">
        <v>68</v>
      </c>
      <c r="D178" s="9" t="s">
        <v>46</v>
      </c>
      <c r="E178" s="9" t="s">
        <v>80</v>
      </c>
      <c r="F178" s="9" t="s">
        <v>81</v>
      </c>
      <c r="G178" s="9" t="s">
        <v>82</v>
      </c>
      <c r="H178" s="9" t="s">
        <v>65</v>
      </c>
      <c r="I178">
        <v>0</v>
      </c>
      <c r="J178">
        <v>2</v>
      </c>
      <c r="K178">
        <v>2</v>
      </c>
      <c r="L178">
        <v>1</v>
      </c>
      <c r="M178">
        <v>0</v>
      </c>
      <c r="N178">
        <v>88</v>
      </c>
      <c r="O178">
        <v>88</v>
      </c>
      <c r="P178">
        <v>0</v>
      </c>
      <c r="Q178">
        <v>0</v>
      </c>
      <c r="R178">
        <v>1</v>
      </c>
      <c r="S178">
        <v>1</v>
      </c>
      <c r="T178">
        <v>0</v>
      </c>
      <c r="U178">
        <v>0</v>
      </c>
      <c r="V178">
        <v>1</v>
      </c>
      <c r="W178" s="9" t="s">
        <v>51</v>
      </c>
      <c r="X178">
        <v>0</v>
      </c>
      <c r="Y178">
        <v>88</v>
      </c>
    </row>
    <row r="179" spans="1:25" x14ac:dyDescent="0.35">
      <c r="A179" s="9" t="s">
        <v>430</v>
      </c>
      <c r="B179" s="9" t="s">
        <v>431</v>
      </c>
      <c r="C179" s="9" t="s">
        <v>61</v>
      </c>
      <c r="D179" s="9" t="s">
        <v>46</v>
      </c>
      <c r="E179" s="9" t="s">
        <v>63</v>
      </c>
      <c r="F179" s="9" t="s">
        <v>64</v>
      </c>
      <c r="G179" s="9" t="s">
        <v>49</v>
      </c>
      <c r="H179" s="9" t="s">
        <v>65</v>
      </c>
      <c r="I179">
        <v>0</v>
      </c>
      <c r="J179">
        <v>2</v>
      </c>
      <c r="K179">
        <v>2</v>
      </c>
      <c r="L179">
        <v>2</v>
      </c>
      <c r="M179">
        <v>0</v>
      </c>
      <c r="N179">
        <v>88</v>
      </c>
      <c r="O179">
        <v>88</v>
      </c>
      <c r="P179">
        <v>1</v>
      </c>
      <c r="Q179">
        <v>0</v>
      </c>
      <c r="R179">
        <v>1</v>
      </c>
      <c r="S179">
        <v>1</v>
      </c>
      <c r="T179">
        <v>0</v>
      </c>
      <c r="U179">
        <v>0</v>
      </c>
      <c r="V179">
        <v>1</v>
      </c>
      <c r="W179" s="9" t="s">
        <v>51</v>
      </c>
      <c r="X179">
        <v>0</v>
      </c>
      <c r="Y179">
        <v>88</v>
      </c>
    </row>
    <row r="180" spans="1:25" x14ac:dyDescent="0.35">
      <c r="A180" s="9" t="s">
        <v>432</v>
      </c>
      <c r="B180" s="9" t="s">
        <v>433</v>
      </c>
      <c r="C180" s="9" t="s">
        <v>134</v>
      </c>
      <c r="D180" s="9" t="s">
        <v>46</v>
      </c>
      <c r="E180" s="9" t="s">
        <v>112</v>
      </c>
      <c r="F180" s="9" t="s">
        <v>113</v>
      </c>
      <c r="G180" s="9" t="s">
        <v>54</v>
      </c>
      <c r="H180" s="9" t="s">
        <v>135</v>
      </c>
      <c r="I180">
        <v>1</v>
      </c>
      <c r="J180">
        <v>1</v>
      </c>
      <c r="K180">
        <v>1</v>
      </c>
      <c r="L180">
        <v>1</v>
      </c>
      <c r="M180">
        <v>0</v>
      </c>
      <c r="N180">
        <v>55</v>
      </c>
      <c r="O180">
        <v>55</v>
      </c>
      <c r="P180">
        <v>0</v>
      </c>
      <c r="Q180">
        <v>0</v>
      </c>
      <c r="R180">
        <v>1</v>
      </c>
      <c r="S180">
        <v>1</v>
      </c>
      <c r="T180">
        <v>1</v>
      </c>
      <c r="U180">
        <v>0</v>
      </c>
      <c r="V180">
        <v>0</v>
      </c>
      <c r="W180" s="9" t="s">
        <v>95</v>
      </c>
      <c r="X180">
        <v>22</v>
      </c>
      <c r="Y180">
        <v>88</v>
      </c>
    </row>
    <row r="181" spans="1:25" x14ac:dyDescent="0.35">
      <c r="A181" s="9" t="s">
        <v>434</v>
      </c>
      <c r="B181" s="9" t="s">
        <v>435</v>
      </c>
      <c r="C181" s="9" t="s">
        <v>68</v>
      </c>
      <c r="D181" s="9" t="s">
        <v>55</v>
      </c>
      <c r="E181" s="9" t="s">
        <v>76</v>
      </c>
      <c r="F181" s="9" t="s">
        <v>77</v>
      </c>
      <c r="G181" s="9" t="s">
        <v>54</v>
      </c>
      <c r="H181" s="9" t="s">
        <v>65</v>
      </c>
      <c r="I181">
        <v>0</v>
      </c>
      <c r="J181">
        <v>3</v>
      </c>
      <c r="K181">
        <v>3</v>
      </c>
      <c r="L181">
        <v>1</v>
      </c>
      <c r="M181">
        <v>0</v>
      </c>
      <c r="N181">
        <v>88</v>
      </c>
      <c r="O181">
        <v>88</v>
      </c>
      <c r="P181">
        <v>0</v>
      </c>
      <c r="Q181">
        <v>0</v>
      </c>
      <c r="R181">
        <v>1</v>
      </c>
      <c r="S181">
        <v>1</v>
      </c>
      <c r="T181">
        <v>0</v>
      </c>
      <c r="U181">
        <v>0</v>
      </c>
      <c r="V181">
        <v>1</v>
      </c>
      <c r="W181" s="9" t="s">
        <v>51</v>
      </c>
      <c r="X181">
        <v>0</v>
      </c>
      <c r="Y181">
        <v>88</v>
      </c>
    </row>
    <row r="182" spans="1:25" x14ac:dyDescent="0.35">
      <c r="A182" s="9" t="s">
        <v>436</v>
      </c>
      <c r="B182" s="9" t="s">
        <v>437</v>
      </c>
      <c r="C182" s="9" t="s">
        <v>54</v>
      </c>
      <c r="D182" s="9" t="s">
        <v>46</v>
      </c>
      <c r="E182" s="9" t="s">
        <v>112</v>
      </c>
      <c r="F182" s="9" t="s">
        <v>113</v>
      </c>
      <c r="G182" s="9" t="s">
        <v>54</v>
      </c>
      <c r="H182" s="9" t="s">
        <v>50</v>
      </c>
      <c r="I182">
        <v>1</v>
      </c>
      <c r="J182">
        <v>1</v>
      </c>
      <c r="K182">
        <v>1</v>
      </c>
      <c r="L182">
        <v>1</v>
      </c>
      <c r="M182">
        <v>0</v>
      </c>
      <c r="N182">
        <v>59</v>
      </c>
      <c r="P182">
        <v>1</v>
      </c>
      <c r="Q182">
        <v>1</v>
      </c>
      <c r="R182">
        <v>1</v>
      </c>
      <c r="S182">
        <v>0</v>
      </c>
      <c r="T182">
        <v>0</v>
      </c>
      <c r="U182">
        <v>0</v>
      </c>
      <c r="V182">
        <v>0</v>
      </c>
      <c r="W182" s="9" t="s">
        <v>58</v>
      </c>
      <c r="X182">
        <v>0</v>
      </c>
      <c r="Y182">
        <v>88</v>
      </c>
    </row>
    <row r="183" spans="1:25" x14ac:dyDescent="0.35">
      <c r="A183" s="9" t="s">
        <v>438</v>
      </c>
      <c r="B183" s="9" t="s">
        <v>439</v>
      </c>
      <c r="C183" s="9" t="s">
        <v>68</v>
      </c>
      <c r="D183" s="9" t="s">
        <v>62</v>
      </c>
      <c r="E183" s="9" t="s">
        <v>47</v>
      </c>
      <c r="F183" s="9" t="s">
        <v>48</v>
      </c>
      <c r="G183" s="9" t="s">
        <v>49</v>
      </c>
      <c r="H183" s="9" t="s">
        <v>65</v>
      </c>
      <c r="I183">
        <v>0</v>
      </c>
      <c r="J183">
        <v>4</v>
      </c>
      <c r="K183">
        <v>4</v>
      </c>
      <c r="L183">
        <v>4</v>
      </c>
      <c r="M183">
        <v>0</v>
      </c>
      <c r="N183">
        <v>88</v>
      </c>
      <c r="O183">
        <v>88</v>
      </c>
      <c r="P183">
        <v>1</v>
      </c>
      <c r="Q183">
        <v>0</v>
      </c>
      <c r="R183">
        <v>1</v>
      </c>
      <c r="S183">
        <v>1</v>
      </c>
      <c r="T183">
        <v>0</v>
      </c>
      <c r="U183">
        <v>0</v>
      </c>
      <c r="V183">
        <v>1</v>
      </c>
      <c r="W183" s="9" t="s">
        <v>51</v>
      </c>
      <c r="X183">
        <v>0</v>
      </c>
      <c r="Y183">
        <v>88</v>
      </c>
    </row>
    <row r="184" spans="1:25" x14ac:dyDescent="0.35">
      <c r="A184" s="9" t="s">
        <v>440</v>
      </c>
      <c r="B184" s="9" t="s">
        <v>441</v>
      </c>
      <c r="C184" s="9" t="s">
        <v>54</v>
      </c>
      <c r="D184" s="9" t="s">
        <v>46</v>
      </c>
      <c r="E184" s="9" t="s">
        <v>56</v>
      </c>
      <c r="F184" s="9" t="s">
        <v>57</v>
      </c>
      <c r="G184" s="9" t="s">
        <v>54</v>
      </c>
      <c r="H184" s="9" t="s">
        <v>50</v>
      </c>
      <c r="I184">
        <v>1</v>
      </c>
      <c r="J184">
        <v>3</v>
      </c>
      <c r="K184">
        <v>3</v>
      </c>
      <c r="L184">
        <v>3</v>
      </c>
      <c r="M184">
        <v>0</v>
      </c>
      <c r="N184">
        <v>65</v>
      </c>
      <c r="O184">
        <v>65</v>
      </c>
      <c r="P184">
        <v>1</v>
      </c>
      <c r="Q184">
        <v>1</v>
      </c>
      <c r="R184">
        <v>1</v>
      </c>
      <c r="S184">
        <v>1</v>
      </c>
      <c r="T184">
        <v>1</v>
      </c>
      <c r="U184">
        <v>0</v>
      </c>
      <c r="V184">
        <v>0</v>
      </c>
      <c r="W184" s="9" t="s">
        <v>95</v>
      </c>
      <c r="X184">
        <v>16</v>
      </c>
      <c r="Y184">
        <v>88</v>
      </c>
    </row>
    <row r="185" spans="1:25" x14ac:dyDescent="0.35">
      <c r="A185" s="9" t="s">
        <v>442</v>
      </c>
      <c r="B185" s="9" t="s">
        <v>443</v>
      </c>
      <c r="C185" s="9" t="s">
        <v>68</v>
      </c>
      <c r="D185" s="9" t="s">
        <v>46</v>
      </c>
      <c r="E185" s="9" t="s">
        <v>47</v>
      </c>
      <c r="F185" s="9" t="s">
        <v>48</v>
      </c>
      <c r="G185" s="9" t="s">
        <v>49</v>
      </c>
      <c r="H185" s="9" t="s">
        <v>65</v>
      </c>
      <c r="I185">
        <v>0</v>
      </c>
      <c r="J185">
        <v>1</v>
      </c>
      <c r="K185">
        <v>1</v>
      </c>
      <c r="L185">
        <v>1</v>
      </c>
      <c r="M185">
        <v>0</v>
      </c>
      <c r="N185">
        <v>88</v>
      </c>
      <c r="O185">
        <v>88</v>
      </c>
      <c r="P185">
        <v>0</v>
      </c>
      <c r="Q185">
        <v>0</v>
      </c>
      <c r="R185">
        <v>1</v>
      </c>
      <c r="S185">
        <v>1</v>
      </c>
      <c r="T185">
        <v>0</v>
      </c>
      <c r="U185">
        <v>0</v>
      </c>
      <c r="V185">
        <v>1</v>
      </c>
      <c r="W185" s="9" t="s">
        <v>51</v>
      </c>
      <c r="X185">
        <v>0</v>
      </c>
      <c r="Y185">
        <v>88</v>
      </c>
    </row>
    <row r="186" spans="1:25" x14ac:dyDescent="0.35">
      <c r="A186" s="9" t="s">
        <v>444</v>
      </c>
      <c r="B186" s="9" t="s">
        <v>445</v>
      </c>
      <c r="C186" s="9" t="s">
        <v>134</v>
      </c>
      <c r="D186" s="9" t="s">
        <v>46</v>
      </c>
      <c r="E186" s="9" t="s">
        <v>69</v>
      </c>
      <c r="F186" s="9" t="s">
        <v>70</v>
      </c>
      <c r="G186" s="9" t="s">
        <v>49</v>
      </c>
      <c r="H186" s="9" t="s">
        <v>135</v>
      </c>
      <c r="I186">
        <v>1</v>
      </c>
      <c r="J186">
        <v>2</v>
      </c>
      <c r="K186">
        <v>2</v>
      </c>
      <c r="L186">
        <v>2</v>
      </c>
      <c r="M186">
        <v>0</v>
      </c>
      <c r="N186">
        <v>88</v>
      </c>
      <c r="P186">
        <v>1</v>
      </c>
      <c r="Q186">
        <v>1</v>
      </c>
      <c r="R186">
        <v>1</v>
      </c>
      <c r="S186">
        <v>0</v>
      </c>
      <c r="T186">
        <v>0</v>
      </c>
      <c r="U186">
        <v>0</v>
      </c>
      <c r="V186">
        <v>0</v>
      </c>
      <c r="W186" s="9" t="s">
        <v>58</v>
      </c>
      <c r="X186">
        <v>0</v>
      </c>
      <c r="Y186">
        <v>88</v>
      </c>
    </row>
    <row r="187" spans="1:25" x14ac:dyDescent="0.35">
      <c r="A187" s="9" t="s">
        <v>446</v>
      </c>
      <c r="B187" s="9" t="s">
        <v>447</v>
      </c>
      <c r="C187" s="9" t="s">
        <v>45</v>
      </c>
      <c r="D187" s="9" t="s">
        <v>46</v>
      </c>
      <c r="E187" s="9" t="s">
        <v>63</v>
      </c>
      <c r="F187" s="9" t="s">
        <v>64</v>
      </c>
      <c r="G187" s="9" t="s">
        <v>49</v>
      </c>
      <c r="H187" s="9" t="s">
        <v>50</v>
      </c>
      <c r="I187">
        <v>0</v>
      </c>
      <c r="J187">
        <v>4</v>
      </c>
      <c r="K187">
        <v>4</v>
      </c>
      <c r="L187">
        <v>4</v>
      </c>
      <c r="M187">
        <v>0</v>
      </c>
      <c r="N187">
        <v>88</v>
      </c>
      <c r="O187">
        <v>88</v>
      </c>
      <c r="P187">
        <v>3</v>
      </c>
      <c r="Q187">
        <v>0</v>
      </c>
      <c r="R187">
        <v>1</v>
      </c>
      <c r="S187">
        <v>1</v>
      </c>
      <c r="T187">
        <v>0</v>
      </c>
      <c r="U187">
        <v>0</v>
      </c>
      <c r="V187">
        <v>1</v>
      </c>
      <c r="W187" s="9" t="s">
        <v>51</v>
      </c>
      <c r="X187">
        <v>0</v>
      </c>
      <c r="Y187">
        <v>88</v>
      </c>
    </row>
    <row r="188" spans="1:25" x14ac:dyDescent="0.35">
      <c r="A188" s="9" t="s">
        <v>448</v>
      </c>
      <c r="B188" s="9" t="s">
        <v>449</v>
      </c>
      <c r="C188" s="9" t="s">
        <v>54</v>
      </c>
      <c r="D188" s="9" t="s">
        <v>46</v>
      </c>
      <c r="E188" s="9" t="s">
        <v>47</v>
      </c>
      <c r="F188" s="9" t="s">
        <v>48</v>
      </c>
      <c r="G188" s="9" t="s">
        <v>49</v>
      </c>
      <c r="H188" s="9" t="s">
        <v>50</v>
      </c>
      <c r="I188">
        <v>1</v>
      </c>
      <c r="J188">
        <v>1</v>
      </c>
      <c r="K188">
        <v>1</v>
      </c>
      <c r="L188">
        <v>1</v>
      </c>
      <c r="M188">
        <v>0</v>
      </c>
      <c r="N188">
        <v>88</v>
      </c>
      <c r="P188">
        <v>1</v>
      </c>
      <c r="Q188">
        <v>0</v>
      </c>
      <c r="R188">
        <v>1</v>
      </c>
      <c r="S188">
        <v>0</v>
      </c>
      <c r="T188">
        <v>0</v>
      </c>
      <c r="U188">
        <v>0</v>
      </c>
      <c r="V188">
        <v>0</v>
      </c>
      <c r="W188" s="9" t="s">
        <v>58</v>
      </c>
      <c r="X188">
        <v>0</v>
      </c>
      <c r="Y188">
        <v>88</v>
      </c>
    </row>
    <row r="189" spans="1:25" x14ac:dyDescent="0.35">
      <c r="A189" s="9" t="s">
        <v>450</v>
      </c>
      <c r="B189" s="9" t="s">
        <v>451</v>
      </c>
      <c r="C189" s="9" t="s">
        <v>68</v>
      </c>
      <c r="D189" s="9" t="s">
        <v>46</v>
      </c>
      <c r="E189" s="9" t="s">
        <v>63</v>
      </c>
      <c r="F189" s="9" t="s">
        <v>64</v>
      </c>
      <c r="G189" s="9" t="s">
        <v>49</v>
      </c>
      <c r="H189" s="9" t="s">
        <v>65</v>
      </c>
      <c r="I189">
        <v>0</v>
      </c>
      <c r="J189">
        <v>4</v>
      </c>
      <c r="K189">
        <v>4</v>
      </c>
      <c r="L189">
        <v>2</v>
      </c>
      <c r="M189">
        <v>1</v>
      </c>
      <c r="N189">
        <v>88</v>
      </c>
      <c r="P189">
        <v>2</v>
      </c>
      <c r="Q189">
        <v>0</v>
      </c>
      <c r="R189">
        <v>1</v>
      </c>
      <c r="S189">
        <v>0</v>
      </c>
      <c r="T189">
        <v>0</v>
      </c>
      <c r="U189">
        <v>0</v>
      </c>
      <c r="V189">
        <v>0</v>
      </c>
      <c r="W189" s="9" t="s">
        <v>58</v>
      </c>
      <c r="X189">
        <v>0</v>
      </c>
      <c r="Y189">
        <v>88</v>
      </c>
    </row>
    <row r="190" spans="1:25" x14ac:dyDescent="0.35">
      <c r="A190" s="9" t="s">
        <v>452</v>
      </c>
      <c r="B190" s="9" t="s">
        <v>453</v>
      </c>
      <c r="C190" s="9" t="s">
        <v>134</v>
      </c>
      <c r="D190" s="9" t="s">
        <v>46</v>
      </c>
      <c r="E190" s="9" t="s">
        <v>56</v>
      </c>
      <c r="F190" s="9" t="s">
        <v>57</v>
      </c>
      <c r="G190" s="9" t="s">
        <v>54</v>
      </c>
      <c r="H190" s="9" t="s">
        <v>135</v>
      </c>
      <c r="I190">
        <v>1</v>
      </c>
      <c r="J190">
        <v>4</v>
      </c>
      <c r="K190">
        <v>4</v>
      </c>
      <c r="L190">
        <v>4</v>
      </c>
      <c r="M190">
        <v>0</v>
      </c>
      <c r="N190">
        <v>69</v>
      </c>
      <c r="O190">
        <v>60</v>
      </c>
      <c r="P190">
        <v>3</v>
      </c>
      <c r="Q190">
        <v>2</v>
      </c>
      <c r="R190">
        <v>1</v>
      </c>
      <c r="S190">
        <v>1</v>
      </c>
      <c r="T190">
        <v>1</v>
      </c>
      <c r="U190">
        <v>0</v>
      </c>
      <c r="V190">
        <v>0</v>
      </c>
      <c r="W190" s="9" t="s">
        <v>95</v>
      </c>
      <c r="X190">
        <v>20</v>
      </c>
      <c r="Y190">
        <v>88</v>
      </c>
    </row>
    <row r="191" spans="1:25" x14ac:dyDescent="0.35">
      <c r="A191" s="9" t="s">
        <v>454</v>
      </c>
      <c r="B191" s="9" t="s">
        <v>455</v>
      </c>
      <c r="C191" s="9" t="s">
        <v>45</v>
      </c>
      <c r="D191" s="9" t="s">
        <v>46</v>
      </c>
      <c r="E191" s="9" t="s">
        <v>93</v>
      </c>
      <c r="F191" s="9" t="s">
        <v>94</v>
      </c>
      <c r="G191" s="9" t="s">
        <v>82</v>
      </c>
      <c r="H191" s="9" t="s">
        <v>50</v>
      </c>
      <c r="I191">
        <v>0</v>
      </c>
      <c r="J191">
        <v>1</v>
      </c>
      <c r="K191">
        <v>1</v>
      </c>
      <c r="L191">
        <v>1</v>
      </c>
      <c r="M191">
        <v>0</v>
      </c>
      <c r="N191">
        <v>88</v>
      </c>
      <c r="P191">
        <v>1</v>
      </c>
      <c r="Q191">
        <v>0</v>
      </c>
      <c r="R191">
        <v>1</v>
      </c>
      <c r="S191">
        <v>0</v>
      </c>
      <c r="T191">
        <v>0</v>
      </c>
      <c r="U191">
        <v>0</v>
      </c>
      <c r="V191">
        <v>0</v>
      </c>
      <c r="W191" s="9" t="s">
        <v>58</v>
      </c>
      <c r="X191">
        <v>0</v>
      </c>
      <c r="Y191">
        <v>88</v>
      </c>
    </row>
    <row r="192" spans="1:25" x14ac:dyDescent="0.35">
      <c r="A192" s="9" t="s">
        <v>456</v>
      </c>
      <c r="B192" s="9" t="s">
        <v>457</v>
      </c>
      <c r="C192" s="9" t="s">
        <v>68</v>
      </c>
      <c r="D192" s="9" t="s">
        <v>46</v>
      </c>
      <c r="E192" s="9" t="s">
        <v>63</v>
      </c>
      <c r="F192" s="9" t="s">
        <v>64</v>
      </c>
      <c r="G192" s="9" t="s">
        <v>49</v>
      </c>
      <c r="H192" s="9" t="s">
        <v>65</v>
      </c>
      <c r="I192">
        <v>0</v>
      </c>
      <c r="J192">
        <v>4</v>
      </c>
      <c r="K192">
        <v>4</v>
      </c>
      <c r="L192">
        <v>3</v>
      </c>
      <c r="M192">
        <v>0</v>
      </c>
      <c r="N192">
        <v>88</v>
      </c>
      <c r="O192">
        <v>88</v>
      </c>
      <c r="P192">
        <v>0</v>
      </c>
      <c r="Q192">
        <v>0</v>
      </c>
      <c r="R192">
        <v>1</v>
      </c>
      <c r="S192">
        <v>1</v>
      </c>
      <c r="T192">
        <v>0</v>
      </c>
      <c r="U192">
        <v>0</v>
      </c>
      <c r="V192">
        <v>1</v>
      </c>
      <c r="W192" s="9" t="s">
        <v>51</v>
      </c>
      <c r="X192">
        <v>0</v>
      </c>
      <c r="Y192">
        <v>88</v>
      </c>
    </row>
    <row r="193" spans="1:25" x14ac:dyDescent="0.35">
      <c r="A193" s="9" t="s">
        <v>458</v>
      </c>
      <c r="B193" s="9" t="s">
        <v>459</v>
      </c>
      <c r="C193" s="9" t="s">
        <v>61</v>
      </c>
      <c r="D193" s="9" t="s">
        <v>55</v>
      </c>
      <c r="E193" s="9" t="s">
        <v>93</v>
      </c>
      <c r="F193" s="9" t="s">
        <v>94</v>
      </c>
      <c r="G193" s="9" t="s">
        <v>82</v>
      </c>
      <c r="H193" s="9" t="s">
        <v>65</v>
      </c>
      <c r="I193">
        <v>0</v>
      </c>
      <c r="J193">
        <v>2</v>
      </c>
      <c r="K193">
        <v>2</v>
      </c>
      <c r="L193">
        <v>2</v>
      </c>
      <c r="M193">
        <v>0</v>
      </c>
      <c r="N193">
        <v>88</v>
      </c>
      <c r="O193">
        <v>88</v>
      </c>
      <c r="P193">
        <v>0</v>
      </c>
      <c r="Q193">
        <v>0</v>
      </c>
      <c r="R193">
        <v>1</v>
      </c>
      <c r="S193">
        <v>1</v>
      </c>
      <c r="T193">
        <v>0</v>
      </c>
      <c r="U193">
        <v>0</v>
      </c>
      <c r="V193">
        <v>1</v>
      </c>
      <c r="W193" s="9" t="s">
        <v>51</v>
      </c>
      <c r="X193">
        <v>0</v>
      </c>
      <c r="Y193">
        <v>88</v>
      </c>
    </row>
    <row r="194" spans="1:25" x14ac:dyDescent="0.35">
      <c r="A194" s="9" t="s">
        <v>460</v>
      </c>
      <c r="B194" s="9" t="s">
        <v>461</v>
      </c>
      <c r="C194" s="9" t="s">
        <v>54</v>
      </c>
      <c r="D194" s="9" t="s">
        <v>46</v>
      </c>
      <c r="E194" s="9" t="s">
        <v>112</v>
      </c>
      <c r="F194" s="9" t="s">
        <v>113</v>
      </c>
      <c r="G194" s="9" t="s">
        <v>54</v>
      </c>
      <c r="H194" s="9" t="s">
        <v>50</v>
      </c>
      <c r="I194">
        <v>1</v>
      </c>
      <c r="J194">
        <v>4</v>
      </c>
      <c r="K194">
        <v>4</v>
      </c>
      <c r="L194">
        <v>4</v>
      </c>
      <c r="M194">
        <v>0</v>
      </c>
      <c r="N194">
        <v>88</v>
      </c>
      <c r="O194">
        <v>88</v>
      </c>
      <c r="P194">
        <v>0</v>
      </c>
      <c r="Q194">
        <v>0</v>
      </c>
      <c r="R194">
        <v>1</v>
      </c>
      <c r="S194">
        <v>1</v>
      </c>
      <c r="T194">
        <v>0</v>
      </c>
      <c r="U194">
        <v>0</v>
      </c>
      <c r="V194">
        <v>1</v>
      </c>
      <c r="W194" s="9" t="s">
        <v>51</v>
      </c>
      <c r="X194">
        <v>0</v>
      </c>
      <c r="Y194">
        <v>88</v>
      </c>
    </row>
    <row r="195" spans="1:25" x14ac:dyDescent="0.35">
      <c r="A195" s="9" t="s">
        <v>462</v>
      </c>
      <c r="B195" s="9" t="s">
        <v>463</v>
      </c>
      <c r="C195" s="9" t="s">
        <v>68</v>
      </c>
      <c r="D195" s="9" t="s">
        <v>55</v>
      </c>
      <c r="E195" s="9" t="s">
        <v>63</v>
      </c>
      <c r="F195" s="9" t="s">
        <v>64</v>
      </c>
      <c r="G195" s="9" t="s">
        <v>49</v>
      </c>
      <c r="H195" s="9" t="s">
        <v>65</v>
      </c>
      <c r="I195">
        <v>0</v>
      </c>
      <c r="J195">
        <v>4</v>
      </c>
      <c r="K195">
        <v>4</v>
      </c>
      <c r="L195">
        <v>3</v>
      </c>
      <c r="M195">
        <v>0</v>
      </c>
      <c r="N195">
        <v>88</v>
      </c>
      <c r="O195">
        <v>88</v>
      </c>
      <c r="P195">
        <v>2</v>
      </c>
      <c r="Q195">
        <v>0</v>
      </c>
      <c r="R195">
        <v>1</v>
      </c>
      <c r="S195">
        <v>1</v>
      </c>
      <c r="T195">
        <v>0</v>
      </c>
      <c r="U195">
        <v>0</v>
      </c>
      <c r="V195">
        <v>1</v>
      </c>
      <c r="W195" s="9" t="s">
        <v>51</v>
      </c>
      <c r="X195">
        <v>0</v>
      </c>
      <c r="Y195">
        <v>88</v>
      </c>
    </row>
    <row r="196" spans="1:25" x14ac:dyDescent="0.35">
      <c r="A196" s="9" t="s">
        <v>464</v>
      </c>
      <c r="B196" s="9" t="s">
        <v>465</v>
      </c>
      <c r="C196" s="9" t="s">
        <v>45</v>
      </c>
      <c r="D196" s="9" t="s">
        <v>55</v>
      </c>
      <c r="E196" s="9" t="s">
        <v>69</v>
      </c>
      <c r="F196" s="9" t="s">
        <v>70</v>
      </c>
      <c r="G196" s="9" t="s">
        <v>49</v>
      </c>
      <c r="H196" s="9" t="s">
        <v>50</v>
      </c>
      <c r="I196">
        <v>0</v>
      </c>
      <c r="J196">
        <v>2</v>
      </c>
      <c r="K196">
        <v>2</v>
      </c>
      <c r="L196">
        <v>1</v>
      </c>
      <c r="M196">
        <v>1</v>
      </c>
      <c r="N196">
        <v>88</v>
      </c>
      <c r="O196">
        <v>88</v>
      </c>
      <c r="P196">
        <v>0</v>
      </c>
      <c r="Q196">
        <v>0</v>
      </c>
      <c r="R196">
        <v>1</v>
      </c>
      <c r="S196">
        <v>1</v>
      </c>
      <c r="T196">
        <v>0</v>
      </c>
      <c r="U196">
        <v>0</v>
      </c>
      <c r="V196">
        <v>1</v>
      </c>
      <c r="W196" s="9" t="s">
        <v>51</v>
      </c>
      <c r="X196">
        <v>0</v>
      </c>
      <c r="Y196">
        <v>88</v>
      </c>
    </row>
    <row r="197" spans="1:25" x14ac:dyDescent="0.35">
      <c r="A197" s="9" t="s">
        <v>466</v>
      </c>
      <c r="B197" s="9" t="s">
        <v>467</v>
      </c>
      <c r="C197" s="9" t="s">
        <v>45</v>
      </c>
      <c r="D197" s="9" t="s">
        <v>55</v>
      </c>
      <c r="E197" s="9" t="s">
        <v>63</v>
      </c>
      <c r="F197" s="9" t="s">
        <v>64</v>
      </c>
      <c r="G197" s="9" t="s">
        <v>49</v>
      </c>
      <c r="H197" s="9" t="s">
        <v>50</v>
      </c>
      <c r="I197">
        <v>0</v>
      </c>
      <c r="J197">
        <v>3</v>
      </c>
      <c r="K197">
        <v>3</v>
      </c>
      <c r="L197">
        <v>3</v>
      </c>
      <c r="M197">
        <v>0</v>
      </c>
      <c r="N197">
        <v>88</v>
      </c>
      <c r="O197">
        <v>88</v>
      </c>
      <c r="P197">
        <v>2</v>
      </c>
      <c r="Q197">
        <v>0</v>
      </c>
      <c r="R197">
        <v>1</v>
      </c>
      <c r="S197">
        <v>1</v>
      </c>
      <c r="T197">
        <v>0</v>
      </c>
      <c r="U197">
        <v>0</v>
      </c>
      <c r="V197">
        <v>1</v>
      </c>
      <c r="W197" s="9" t="s">
        <v>51</v>
      </c>
      <c r="X197">
        <v>0</v>
      </c>
      <c r="Y197">
        <v>88</v>
      </c>
    </row>
    <row r="198" spans="1:25" x14ac:dyDescent="0.35">
      <c r="A198" s="9" t="s">
        <v>468</v>
      </c>
      <c r="B198" s="9" t="s">
        <v>469</v>
      </c>
      <c r="C198" s="9" t="s">
        <v>61</v>
      </c>
      <c r="D198" s="9" t="s">
        <v>55</v>
      </c>
      <c r="E198" s="9" t="s">
        <v>93</v>
      </c>
      <c r="F198" s="9" t="s">
        <v>94</v>
      </c>
      <c r="G198" s="9" t="s">
        <v>82</v>
      </c>
      <c r="H198" s="9" t="s">
        <v>65</v>
      </c>
      <c r="I198">
        <v>0</v>
      </c>
      <c r="J198">
        <v>3</v>
      </c>
      <c r="K198">
        <v>3</v>
      </c>
      <c r="L198">
        <v>3</v>
      </c>
      <c r="M198">
        <v>0</v>
      </c>
      <c r="N198">
        <v>88</v>
      </c>
      <c r="O198">
        <v>88</v>
      </c>
      <c r="P198">
        <v>0</v>
      </c>
      <c r="Q198">
        <v>0</v>
      </c>
      <c r="R198">
        <v>1</v>
      </c>
      <c r="S198">
        <v>1</v>
      </c>
      <c r="T198">
        <v>0</v>
      </c>
      <c r="U198">
        <v>0</v>
      </c>
      <c r="V198">
        <v>1</v>
      </c>
      <c r="W198" s="9" t="s">
        <v>51</v>
      </c>
      <c r="X198">
        <v>0</v>
      </c>
      <c r="Y198">
        <v>88</v>
      </c>
    </row>
    <row r="199" spans="1:25" x14ac:dyDescent="0.35">
      <c r="A199" s="9" t="s">
        <v>470</v>
      </c>
      <c r="B199" s="9" t="s">
        <v>471</v>
      </c>
      <c r="C199" s="9" t="s">
        <v>61</v>
      </c>
      <c r="D199" s="9" t="s">
        <v>46</v>
      </c>
      <c r="E199" s="9" t="s">
        <v>112</v>
      </c>
      <c r="F199" s="9" t="s">
        <v>113</v>
      </c>
      <c r="G199" s="9" t="s">
        <v>54</v>
      </c>
      <c r="H199" s="9" t="s">
        <v>65</v>
      </c>
      <c r="I199">
        <v>0</v>
      </c>
      <c r="J199">
        <v>2</v>
      </c>
      <c r="K199">
        <v>2</v>
      </c>
      <c r="L199">
        <v>2</v>
      </c>
      <c r="M199">
        <v>0</v>
      </c>
      <c r="N199">
        <v>67</v>
      </c>
      <c r="P199">
        <v>2</v>
      </c>
      <c r="Q199">
        <v>0</v>
      </c>
      <c r="R199">
        <v>1</v>
      </c>
      <c r="S199">
        <v>0</v>
      </c>
      <c r="T199">
        <v>0</v>
      </c>
      <c r="U199">
        <v>0</v>
      </c>
      <c r="V199">
        <v>0</v>
      </c>
      <c r="W199" s="9" t="s">
        <v>58</v>
      </c>
      <c r="X199">
        <v>0</v>
      </c>
      <c r="Y199">
        <v>88</v>
      </c>
    </row>
    <row r="200" spans="1:25" x14ac:dyDescent="0.35">
      <c r="A200" s="9" t="s">
        <v>472</v>
      </c>
      <c r="B200" s="9" t="s">
        <v>473</v>
      </c>
      <c r="C200" s="9" t="s">
        <v>68</v>
      </c>
      <c r="D200" s="9" t="s">
        <v>55</v>
      </c>
      <c r="E200" s="9" t="s">
        <v>63</v>
      </c>
      <c r="F200" s="9" t="s">
        <v>64</v>
      </c>
      <c r="G200" s="9" t="s">
        <v>49</v>
      </c>
      <c r="H200" s="9" t="s">
        <v>65</v>
      </c>
      <c r="I200">
        <v>0</v>
      </c>
      <c r="J200">
        <v>2</v>
      </c>
      <c r="K200">
        <v>2</v>
      </c>
      <c r="L200">
        <v>2</v>
      </c>
      <c r="M200">
        <v>0</v>
      </c>
      <c r="N200">
        <v>88</v>
      </c>
      <c r="O200">
        <v>88</v>
      </c>
      <c r="P200">
        <v>1</v>
      </c>
      <c r="Q200">
        <v>0</v>
      </c>
      <c r="R200">
        <v>1</v>
      </c>
      <c r="S200">
        <v>1</v>
      </c>
      <c r="T200">
        <v>0</v>
      </c>
      <c r="U200">
        <v>0</v>
      </c>
      <c r="V200">
        <v>1</v>
      </c>
      <c r="W200" s="9" t="s">
        <v>51</v>
      </c>
      <c r="X200">
        <v>0</v>
      </c>
      <c r="Y200">
        <v>88</v>
      </c>
    </row>
    <row r="201" spans="1:25" x14ac:dyDescent="0.35">
      <c r="A201" s="9" t="s">
        <v>474</v>
      </c>
      <c r="B201" s="9" t="s">
        <v>475</v>
      </c>
      <c r="C201" s="9" t="s">
        <v>54</v>
      </c>
      <c r="D201" s="9" t="s">
        <v>46</v>
      </c>
      <c r="E201" s="9" t="s">
        <v>112</v>
      </c>
      <c r="F201" s="9" t="s">
        <v>113</v>
      </c>
      <c r="G201" s="9" t="s">
        <v>54</v>
      </c>
      <c r="H201" s="9" t="s">
        <v>50</v>
      </c>
      <c r="I201">
        <v>1</v>
      </c>
      <c r="J201">
        <v>1</v>
      </c>
      <c r="K201">
        <v>1</v>
      </c>
      <c r="L201">
        <v>1</v>
      </c>
      <c r="M201">
        <v>0</v>
      </c>
      <c r="N201">
        <v>88</v>
      </c>
      <c r="O201">
        <v>88</v>
      </c>
      <c r="P201">
        <v>0</v>
      </c>
      <c r="Q201">
        <v>0</v>
      </c>
      <c r="R201">
        <v>1</v>
      </c>
      <c r="S201">
        <v>1</v>
      </c>
      <c r="T201">
        <v>0</v>
      </c>
      <c r="U201">
        <v>0</v>
      </c>
      <c r="V201">
        <v>1</v>
      </c>
      <c r="W201" s="9" t="s">
        <v>51</v>
      </c>
      <c r="X201">
        <v>0</v>
      </c>
      <c r="Y201">
        <v>88</v>
      </c>
    </row>
    <row r="202" spans="1:25" x14ac:dyDescent="0.35">
      <c r="A202" s="9" t="s">
        <v>476</v>
      </c>
      <c r="B202" s="9" t="s">
        <v>477</v>
      </c>
      <c r="C202" s="9" t="s">
        <v>61</v>
      </c>
      <c r="D202" s="9" t="s">
        <v>46</v>
      </c>
      <c r="E202" s="9" t="s">
        <v>56</v>
      </c>
      <c r="F202" s="9" t="s">
        <v>57</v>
      </c>
      <c r="G202" s="9" t="s">
        <v>54</v>
      </c>
      <c r="H202" s="9" t="s">
        <v>65</v>
      </c>
      <c r="I202">
        <v>0</v>
      </c>
      <c r="J202">
        <v>2</v>
      </c>
      <c r="K202">
        <v>2</v>
      </c>
      <c r="L202">
        <v>0</v>
      </c>
      <c r="M202">
        <v>0</v>
      </c>
      <c r="P202">
        <v>0</v>
      </c>
      <c r="Q202">
        <v>0</v>
      </c>
      <c r="R202">
        <v>0</v>
      </c>
      <c r="S202">
        <v>0</v>
      </c>
      <c r="T202">
        <v>0</v>
      </c>
      <c r="U202">
        <v>0</v>
      </c>
      <c r="V202">
        <v>0</v>
      </c>
      <c r="W202" s="9" t="s">
        <v>73</v>
      </c>
      <c r="X202">
        <v>0</v>
      </c>
      <c r="Y202">
        <v>88</v>
      </c>
    </row>
    <row r="203" spans="1:25" x14ac:dyDescent="0.35">
      <c r="A203" s="9" t="s">
        <v>478</v>
      </c>
      <c r="B203" s="9" t="s">
        <v>479</v>
      </c>
      <c r="C203" s="9" t="s">
        <v>45</v>
      </c>
      <c r="D203" s="9" t="s">
        <v>55</v>
      </c>
      <c r="E203" s="9" t="s">
        <v>93</v>
      </c>
      <c r="F203" s="9" t="s">
        <v>94</v>
      </c>
      <c r="G203" s="9" t="s">
        <v>82</v>
      </c>
      <c r="H203" s="9" t="s">
        <v>50</v>
      </c>
      <c r="I203">
        <v>0</v>
      </c>
      <c r="J203">
        <v>2</v>
      </c>
      <c r="K203">
        <v>2</v>
      </c>
      <c r="L203">
        <v>2</v>
      </c>
      <c r="M203">
        <v>0</v>
      </c>
      <c r="N203">
        <v>88</v>
      </c>
      <c r="P203">
        <v>2</v>
      </c>
      <c r="Q203">
        <v>0</v>
      </c>
      <c r="R203">
        <v>1</v>
      </c>
      <c r="S203">
        <v>0</v>
      </c>
      <c r="T203">
        <v>0</v>
      </c>
      <c r="U203">
        <v>0</v>
      </c>
      <c r="V203">
        <v>0</v>
      </c>
      <c r="W203" s="9" t="s">
        <v>58</v>
      </c>
      <c r="X203">
        <v>0</v>
      </c>
      <c r="Y203">
        <v>88</v>
      </c>
    </row>
    <row r="204" spans="1:25" x14ac:dyDescent="0.35">
      <c r="A204" s="9" t="s">
        <v>480</v>
      </c>
      <c r="B204" s="9" t="s">
        <v>481</v>
      </c>
      <c r="C204" s="9" t="s">
        <v>61</v>
      </c>
      <c r="D204" s="9" t="s">
        <v>55</v>
      </c>
      <c r="E204" s="9" t="s">
        <v>47</v>
      </c>
      <c r="F204" s="9" t="s">
        <v>48</v>
      </c>
      <c r="G204" s="9" t="s">
        <v>49</v>
      </c>
      <c r="H204" s="9" t="s">
        <v>65</v>
      </c>
      <c r="I204">
        <v>0</v>
      </c>
      <c r="J204">
        <v>2</v>
      </c>
      <c r="K204">
        <v>2</v>
      </c>
      <c r="L204">
        <v>2</v>
      </c>
      <c r="M204">
        <v>0</v>
      </c>
      <c r="N204">
        <v>88</v>
      </c>
      <c r="O204">
        <v>88</v>
      </c>
      <c r="P204">
        <v>1</v>
      </c>
      <c r="Q204">
        <v>0</v>
      </c>
      <c r="R204">
        <v>1</v>
      </c>
      <c r="S204">
        <v>1</v>
      </c>
      <c r="T204">
        <v>0</v>
      </c>
      <c r="U204">
        <v>0</v>
      </c>
      <c r="V204">
        <v>1</v>
      </c>
      <c r="W204" s="9" t="s">
        <v>51</v>
      </c>
      <c r="X204">
        <v>0</v>
      </c>
      <c r="Y204">
        <v>88</v>
      </c>
    </row>
    <row r="205" spans="1:25" x14ac:dyDescent="0.35">
      <c r="A205" s="9" t="s">
        <v>482</v>
      </c>
      <c r="B205" s="9" t="s">
        <v>483</v>
      </c>
      <c r="C205" s="9" t="s">
        <v>68</v>
      </c>
      <c r="D205" s="9" t="s">
        <v>62</v>
      </c>
      <c r="E205" s="9" t="s">
        <v>80</v>
      </c>
      <c r="F205" s="9" t="s">
        <v>81</v>
      </c>
      <c r="G205" s="9" t="s">
        <v>82</v>
      </c>
      <c r="H205" s="9" t="s">
        <v>65</v>
      </c>
      <c r="I205">
        <v>0</v>
      </c>
      <c r="J205">
        <v>2</v>
      </c>
      <c r="K205">
        <v>2</v>
      </c>
      <c r="L205">
        <v>2</v>
      </c>
      <c r="M205">
        <v>0</v>
      </c>
      <c r="N205">
        <v>88</v>
      </c>
      <c r="O205">
        <v>88</v>
      </c>
      <c r="P205">
        <v>1</v>
      </c>
      <c r="Q205">
        <v>0</v>
      </c>
      <c r="R205">
        <v>1</v>
      </c>
      <c r="S205">
        <v>1</v>
      </c>
      <c r="T205">
        <v>0</v>
      </c>
      <c r="U205">
        <v>0</v>
      </c>
      <c r="V205">
        <v>1</v>
      </c>
      <c r="W205" s="9" t="s">
        <v>51</v>
      </c>
      <c r="X205">
        <v>0</v>
      </c>
      <c r="Y205">
        <v>88</v>
      </c>
    </row>
    <row r="206" spans="1:25" x14ac:dyDescent="0.35">
      <c r="A206" s="9" t="s">
        <v>484</v>
      </c>
      <c r="B206" s="9" t="s">
        <v>485</v>
      </c>
      <c r="C206" s="9" t="s">
        <v>68</v>
      </c>
      <c r="D206" s="9" t="s">
        <v>62</v>
      </c>
      <c r="E206" s="9" t="s">
        <v>63</v>
      </c>
      <c r="F206" s="9" t="s">
        <v>64</v>
      </c>
      <c r="G206" s="9" t="s">
        <v>49</v>
      </c>
      <c r="H206" s="9" t="s">
        <v>65</v>
      </c>
      <c r="I206">
        <v>0</v>
      </c>
      <c r="J206">
        <v>4</v>
      </c>
      <c r="K206">
        <v>4</v>
      </c>
      <c r="L206">
        <v>4</v>
      </c>
      <c r="M206">
        <v>0</v>
      </c>
      <c r="N206">
        <v>88</v>
      </c>
      <c r="O206">
        <v>88</v>
      </c>
      <c r="P206">
        <v>1</v>
      </c>
      <c r="Q206">
        <v>0</v>
      </c>
      <c r="R206">
        <v>1</v>
      </c>
      <c r="S206">
        <v>1</v>
      </c>
      <c r="T206">
        <v>0</v>
      </c>
      <c r="U206">
        <v>0</v>
      </c>
      <c r="V206">
        <v>1</v>
      </c>
      <c r="W206" s="9" t="s">
        <v>51</v>
      </c>
      <c r="X206">
        <v>0</v>
      </c>
      <c r="Y206">
        <v>88</v>
      </c>
    </row>
    <row r="207" spans="1:25" x14ac:dyDescent="0.35">
      <c r="A207" s="9" t="s">
        <v>486</v>
      </c>
      <c r="B207" s="9" t="s">
        <v>487</v>
      </c>
      <c r="C207" s="9" t="s">
        <v>61</v>
      </c>
      <c r="D207" s="9" t="s">
        <v>62</v>
      </c>
      <c r="E207" s="9" t="s">
        <v>47</v>
      </c>
      <c r="F207" s="9" t="s">
        <v>48</v>
      </c>
      <c r="G207" s="9" t="s">
        <v>49</v>
      </c>
      <c r="H207" s="9" t="s">
        <v>65</v>
      </c>
      <c r="I207">
        <v>0</v>
      </c>
      <c r="J207">
        <v>4</v>
      </c>
      <c r="K207">
        <v>4</v>
      </c>
      <c r="L207">
        <v>4</v>
      </c>
      <c r="M207">
        <v>0</v>
      </c>
      <c r="N207">
        <v>88</v>
      </c>
      <c r="O207">
        <v>49</v>
      </c>
      <c r="P207">
        <v>1</v>
      </c>
      <c r="Q207">
        <v>0</v>
      </c>
      <c r="R207">
        <v>1</v>
      </c>
      <c r="S207">
        <v>1</v>
      </c>
      <c r="T207">
        <v>1</v>
      </c>
      <c r="U207">
        <v>0</v>
      </c>
      <c r="V207">
        <v>0</v>
      </c>
      <c r="W207" s="9" t="s">
        <v>95</v>
      </c>
      <c r="X207">
        <v>6</v>
      </c>
      <c r="Y207">
        <v>88</v>
      </c>
    </row>
    <row r="208" spans="1:25" x14ac:dyDescent="0.35">
      <c r="A208" s="9" t="s">
        <v>488</v>
      </c>
      <c r="B208" s="9" t="s">
        <v>489</v>
      </c>
      <c r="C208" s="9" t="s">
        <v>54</v>
      </c>
      <c r="D208" s="9" t="s">
        <v>46</v>
      </c>
      <c r="E208" s="9" t="s">
        <v>56</v>
      </c>
      <c r="F208" s="9" t="s">
        <v>57</v>
      </c>
      <c r="G208" s="9" t="s">
        <v>54</v>
      </c>
      <c r="H208" s="9" t="s">
        <v>50</v>
      </c>
      <c r="I208">
        <v>1</v>
      </c>
      <c r="J208">
        <v>1</v>
      </c>
      <c r="K208">
        <v>1</v>
      </c>
      <c r="L208">
        <v>1</v>
      </c>
      <c r="M208">
        <v>0</v>
      </c>
      <c r="N208">
        <v>40</v>
      </c>
      <c r="O208">
        <v>40</v>
      </c>
      <c r="P208">
        <v>0</v>
      </c>
      <c r="Q208">
        <v>0</v>
      </c>
      <c r="R208">
        <v>1</v>
      </c>
      <c r="S208">
        <v>1</v>
      </c>
      <c r="T208">
        <v>1</v>
      </c>
      <c r="U208">
        <v>0</v>
      </c>
      <c r="V208">
        <v>0</v>
      </c>
      <c r="W208" s="9" t="s">
        <v>95</v>
      </c>
      <c r="X208">
        <v>25</v>
      </c>
      <c r="Y208">
        <v>88</v>
      </c>
    </row>
    <row r="209" spans="1:25" x14ac:dyDescent="0.35">
      <c r="A209" s="9" t="s">
        <v>490</v>
      </c>
      <c r="B209" s="9" t="s">
        <v>491</v>
      </c>
      <c r="C209" s="9" t="s">
        <v>61</v>
      </c>
      <c r="D209" s="9" t="s">
        <v>46</v>
      </c>
      <c r="E209" s="9" t="s">
        <v>69</v>
      </c>
      <c r="F209" s="9" t="s">
        <v>70</v>
      </c>
      <c r="G209" s="9" t="s">
        <v>49</v>
      </c>
      <c r="H209" s="9" t="s">
        <v>65</v>
      </c>
      <c r="I209">
        <v>0</v>
      </c>
      <c r="J209">
        <v>1</v>
      </c>
      <c r="K209">
        <v>1</v>
      </c>
      <c r="L209">
        <v>1</v>
      </c>
      <c r="M209">
        <v>0</v>
      </c>
      <c r="N209">
        <v>88</v>
      </c>
      <c r="P209">
        <v>1</v>
      </c>
      <c r="Q209">
        <v>0</v>
      </c>
      <c r="R209">
        <v>1</v>
      </c>
      <c r="S209">
        <v>0</v>
      </c>
      <c r="T209">
        <v>0</v>
      </c>
      <c r="U209">
        <v>0</v>
      </c>
      <c r="V209">
        <v>0</v>
      </c>
      <c r="W209" s="9" t="s">
        <v>58</v>
      </c>
      <c r="X209">
        <v>0</v>
      </c>
      <c r="Y209">
        <v>88</v>
      </c>
    </row>
    <row r="210" spans="1:25" x14ac:dyDescent="0.35">
      <c r="A210" s="9" t="s">
        <v>492</v>
      </c>
      <c r="B210" s="9" t="s">
        <v>493</v>
      </c>
      <c r="C210" s="9" t="s">
        <v>68</v>
      </c>
      <c r="D210" s="9" t="s">
        <v>46</v>
      </c>
      <c r="E210" s="9" t="s">
        <v>80</v>
      </c>
      <c r="F210" s="9" t="s">
        <v>81</v>
      </c>
      <c r="G210" s="9" t="s">
        <v>82</v>
      </c>
      <c r="H210" s="9" t="s">
        <v>65</v>
      </c>
      <c r="I210">
        <v>0</v>
      </c>
      <c r="J210">
        <v>3</v>
      </c>
      <c r="K210">
        <v>3</v>
      </c>
      <c r="L210">
        <v>3</v>
      </c>
      <c r="M210">
        <v>0</v>
      </c>
      <c r="N210">
        <v>88</v>
      </c>
      <c r="O210">
        <v>88</v>
      </c>
      <c r="P210">
        <v>2</v>
      </c>
      <c r="Q210">
        <v>0</v>
      </c>
      <c r="R210">
        <v>1</v>
      </c>
      <c r="S210">
        <v>1</v>
      </c>
      <c r="T210">
        <v>0</v>
      </c>
      <c r="U210">
        <v>0</v>
      </c>
      <c r="V210">
        <v>1</v>
      </c>
      <c r="W210" s="9" t="s">
        <v>51</v>
      </c>
      <c r="X210">
        <v>0</v>
      </c>
      <c r="Y210">
        <v>88</v>
      </c>
    </row>
    <row r="211" spans="1:25" x14ac:dyDescent="0.35">
      <c r="A211" s="9" t="s">
        <v>494</v>
      </c>
      <c r="B211" s="9" t="s">
        <v>495</v>
      </c>
      <c r="C211" s="9" t="s">
        <v>45</v>
      </c>
      <c r="D211" s="9" t="s">
        <v>62</v>
      </c>
      <c r="E211" s="9" t="s">
        <v>63</v>
      </c>
      <c r="F211" s="9" t="s">
        <v>64</v>
      </c>
      <c r="G211" s="9" t="s">
        <v>49</v>
      </c>
      <c r="H211" s="9" t="s">
        <v>50</v>
      </c>
      <c r="I211">
        <v>0</v>
      </c>
      <c r="J211">
        <v>2</v>
      </c>
      <c r="K211">
        <v>2</v>
      </c>
      <c r="L211">
        <v>2</v>
      </c>
      <c r="M211">
        <v>0</v>
      </c>
      <c r="N211">
        <v>88</v>
      </c>
      <c r="P211">
        <v>2</v>
      </c>
      <c r="Q211">
        <v>0</v>
      </c>
      <c r="R211">
        <v>1</v>
      </c>
      <c r="S211">
        <v>0</v>
      </c>
      <c r="T211">
        <v>0</v>
      </c>
      <c r="U211">
        <v>0</v>
      </c>
      <c r="V211">
        <v>0</v>
      </c>
      <c r="W211" s="9" t="s">
        <v>58</v>
      </c>
      <c r="X211">
        <v>0</v>
      </c>
      <c r="Y211">
        <v>88</v>
      </c>
    </row>
    <row r="212" spans="1:25" x14ac:dyDescent="0.35">
      <c r="A212" s="9" t="s">
        <v>496</v>
      </c>
      <c r="B212" s="9" t="s">
        <v>497</v>
      </c>
      <c r="C212" s="9" t="s">
        <v>54</v>
      </c>
      <c r="D212" s="9" t="s">
        <v>46</v>
      </c>
      <c r="E212" s="9" t="s">
        <v>47</v>
      </c>
      <c r="F212" s="9" t="s">
        <v>48</v>
      </c>
      <c r="G212" s="9" t="s">
        <v>49</v>
      </c>
      <c r="H212" s="9" t="s">
        <v>50</v>
      </c>
      <c r="I212">
        <v>1</v>
      </c>
      <c r="J212">
        <v>3</v>
      </c>
      <c r="K212">
        <v>3</v>
      </c>
      <c r="L212">
        <v>3</v>
      </c>
      <c r="M212">
        <v>0</v>
      </c>
      <c r="N212">
        <v>88</v>
      </c>
      <c r="O212">
        <v>88</v>
      </c>
      <c r="P212">
        <v>0</v>
      </c>
      <c r="Q212">
        <v>0</v>
      </c>
      <c r="R212">
        <v>1</v>
      </c>
      <c r="S212">
        <v>1</v>
      </c>
      <c r="T212">
        <v>0</v>
      </c>
      <c r="U212">
        <v>0</v>
      </c>
      <c r="V212">
        <v>1</v>
      </c>
      <c r="W212" s="9" t="s">
        <v>51</v>
      </c>
      <c r="X212">
        <v>0</v>
      </c>
      <c r="Y212">
        <v>88</v>
      </c>
    </row>
    <row r="213" spans="1:25" x14ac:dyDescent="0.35">
      <c r="A213" s="9" t="s">
        <v>498</v>
      </c>
      <c r="B213" s="9" t="s">
        <v>499</v>
      </c>
      <c r="C213" s="9" t="s">
        <v>68</v>
      </c>
      <c r="D213" s="9" t="s">
        <v>55</v>
      </c>
      <c r="E213" s="9" t="s">
        <v>56</v>
      </c>
      <c r="F213" s="9" t="s">
        <v>57</v>
      </c>
      <c r="G213" s="9" t="s">
        <v>54</v>
      </c>
      <c r="H213" s="9" t="s">
        <v>65</v>
      </c>
      <c r="I213">
        <v>0</v>
      </c>
      <c r="J213">
        <v>3</v>
      </c>
      <c r="K213">
        <v>3</v>
      </c>
      <c r="L213">
        <v>2</v>
      </c>
      <c r="M213">
        <v>0</v>
      </c>
      <c r="N213">
        <v>88</v>
      </c>
      <c r="P213">
        <v>2</v>
      </c>
      <c r="Q213">
        <v>0</v>
      </c>
      <c r="R213">
        <v>1</v>
      </c>
      <c r="S213">
        <v>0</v>
      </c>
      <c r="T213">
        <v>0</v>
      </c>
      <c r="U213">
        <v>0</v>
      </c>
      <c r="V213">
        <v>0</v>
      </c>
      <c r="W213" s="9" t="s">
        <v>58</v>
      </c>
      <c r="X213">
        <v>0</v>
      </c>
      <c r="Y213">
        <v>88</v>
      </c>
    </row>
    <row r="214" spans="1:25" x14ac:dyDescent="0.35">
      <c r="A214" s="9" t="s">
        <v>500</v>
      </c>
      <c r="B214" s="9" t="s">
        <v>501</v>
      </c>
      <c r="C214" s="9" t="s">
        <v>45</v>
      </c>
      <c r="D214" s="9" t="s">
        <v>46</v>
      </c>
      <c r="E214" s="9" t="s">
        <v>80</v>
      </c>
      <c r="F214" s="9" t="s">
        <v>81</v>
      </c>
      <c r="G214" s="9" t="s">
        <v>82</v>
      </c>
      <c r="H214" s="9" t="s">
        <v>50</v>
      </c>
      <c r="I214">
        <v>0</v>
      </c>
      <c r="J214">
        <v>1</v>
      </c>
      <c r="K214">
        <v>1</v>
      </c>
      <c r="L214">
        <v>1</v>
      </c>
      <c r="M214">
        <v>0</v>
      </c>
      <c r="N214">
        <v>88</v>
      </c>
      <c r="P214">
        <v>1</v>
      </c>
      <c r="Q214">
        <v>0</v>
      </c>
      <c r="R214">
        <v>1</v>
      </c>
      <c r="S214">
        <v>0</v>
      </c>
      <c r="T214">
        <v>0</v>
      </c>
      <c r="U214">
        <v>0</v>
      </c>
      <c r="V214">
        <v>0</v>
      </c>
      <c r="W214" s="9" t="s">
        <v>58</v>
      </c>
      <c r="X214">
        <v>0</v>
      </c>
      <c r="Y214">
        <v>88</v>
      </c>
    </row>
    <row r="215" spans="1:25" x14ac:dyDescent="0.35">
      <c r="A215" s="9" t="s">
        <v>502</v>
      </c>
      <c r="B215" s="9" t="s">
        <v>503</v>
      </c>
      <c r="C215" s="9" t="s">
        <v>54</v>
      </c>
      <c r="D215" s="9" t="s">
        <v>46</v>
      </c>
      <c r="E215" s="9" t="s">
        <v>47</v>
      </c>
      <c r="F215" s="9" t="s">
        <v>48</v>
      </c>
      <c r="G215" s="9" t="s">
        <v>49</v>
      </c>
      <c r="H215" s="9" t="s">
        <v>50</v>
      </c>
      <c r="I215">
        <v>1</v>
      </c>
      <c r="J215">
        <v>3</v>
      </c>
      <c r="K215">
        <v>3</v>
      </c>
      <c r="L215">
        <v>2</v>
      </c>
      <c r="M215">
        <v>1</v>
      </c>
      <c r="N215">
        <v>88</v>
      </c>
      <c r="P215">
        <v>1</v>
      </c>
      <c r="Q215">
        <v>1</v>
      </c>
      <c r="R215">
        <v>1</v>
      </c>
      <c r="S215">
        <v>0</v>
      </c>
      <c r="T215">
        <v>0</v>
      </c>
      <c r="U215">
        <v>0</v>
      </c>
      <c r="V215">
        <v>0</v>
      </c>
      <c r="W215" s="9" t="s">
        <v>58</v>
      </c>
      <c r="X215">
        <v>0</v>
      </c>
      <c r="Y215">
        <v>88</v>
      </c>
    </row>
    <row r="216" spans="1:25" x14ac:dyDescent="0.35">
      <c r="A216" s="9" t="s">
        <v>504</v>
      </c>
      <c r="B216" s="9" t="s">
        <v>505</v>
      </c>
      <c r="C216" s="9" t="s">
        <v>54</v>
      </c>
      <c r="D216" s="9" t="s">
        <v>46</v>
      </c>
      <c r="E216" s="9" t="s">
        <v>112</v>
      </c>
      <c r="F216" s="9" t="s">
        <v>113</v>
      </c>
      <c r="G216" s="9" t="s">
        <v>54</v>
      </c>
      <c r="H216" s="9" t="s">
        <v>50</v>
      </c>
      <c r="I216">
        <v>1</v>
      </c>
      <c r="J216">
        <v>1</v>
      </c>
      <c r="K216">
        <v>1</v>
      </c>
      <c r="L216">
        <v>1</v>
      </c>
      <c r="M216">
        <v>0</v>
      </c>
      <c r="N216">
        <v>51</v>
      </c>
      <c r="O216">
        <v>51</v>
      </c>
      <c r="P216">
        <v>0</v>
      </c>
      <c r="Q216">
        <v>0</v>
      </c>
      <c r="R216">
        <v>1</v>
      </c>
      <c r="S216">
        <v>1</v>
      </c>
      <c r="T216">
        <v>1</v>
      </c>
      <c r="U216">
        <v>0</v>
      </c>
      <c r="V216">
        <v>0</v>
      </c>
      <c r="W216" s="9" t="s">
        <v>95</v>
      </c>
      <c r="X216">
        <v>23</v>
      </c>
      <c r="Y216">
        <v>88</v>
      </c>
    </row>
    <row r="217" spans="1:25" x14ac:dyDescent="0.35">
      <c r="A217" s="9" t="s">
        <v>506</v>
      </c>
      <c r="B217" s="9" t="s">
        <v>507</v>
      </c>
      <c r="C217" s="9" t="s">
        <v>54</v>
      </c>
      <c r="D217" s="9" t="s">
        <v>55</v>
      </c>
      <c r="E217" s="9" t="s">
        <v>76</v>
      </c>
      <c r="F217" s="9" t="s">
        <v>77</v>
      </c>
      <c r="G217" s="9" t="s">
        <v>54</v>
      </c>
      <c r="H217" s="9" t="s">
        <v>50</v>
      </c>
      <c r="I217">
        <v>1</v>
      </c>
      <c r="J217">
        <v>2</v>
      </c>
      <c r="K217">
        <v>2</v>
      </c>
      <c r="L217">
        <v>2</v>
      </c>
      <c r="M217">
        <v>0</v>
      </c>
      <c r="N217">
        <v>88</v>
      </c>
      <c r="O217">
        <v>88</v>
      </c>
      <c r="P217">
        <v>0</v>
      </c>
      <c r="Q217">
        <v>0</v>
      </c>
      <c r="R217">
        <v>1</v>
      </c>
      <c r="S217">
        <v>1</v>
      </c>
      <c r="T217">
        <v>0</v>
      </c>
      <c r="U217">
        <v>0</v>
      </c>
      <c r="V217">
        <v>1</v>
      </c>
      <c r="W217" s="9" t="s">
        <v>51</v>
      </c>
      <c r="X217">
        <v>0</v>
      </c>
      <c r="Y217">
        <v>88</v>
      </c>
    </row>
    <row r="218" spans="1:25" x14ac:dyDescent="0.35">
      <c r="A218" s="9" t="s">
        <v>508</v>
      </c>
      <c r="B218" s="9" t="s">
        <v>509</v>
      </c>
      <c r="C218" s="9" t="s">
        <v>61</v>
      </c>
      <c r="D218" s="9" t="s">
        <v>55</v>
      </c>
      <c r="E218" s="9" t="s">
        <v>69</v>
      </c>
      <c r="F218" s="9" t="s">
        <v>70</v>
      </c>
      <c r="G218" s="9" t="s">
        <v>49</v>
      </c>
      <c r="H218" s="9" t="s">
        <v>65</v>
      </c>
      <c r="I218">
        <v>0</v>
      </c>
      <c r="J218">
        <v>2</v>
      </c>
      <c r="K218">
        <v>2</v>
      </c>
      <c r="L218">
        <v>2</v>
      </c>
      <c r="M218">
        <v>0</v>
      </c>
      <c r="N218">
        <v>88</v>
      </c>
      <c r="O218">
        <v>88</v>
      </c>
      <c r="P218">
        <v>1</v>
      </c>
      <c r="Q218">
        <v>0</v>
      </c>
      <c r="R218">
        <v>1</v>
      </c>
      <c r="S218">
        <v>1</v>
      </c>
      <c r="T218">
        <v>0</v>
      </c>
      <c r="U218">
        <v>0</v>
      </c>
      <c r="V218">
        <v>1</v>
      </c>
      <c r="W218" s="9" t="s">
        <v>51</v>
      </c>
      <c r="X218">
        <v>0</v>
      </c>
      <c r="Y218">
        <v>88</v>
      </c>
    </row>
    <row r="219" spans="1:25" x14ac:dyDescent="0.35">
      <c r="A219" s="9" t="s">
        <v>510</v>
      </c>
      <c r="B219" s="9" t="s">
        <v>511</v>
      </c>
      <c r="C219" s="9" t="s">
        <v>134</v>
      </c>
      <c r="D219" s="9" t="s">
        <v>46</v>
      </c>
      <c r="E219" s="9" t="s">
        <v>47</v>
      </c>
      <c r="F219" s="9" t="s">
        <v>48</v>
      </c>
      <c r="G219" s="9" t="s">
        <v>49</v>
      </c>
      <c r="H219" s="9" t="s">
        <v>135</v>
      </c>
      <c r="I219">
        <v>1</v>
      </c>
      <c r="J219">
        <v>2</v>
      </c>
      <c r="K219">
        <v>2</v>
      </c>
      <c r="L219">
        <v>1</v>
      </c>
      <c r="M219">
        <v>0</v>
      </c>
      <c r="N219">
        <v>88</v>
      </c>
      <c r="P219">
        <v>1</v>
      </c>
      <c r="Q219">
        <v>1</v>
      </c>
      <c r="R219">
        <v>1</v>
      </c>
      <c r="S219">
        <v>0</v>
      </c>
      <c r="T219">
        <v>0</v>
      </c>
      <c r="U219">
        <v>0</v>
      </c>
      <c r="V219">
        <v>0</v>
      </c>
      <c r="W219" s="9" t="s">
        <v>58</v>
      </c>
      <c r="X219">
        <v>0</v>
      </c>
      <c r="Y219">
        <v>88</v>
      </c>
    </row>
    <row r="220" spans="1:25" x14ac:dyDescent="0.35">
      <c r="A220" s="9" t="s">
        <v>512</v>
      </c>
      <c r="B220" s="9" t="s">
        <v>513</v>
      </c>
      <c r="C220" s="9" t="s">
        <v>61</v>
      </c>
      <c r="D220" s="9" t="s">
        <v>46</v>
      </c>
      <c r="E220" s="9" t="s">
        <v>69</v>
      </c>
      <c r="F220" s="9" t="s">
        <v>70</v>
      </c>
      <c r="G220" s="9" t="s">
        <v>49</v>
      </c>
      <c r="H220" s="9" t="s">
        <v>65</v>
      </c>
      <c r="I220">
        <v>0</v>
      </c>
      <c r="J220">
        <v>3</v>
      </c>
      <c r="K220">
        <v>3</v>
      </c>
      <c r="L220">
        <v>2</v>
      </c>
      <c r="M220">
        <v>0</v>
      </c>
      <c r="N220">
        <v>88</v>
      </c>
      <c r="O220">
        <v>88</v>
      </c>
      <c r="P220">
        <v>1</v>
      </c>
      <c r="Q220">
        <v>0</v>
      </c>
      <c r="R220">
        <v>1</v>
      </c>
      <c r="S220">
        <v>1</v>
      </c>
      <c r="T220">
        <v>0</v>
      </c>
      <c r="U220">
        <v>0</v>
      </c>
      <c r="V220">
        <v>1</v>
      </c>
      <c r="W220" s="9" t="s">
        <v>51</v>
      </c>
      <c r="X220">
        <v>0</v>
      </c>
      <c r="Y220">
        <v>88</v>
      </c>
    </row>
    <row r="221" spans="1:25" x14ac:dyDescent="0.35">
      <c r="A221" s="9" t="s">
        <v>514</v>
      </c>
      <c r="B221" s="9" t="s">
        <v>515</v>
      </c>
      <c r="C221" s="9" t="s">
        <v>68</v>
      </c>
      <c r="D221" s="9" t="s">
        <v>62</v>
      </c>
      <c r="E221" s="9" t="s">
        <v>112</v>
      </c>
      <c r="F221" s="9" t="s">
        <v>113</v>
      </c>
      <c r="G221" s="9" t="s">
        <v>54</v>
      </c>
      <c r="H221" s="9" t="s">
        <v>65</v>
      </c>
      <c r="I221">
        <v>0</v>
      </c>
      <c r="J221">
        <v>3</v>
      </c>
      <c r="K221">
        <v>3</v>
      </c>
      <c r="L221">
        <v>3</v>
      </c>
      <c r="M221">
        <v>0</v>
      </c>
      <c r="N221">
        <v>88</v>
      </c>
      <c r="O221">
        <v>88</v>
      </c>
      <c r="P221">
        <v>2</v>
      </c>
      <c r="Q221">
        <v>0</v>
      </c>
      <c r="R221">
        <v>1</v>
      </c>
      <c r="S221">
        <v>1</v>
      </c>
      <c r="T221">
        <v>0</v>
      </c>
      <c r="U221">
        <v>0</v>
      </c>
      <c r="V221">
        <v>1</v>
      </c>
      <c r="W221" s="9" t="s">
        <v>51</v>
      </c>
      <c r="X221">
        <v>0</v>
      </c>
      <c r="Y221">
        <v>88</v>
      </c>
    </row>
    <row r="222" spans="1:25" x14ac:dyDescent="0.35">
      <c r="A222" s="9" t="s">
        <v>516</v>
      </c>
      <c r="B222" s="9" t="s">
        <v>517</v>
      </c>
      <c r="C222" s="9" t="s">
        <v>61</v>
      </c>
      <c r="D222" s="9" t="s">
        <v>55</v>
      </c>
      <c r="E222" s="9" t="s">
        <v>47</v>
      </c>
      <c r="F222" s="9" t="s">
        <v>48</v>
      </c>
      <c r="G222" s="9" t="s">
        <v>49</v>
      </c>
      <c r="H222" s="9" t="s">
        <v>65</v>
      </c>
      <c r="I222">
        <v>0</v>
      </c>
      <c r="J222">
        <v>4</v>
      </c>
      <c r="K222">
        <v>4</v>
      </c>
      <c r="L222">
        <v>3</v>
      </c>
      <c r="M222">
        <v>0</v>
      </c>
      <c r="N222">
        <v>88</v>
      </c>
      <c r="O222">
        <v>88</v>
      </c>
      <c r="P222">
        <v>1</v>
      </c>
      <c r="Q222">
        <v>0</v>
      </c>
      <c r="R222">
        <v>1</v>
      </c>
      <c r="S222">
        <v>1</v>
      </c>
      <c r="T222">
        <v>0</v>
      </c>
      <c r="U222">
        <v>0</v>
      </c>
      <c r="V222">
        <v>1</v>
      </c>
      <c r="W222" s="9" t="s">
        <v>51</v>
      </c>
      <c r="X222">
        <v>0</v>
      </c>
      <c r="Y222">
        <v>88</v>
      </c>
    </row>
    <row r="223" spans="1:25" x14ac:dyDescent="0.35">
      <c r="A223" s="9" t="s">
        <v>518</v>
      </c>
      <c r="B223" s="9" t="s">
        <v>519</v>
      </c>
      <c r="C223" s="9" t="s">
        <v>54</v>
      </c>
      <c r="D223" s="9" t="s">
        <v>55</v>
      </c>
      <c r="E223" s="9" t="s">
        <v>56</v>
      </c>
      <c r="F223" s="9" t="s">
        <v>57</v>
      </c>
      <c r="G223" s="9" t="s">
        <v>54</v>
      </c>
      <c r="H223" s="9" t="s">
        <v>50</v>
      </c>
      <c r="I223">
        <v>1</v>
      </c>
      <c r="J223">
        <v>3</v>
      </c>
      <c r="K223">
        <v>3</v>
      </c>
      <c r="L223">
        <v>3</v>
      </c>
      <c r="M223">
        <v>0</v>
      </c>
      <c r="N223">
        <v>88</v>
      </c>
      <c r="O223">
        <v>88</v>
      </c>
      <c r="P223">
        <v>1</v>
      </c>
      <c r="Q223">
        <v>0</v>
      </c>
      <c r="R223">
        <v>1</v>
      </c>
      <c r="S223">
        <v>1</v>
      </c>
      <c r="T223">
        <v>0</v>
      </c>
      <c r="U223">
        <v>0</v>
      </c>
      <c r="V223">
        <v>1</v>
      </c>
      <c r="W223" s="9" t="s">
        <v>51</v>
      </c>
      <c r="X223">
        <v>0</v>
      </c>
      <c r="Y223">
        <v>88</v>
      </c>
    </row>
    <row r="224" spans="1:25" x14ac:dyDescent="0.35">
      <c r="A224" s="9" t="s">
        <v>520</v>
      </c>
      <c r="B224" s="9" t="s">
        <v>521</v>
      </c>
      <c r="C224" s="9" t="s">
        <v>61</v>
      </c>
      <c r="D224" s="9" t="s">
        <v>46</v>
      </c>
      <c r="E224" s="9" t="s">
        <v>63</v>
      </c>
      <c r="F224" s="9" t="s">
        <v>64</v>
      </c>
      <c r="G224" s="9" t="s">
        <v>49</v>
      </c>
      <c r="H224" s="9" t="s">
        <v>65</v>
      </c>
      <c r="I224">
        <v>0</v>
      </c>
      <c r="J224">
        <v>3</v>
      </c>
      <c r="K224">
        <v>3</v>
      </c>
      <c r="L224">
        <v>2</v>
      </c>
      <c r="M224">
        <v>1</v>
      </c>
      <c r="N224">
        <v>88</v>
      </c>
      <c r="P224">
        <v>2</v>
      </c>
      <c r="Q224">
        <v>0</v>
      </c>
      <c r="R224">
        <v>1</v>
      </c>
      <c r="S224">
        <v>0</v>
      </c>
      <c r="T224">
        <v>0</v>
      </c>
      <c r="U224">
        <v>0</v>
      </c>
      <c r="V224">
        <v>0</v>
      </c>
      <c r="W224" s="9" t="s">
        <v>58</v>
      </c>
      <c r="X224">
        <v>0</v>
      </c>
      <c r="Y224">
        <v>88</v>
      </c>
    </row>
    <row r="225" spans="1:25" x14ac:dyDescent="0.35">
      <c r="A225" s="9" t="s">
        <v>522</v>
      </c>
      <c r="B225" s="9" t="s">
        <v>523</v>
      </c>
      <c r="C225" s="9" t="s">
        <v>68</v>
      </c>
      <c r="D225" s="9" t="s">
        <v>55</v>
      </c>
      <c r="E225" s="9" t="s">
        <v>80</v>
      </c>
      <c r="F225" s="9" t="s">
        <v>81</v>
      </c>
      <c r="G225" s="9" t="s">
        <v>82</v>
      </c>
      <c r="H225" s="9" t="s">
        <v>65</v>
      </c>
      <c r="I225">
        <v>0</v>
      </c>
      <c r="J225">
        <v>3</v>
      </c>
      <c r="K225">
        <v>3</v>
      </c>
      <c r="L225">
        <v>3</v>
      </c>
      <c r="M225">
        <v>0</v>
      </c>
      <c r="N225">
        <v>88</v>
      </c>
      <c r="O225">
        <v>88</v>
      </c>
      <c r="P225">
        <v>2</v>
      </c>
      <c r="Q225">
        <v>0</v>
      </c>
      <c r="R225">
        <v>1</v>
      </c>
      <c r="S225">
        <v>1</v>
      </c>
      <c r="T225">
        <v>0</v>
      </c>
      <c r="U225">
        <v>0</v>
      </c>
      <c r="V225">
        <v>1</v>
      </c>
      <c r="W225" s="9" t="s">
        <v>51</v>
      </c>
      <c r="X225">
        <v>0</v>
      </c>
      <c r="Y225">
        <v>88</v>
      </c>
    </row>
    <row r="226" spans="1:25" x14ac:dyDescent="0.35">
      <c r="A226" s="9" t="s">
        <v>524</v>
      </c>
      <c r="B226" s="9" t="s">
        <v>525</v>
      </c>
      <c r="C226" s="9" t="s">
        <v>134</v>
      </c>
      <c r="D226" s="9" t="s">
        <v>46</v>
      </c>
      <c r="E226" s="9" t="s">
        <v>112</v>
      </c>
      <c r="F226" s="9" t="s">
        <v>113</v>
      </c>
      <c r="G226" s="9" t="s">
        <v>54</v>
      </c>
      <c r="H226" s="9" t="s">
        <v>135</v>
      </c>
      <c r="I226">
        <v>1</v>
      </c>
      <c r="J226">
        <v>3</v>
      </c>
      <c r="K226">
        <v>3</v>
      </c>
      <c r="L226">
        <v>3</v>
      </c>
      <c r="M226">
        <v>0</v>
      </c>
      <c r="N226">
        <v>68</v>
      </c>
      <c r="O226">
        <v>37</v>
      </c>
      <c r="P226">
        <v>1</v>
      </c>
      <c r="Q226">
        <v>1</v>
      </c>
      <c r="R226">
        <v>1</v>
      </c>
      <c r="S226">
        <v>1</v>
      </c>
      <c r="T226">
        <v>1</v>
      </c>
      <c r="U226">
        <v>0</v>
      </c>
      <c r="V226">
        <v>0</v>
      </c>
      <c r="W226" s="9" t="s">
        <v>95</v>
      </c>
      <c r="X226">
        <v>29</v>
      </c>
      <c r="Y226">
        <v>88</v>
      </c>
    </row>
    <row r="227" spans="1:25" x14ac:dyDescent="0.35">
      <c r="A227" s="9" t="s">
        <v>526</v>
      </c>
      <c r="B227" s="9" t="s">
        <v>527</v>
      </c>
      <c r="C227" s="9" t="s">
        <v>45</v>
      </c>
      <c r="D227" s="9" t="s">
        <v>55</v>
      </c>
      <c r="E227" s="9" t="s">
        <v>80</v>
      </c>
      <c r="F227" s="9" t="s">
        <v>81</v>
      </c>
      <c r="G227" s="9" t="s">
        <v>82</v>
      </c>
      <c r="H227" s="9" t="s">
        <v>50</v>
      </c>
      <c r="I227">
        <v>0</v>
      </c>
      <c r="J227">
        <v>4</v>
      </c>
      <c r="K227">
        <v>4</v>
      </c>
      <c r="L227">
        <v>4</v>
      </c>
      <c r="M227">
        <v>0</v>
      </c>
      <c r="N227">
        <v>88</v>
      </c>
      <c r="O227">
        <v>88</v>
      </c>
      <c r="P227">
        <v>3</v>
      </c>
      <c r="Q227">
        <v>0</v>
      </c>
      <c r="R227">
        <v>1</v>
      </c>
      <c r="S227">
        <v>1</v>
      </c>
      <c r="T227">
        <v>0</v>
      </c>
      <c r="U227">
        <v>0</v>
      </c>
      <c r="V227">
        <v>1</v>
      </c>
      <c r="W227" s="9" t="s">
        <v>51</v>
      </c>
      <c r="X227">
        <v>0</v>
      </c>
      <c r="Y227">
        <v>88</v>
      </c>
    </row>
    <row r="228" spans="1:25" x14ac:dyDescent="0.35">
      <c r="A228" s="9" t="s">
        <v>528</v>
      </c>
      <c r="B228" s="9" t="s">
        <v>529</v>
      </c>
      <c r="C228" s="9" t="s">
        <v>45</v>
      </c>
      <c r="D228" s="9" t="s">
        <v>55</v>
      </c>
      <c r="E228" s="9" t="s">
        <v>69</v>
      </c>
      <c r="F228" s="9" t="s">
        <v>70</v>
      </c>
      <c r="G228" s="9" t="s">
        <v>49</v>
      </c>
      <c r="H228" s="9" t="s">
        <v>50</v>
      </c>
      <c r="I228">
        <v>0</v>
      </c>
      <c r="J228">
        <v>4</v>
      </c>
      <c r="K228">
        <v>4</v>
      </c>
      <c r="L228">
        <v>4</v>
      </c>
      <c r="M228">
        <v>0</v>
      </c>
      <c r="N228">
        <v>88</v>
      </c>
      <c r="O228">
        <v>88</v>
      </c>
      <c r="P228">
        <v>1</v>
      </c>
      <c r="Q228">
        <v>0</v>
      </c>
      <c r="R228">
        <v>1</v>
      </c>
      <c r="S228">
        <v>1</v>
      </c>
      <c r="T228">
        <v>0</v>
      </c>
      <c r="U228">
        <v>0</v>
      </c>
      <c r="V228">
        <v>1</v>
      </c>
      <c r="W228" s="9" t="s">
        <v>51</v>
      </c>
      <c r="X228">
        <v>0</v>
      </c>
      <c r="Y228">
        <v>88</v>
      </c>
    </row>
    <row r="229" spans="1:25" x14ac:dyDescent="0.35">
      <c r="A229" s="9" t="s">
        <v>530</v>
      </c>
      <c r="B229" s="9" t="s">
        <v>531</v>
      </c>
      <c r="C229" s="9" t="s">
        <v>61</v>
      </c>
      <c r="D229" s="9" t="s">
        <v>55</v>
      </c>
      <c r="E229" s="9" t="s">
        <v>69</v>
      </c>
      <c r="F229" s="9" t="s">
        <v>70</v>
      </c>
      <c r="G229" s="9" t="s">
        <v>49</v>
      </c>
      <c r="H229" s="9" t="s">
        <v>65</v>
      </c>
      <c r="I229">
        <v>0</v>
      </c>
      <c r="J229">
        <v>1</v>
      </c>
      <c r="K229">
        <v>1</v>
      </c>
      <c r="L229">
        <v>0</v>
      </c>
      <c r="M229">
        <v>0</v>
      </c>
      <c r="P229">
        <v>0</v>
      </c>
      <c r="Q229">
        <v>0</v>
      </c>
      <c r="R229">
        <v>0</v>
      </c>
      <c r="S229">
        <v>0</v>
      </c>
      <c r="T229">
        <v>0</v>
      </c>
      <c r="U229">
        <v>0</v>
      </c>
      <c r="V229">
        <v>0</v>
      </c>
      <c r="W229" s="9" t="s">
        <v>73</v>
      </c>
      <c r="X229">
        <v>0</v>
      </c>
      <c r="Y229">
        <v>88</v>
      </c>
    </row>
    <row r="230" spans="1:25" x14ac:dyDescent="0.35">
      <c r="A230" s="9" t="s">
        <v>532</v>
      </c>
      <c r="B230" s="9" t="s">
        <v>533</v>
      </c>
      <c r="C230" s="9" t="s">
        <v>68</v>
      </c>
      <c r="D230" s="9" t="s">
        <v>46</v>
      </c>
      <c r="E230" s="9" t="s">
        <v>56</v>
      </c>
      <c r="F230" s="9" t="s">
        <v>57</v>
      </c>
      <c r="G230" s="9" t="s">
        <v>54</v>
      </c>
      <c r="H230" s="9" t="s">
        <v>65</v>
      </c>
      <c r="I230">
        <v>0</v>
      </c>
      <c r="J230">
        <v>4</v>
      </c>
      <c r="K230">
        <v>4</v>
      </c>
      <c r="L230">
        <v>3</v>
      </c>
      <c r="M230">
        <v>0</v>
      </c>
      <c r="N230">
        <v>88</v>
      </c>
      <c r="O230">
        <v>88</v>
      </c>
      <c r="P230">
        <v>2</v>
      </c>
      <c r="Q230">
        <v>0</v>
      </c>
      <c r="R230">
        <v>1</v>
      </c>
      <c r="S230">
        <v>1</v>
      </c>
      <c r="T230">
        <v>0</v>
      </c>
      <c r="U230">
        <v>0</v>
      </c>
      <c r="V230">
        <v>1</v>
      </c>
      <c r="W230" s="9" t="s">
        <v>51</v>
      </c>
      <c r="X230">
        <v>0</v>
      </c>
      <c r="Y230">
        <v>88</v>
      </c>
    </row>
    <row r="231" spans="1:25" x14ac:dyDescent="0.35">
      <c r="A231" s="9" t="s">
        <v>534</v>
      </c>
      <c r="B231" s="9" t="s">
        <v>535</v>
      </c>
      <c r="C231" s="9" t="s">
        <v>68</v>
      </c>
      <c r="D231" s="9" t="s">
        <v>62</v>
      </c>
      <c r="E231" s="9" t="s">
        <v>80</v>
      </c>
      <c r="F231" s="9" t="s">
        <v>81</v>
      </c>
      <c r="G231" s="9" t="s">
        <v>82</v>
      </c>
      <c r="H231" s="9" t="s">
        <v>65</v>
      </c>
      <c r="I231">
        <v>0</v>
      </c>
      <c r="J231">
        <v>1</v>
      </c>
      <c r="K231">
        <v>1</v>
      </c>
      <c r="L231">
        <v>0</v>
      </c>
      <c r="M231">
        <v>0</v>
      </c>
      <c r="P231">
        <v>0</v>
      </c>
      <c r="Q231">
        <v>0</v>
      </c>
      <c r="R231">
        <v>0</v>
      </c>
      <c r="S231">
        <v>0</v>
      </c>
      <c r="T231">
        <v>0</v>
      </c>
      <c r="U231">
        <v>0</v>
      </c>
      <c r="V231">
        <v>0</v>
      </c>
      <c r="W231" s="9" t="s">
        <v>73</v>
      </c>
      <c r="X231">
        <v>0</v>
      </c>
      <c r="Y231">
        <v>88</v>
      </c>
    </row>
    <row r="232" spans="1:25" x14ac:dyDescent="0.35">
      <c r="A232" s="9" t="s">
        <v>536</v>
      </c>
      <c r="B232" s="9" t="s">
        <v>537</v>
      </c>
      <c r="C232" s="9" t="s">
        <v>54</v>
      </c>
      <c r="D232" s="9" t="s">
        <v>46</v>
      </c>
      <c r="E232" s="9" t="s">
        <v>47</v>
      </c>
      <c r="F232" s="9" t="s">
        <v>48</v>
      </c>
      <c r="G232" s="9" t="s">
        <v>49</v>
      </c>
      <c r="H232" s="9" t="s">
        <v>50</v>
      </c>
      <c r="I232">
        <v>1</v>
      </c>
      <c r="J232">
        <v>2</v>
      </c>
      <c r="K232">
        <v>2</v>
      </c>
      <c r="L232">
        <v>2</v>
      </c>
      <c r="M232">
        <v>0</v>
      </c>
      <c r="N232">
        <v>88</v>
      </c>
      <c r="O232">
        <v>88</v>
      </c>
      <c r="P232">
        <v>0</v>
      </c>
      <c r="Q232">
        <v>0</v>
      </c>
      <c r="R232">
        <v>1</v>
      </c>
      <c r="S232">
        <v>1</v>
      </c>
      <c r="T232">
        <v>0</v>
      </c>
      <c r="U232">
        <v>0</v>
      </c>
      <c r="V232">
        <v>1</v>
      </c>
      <c r="W232" s="9" t="s">
        <v>51</v>
      </c>
      <c r="X232">
        <v>0</v>
      </c>
      <c r="Y232">
        <v>88</v>
      </c>
    </row>
    <row r="233" spans="1:25" x14ac:dyDescent="0.35">
      <c r="A233" s="9" t="s">
        <v>538</v>
      </c>
      <c r="B233" s="9" t="s">
        <v>539</v>
      </c>
      <c r="C233" s="9" t="s">
        <v>54</v>
      </c>
      <c r="D233" s="9" t="s">
        <v>55</v>
      </c>
      <c r="E233" s="9" t="s">
        <v>112</v>
      </c>
      <c r="F233" s="9" t="s">
        <v>113</v>
      </c>
      <c r="G233" s="9" t="s">
        <v>54</v>
      </c>
      <c r="H233" s="9" t="s">
        <v>50</v>
      </c>
      <c r="I233">
        <v>1</v>
      </c>
      <c r="J233">
        <v>2</v>
      </c>
      <c r="K233">
        <v>2</v>
      </c>
      <c r="L233">
        <v>1</v>
      </c>
      <c r="M233">
        <v>0</v>
      </c>
      <c r="N233">
        <v>45</v>
      </c>
      <c r="P233">
        <v>1</v>
      </c>
      <c r="Q233">
        <v>0</v>
      </c>
      <c r="R233">
        <v>1</v>
      </c>
      <c r="S233">
        <v>0</v>
      </c>
      <c r="T233">
        <v>0</v>
      </c>
      <c r="U233">
        <v>0</v>
      </c>
      <c r="V233">
        <v>0</v>
      </c>
      <c r="W233" s="9" t="s">
        <v>58</v>
      </c>
      <c r="X233">
        <v>0</v>
      </c>
      <c r="Y233">
        <v>88</v>
      </c>
    </row>
    <row r="234" spans="1:25" x14ac:dyDescent="0.35">
      <c r="A234" s="9" t="s">
        <v>540</v>
      </c>
      <c r="B234" s="9" t="s">
        <v>541</v>
      </c>
      <c r="C234" s="9" t="s">
        <v>61</v>
      </c>
      <c r="D234" s="9" t="s">
        <v>55</v>
      </c>
      <c r="E234" s="9" t="s">
        <v>47</v>
      </c>
      <c r="F234" s="9" t="s">
        <v>48</v>
      </c>
      <c r="G234" s="9" t="s">
        <v>49</v>
      </c>
      <c r="H234" s="9" t="s">
        <v>65</v>
      </c>
      <c r="I234">
        <v>0</v>
      </c>
      <c r="J234">
        <v>1</v>
      </c>
      <c r="K234">
        <v>1</v>
      </c>
      <c r="L234">
        <v>1</v>
      </c>
      <c r="M234">
        <v>0</v>
      </c>
      <c r="N234">
        <v>88</v>
      </c>
      <c r="O234">
        <v>88</v>
      </c>
      <c r="P234">
        <v>0</v>
      </c>
      <c r="Q234">
        <v>0</v>
      </c>
      <c r="R234">
        <v>1</v>
      </c>
      <c r="S234">
        <v>1</v>
      </c>
      <c r="T234">
        <v>0</v>
      </c>
      <c r="U234">
        <v>0</v>
      </c>
      <c r="V234">
        <v>1</v>
      </c>
      <c r="W234" s="9" t="s">
        <v>51</v>
      </c>
      <c r="X234">
        <v>0</v>
      </c>
      <c r="Y234">
        <v>88</v>
      </c>
    </row>
    <row r="235" spans="1:25" x14ac:dyDescent="0.35">
      <c r="A235" s="9" t="s">
        <v>542</v>
      </c>
      <c r="B235" s="9" t="s">
        <v>543</v>
      </c>
      <c r="C235" s="9" t="s">
        <v>45</v>
      </c>
      <c r="D235" s="9" t="s">
        <v>55</v>
      </c>
      <c r="E235" s="9" t="s">
        <v>112</v>
      </c>
      <c r="F235" s="9" t="s">
        <v>113</v>
      </c>
      <c r="G235" s="9" t="s">
        <v>54</v>
      </c>
      <c r="H235" s="9" t="s">
        <v>50</v>
      </c>
      <c r="I235">
        <v>0</v>
      </c>
      <c r="J235">
        <v>1</v>
      </c>
      <c r="K235">
        <v>1</v>
      </c>
      <c r="L235">
        <v>1</v>
      </c>
      <c r="M235">
        <v>0</v>
      </c>
      <c r="N235">
        <v>88</v>
      </c>
      <c r="P235">
        <v>1</v>
      </c>
      <c r="Q235">
        <v>0</v>
      </c>
      <c r="R235">
        <v>1</v>
      </c>
      <c r="S235">
        <v>0</v>
      </c>
      <c r="T235">
        <v>0</v>
      </c>
      <c r="U235">
        <v>0</v>
      </c>
      <c r="V235">
        <v>0</v>
      </c>
      <c r="W235" s="9" t="s">
        <v>58</v>
      </c>
      <c r="X235">
        <v>0</v>
      </c>
      <c r="Y235">
        <v>88</v>
      </c>
    </row>
    <row r="236" spans="1:25" x14ac:dyDescent="0.35">
      <c r="A236" s="9" t="s">
        <v>544</v>
      </c>
      <c r="B236" s="9" t="s">
        <v>545</v>
      </c>
      <c r="C236" s="9" t="s">
        <v>54</v>
      </c>
      <c r="D236" s="9" t="s">
        <v>46</v>
      </c>
      <c r="E236" s="9" t="s">
        <v>56</v>
      </c>
      <c r="F236" s="9" t="s">
        <v>57</v>
      </c>
      <c r="G236" s="9" t="s">
        <v>54</v>
      </c>
      <c r="H236" s="9" t="s">
        <v>50</v>
      </c>
      <c r="I236">
        <v>1</v>
      </c>
      <c r="J236">
        <v>1</v>
      </c>
      <c r="K236">
        <v>1</v>
      </c>
      <c r="L236">
        <v>1</v>
      </c>
      <c r="M236">
        <v>0</v>
      </c>
      <c r="N236">
        <v>88</v>
      </c>
      <c r="O236">
        <v>88</v>
      </c>
      <c r="P236">
        <v>0</v>
      </c>
      <c r="Q236">
        <v>0</v>
      </c>
      <c r="R236">
        <v>1</v>
      </c>
      <c r="S236">
        <v>1</v>
      </c>
      <c r="T236">
        <v>0</v>
      </c>
      <c r="U236">
        <v>0</v>
      </c>
      <c r="V236">
        <v>1</v>
      </c>
      <c r="W236" s="9" t="s">
        <v>51</v>
      </c>
      <c r="X236">
        <v>0</v>
      </c>
      <c r="Y236">
        <v>88</v>
      </c>
    </row>
    <row r="237" spans="1:25" x14ac:dyDescent="0.35">
      <c r="A237" s="9" t="s">
        <v>546</v>
      </c>
      <c r="B237" s="9" t="s">
        <v>547</v>
      </c>
      <c r="C237" s="9" t="s">
        <v>45</v>
      </c>
      <c r="D237" s="9" t="s">
        <v>46</v>
      </c>
      <c r="E237" s="9" t="s">
        <v>47</v>
      </c>
      <c r="F237" s="9" t="s">
        <v>48</v>
      </c>
      <c r="G237" s="9" t="s">
        <v>49</v>
      </c>
      <c r="H237" s="9" t="s">
        <v>50</v>
      </c>
      <c r="I237">
        <v>0</v>
      </c>
      <c r="J237">
        <v>3</v>
      </c>
      <c r="K237">
        <v>3</v>
      </c>
      <c r="L237">
        <v>3</v>
      </c>
      <c r="M237">
        <v>0</v>
      </c>
      <c r="N237">
        <v>88</v>
      </c>
      <c r="P237">
        <v>3</v>
      </c>
      <c r="Q237">
        <v>0</v>
      </c>
      <c r="R237">
        <v>1</v>
      </c>
      <c r="S237">
        <v>0</v>
      </c>
      <c r="T237">
        <v>0</v>
      </c>
      <c r="U237">
        <v>0</v>
      </c>
      <c r="V237">
        <v>0</v>
      </c>
      <c r="W237" s="9" t="s">
        <v>58</v>
      </c>
      <c r="X237">
        <v>0</v>
      </c>
      <c r="Y237">
        <v>88</v>
      </c>
    </row>
    <row r="238" spans="1:25" x14ac:dyDescent="0.35">
      <c r="A238" s="9" t="s">
        <v>548</v>
      </c>
      <c r="B238" s="9" t="s">
        <v>549</v>
      </c>
      <c r="C238" s="9" t="s">
        <v>45</v>
      </c>
      <c r="D238" s="9" t="s">
        <v>55</v>
      </c>
      <c r="E238" s="9" t="s">
        <v>69</v>
      </c>
      <c r="F238" s="9" t="s">
        <v>70</v>
      </c>
      <c r="G238" s="9" t="s">
        <v>49</v>
      </c>
      <c r="H238" s="9" t="s">
        <v>50</v>
      </c>
      <c r="I238">
        <v>0</v>
      </c>
      <c r="J238">
        <v>4</v>
      </c>
      <c r="K238">
        <v>4</v>
      </c>
      <c r="L238">
        <v>4</v>
      </c>
      <c r="M238">
        <v>0</v>
      </c>
      <c r="N238">
        <v>88</v>
      </c>
      <c r="O238">
        <v>88</v>
      </c>
      <c r="P238">
        <v>2</v>
      </c>
      <c r="Q238">
        <v>0</v>
      </c>
      <c r="R238">
        <v>1</v>
      </c>
      <c r="S238">
        <v>1</v>
      </c>
      <c r="T238">
        <v>0</v>
      </c>
      <c r="U238">
        <v>0</v>
      </c>
      <c r="V238">
        <v>1</v>
      </c>
      <c r="W238" s="9" t="s">
        <v>51</v>
      </c>
      <c r="X238">
        <v>0</v>
      </c>
      <c r="Y238">
        <v>88</v>
      </c>
    </row>
    <row r="239" spans="1:25" x14ac:dyDescent="0.35">
      <c r="A239" s="9" t="s">
        <v>550</v>
      </c>
      <c r="B239" s="9" t="s">
        <v>551</v>
      </c>
      <c r="C239" s="9" t="s">
        <v>45</v>
      </c>
      <c r="D239" s="9" t="s">
        <v>46</v>
      </c>
      <c r="E239" s="9" t="s">
        <v>47</v>
      </c>
      <c r="F239" s="9" t="s">
        <v>48</v>
      </c>
      <c r="G239" s="9" t="s">
        <v>49</v>
      </c>
      <c r="H239" s="9" t="s">
        <v>50</v>
      </c>
      <c r="I239">
        <v>0</v>
      </c>
      <c r="J239">
        <v>2</v>
      </c>
      <c r="K239">
        <v>2</v>
      </c>
      <c r="L239">
        <v>0</v>
      </c>
      <c r="M239">
        <v>1</v>
      </c>
      <c r="P239">
        <v>0</v>
      </c>
      <c r="Q239">
        <v>0</v>
      </c>
      <c r="R239">
        <v>0</v>
      </c>
      <c r="S239">
        <v>0</v>
      </c>
      <c r="T239">
        <v>0</v>
      </c>
      <c r="U239">
        <v>0</v>
      </c>
      <c r="V239">
        <v>0</v>
      </c>
      <c r="W239" s="9" t="s">
        <v>73</v>
      </c>
      <c r="X239">
        <v>0</v>
      </c>
      <c r="Y239">
        <v>88</v>
      </c>
    </row>
    <row r="240" spans="1:25" x14ac:dyDescent="0.35">
      <c r="A240" s="9" t="s">
        <v>552</v>
      </c>
      <c r="B240" s="9" t="s">
        <v>553</v>
      </c>
      <c r="C240" s="9" t="s">
        <v>61</v>
      </c>
      <c r="D240" s="9" t="s">
        <v>62</v>
      </c>
      <c r="E240" s="9" t="s">
        <v>93</v>
      </c>
      <c r="F240" s="9" t="s">
        <v>94</v>
      </c>
      <c r="G240" s="9" t="s">
        <v>82</v>
      </c>
      <c r="H240" s="9" t="s">
        <v>65</v>
      </c>
      <c r="I240">
        <v>0</v>
      </c>
      <c r="J240">
        <v>4</v>
      </c>
      <c r="K240">
        <v>4</v>
      </c>
      <c r="L240">
        <v>4</v>
      </c>
      <c r="M240">
        <v>0</v>
      </c>
      <c r="N240">
        <v>88</v>
      </c>
      <c r="O240">
        <v>88</v>
      </c>
      <c r="P240">
        <v>2</v>
      </c>
      <c r="Q240">
        <v>0</v>
      </c>
      <c r="R240">
        <v>1</v>
      </c>
      <c r="S240">
        <v>1</v>
      </c>
      <c r="T240">
        <v>0</v>
      </c>
      <c r="U240">
        <v>0</v>
      </c>
      <c r="V240">
        <v>1</v>
      </c>
      <c r="W240" s="9" t="s">
        <v>51</v>
      </c>
      <c r="X240">
        <v>0</v>
      </c>
      <c r="Y240">
        <v>88</v>
      </c>
    </row>
    <row r="241" spans="1:25" x14ac:dyDescent="0.35">
      <c r="A241" s="9" t="s">
        <v>554</v>
      </c>
      <c r="B241" s="9" t="s">
        <v>555</v>
      </c>
      <c r="C241" s="9" t="s">
        <v>68</v>
      </c>
      <c r="D241" s="9" t="s">
        <v>46</v>
      </c>
      <c r="E241" s="9" t="s">
        <v>80</v>
      </c>
      <c r="F241" s="9" t="s">
        <v>81</v>
      </c>
      <c r="G241" s="9" t="s">
        <v>82</v>
      </c>
      <c r="H241" s="9" t="s">
        <v>65</v>
      </c>
      <c r="I241">
        <v>0</v>
      </c>
      <c r="J241">
        <v>3</v>
      </c>
      <c r="K241">
        <v>3</v>
      </c>
      <c r="L241">
        <v>3</v>
      </c>
      <c r="M241">
        <v>0</v>
      </c>
      <c r="N241">
        <v>88</v>
      </c>
      <c r="O241">
        <v>88</v>
      </c>
      <c r="P241">
        <v>1</v>
      </c>
      <c r="Q241">
        <v>0</v>
      </c>
      <c r="R241">
        <v>1</v>
      </c>
      <c r="S241">
        <v>1</v>
      </c>
      <c r="T241">
        <v>0</v>
      </c>
      <c r="U241">
        <v>0</v>
      </c>
      <c r="V241">
        <v>1</v>
      </c>
      <c r="W241" s="9" t="s">
        <v>51</v>
      </c>
      <c r="X241">
        <v>0</v>
      </c>
      <c r="Y241">
        <v>88</v>
      </c>
    </row>
    <row r="242" spans="1:25" x14ac:dyDescent="0.35">
      <c r="A242" s="9" t="s">
        <v>556</v>
      </c>
      <c r="B242" s="9" t="s">
        <v>557</v>
      </c>
      <c r="C242" s="9" t="s">
        <v>54</v>
      </c>
      <c r="D242" s="9" t="s">
        <v>46</v>
      </c>
      <c r="E242" s="9" t="s">
        <v>56</v>
      </c>
      <c r="F242" s="9" t="s">
        <v>57</v>
      </c>
      <c r="G242" s="9" t="s">
        <v>54</v>
      </c>
      <c r="H242" s="9" t="s">
        <v>50</v>
      </c>
      <c r="I242">
        <v>1</v>
      </c>
      <c r="J242">
        <v>4</v>
      </c>
      <c r="K242">
        <v>4</v>
      </c>
      <c r="L242">
        <v>3</v>
      </c>
      <c r="M242">
        <v>0</v>
      </c>
      <c r="N242">
        <v>88</v>
      </c>
      <c r="O242">
        <v>49</v>
      </c>
      <c r="P242">
        <v>2</v>
      </c>
      <c r="Q242">
        <v>0</v>
      </c>
      <c r="R242">
        <v>1</v>
      </c>
      <c r="S242">
        <v>1</v>
      </c>
      <c r="T242">
        <v>1</v>
      </c>
      <c r="U242">
        <v>0</v>
      </c>
      <c r="V242">
        <v>0</v>
      </c>
      <c r="W242" s="9" t="s">
        <v>95</v>
      </c>
      <c r="X242">
        <v>22</v>
      </c>
      <c r="Y242">
        <v>88</v>
      </c>
    </row>
    <row r="243" spans="1:25" x14ac:dyDescent="0.35">
      <c r="A243" s="9" t="s">
        <v>558</v>
      </c>
      <c r="B243" s="9" t="s">
        <v>559</v>
      </c>
      <c r="C243" s="9" t="s">
        <v>134</v>
      </c>
      <c r="D243" s="9" t="s">
        <v>46</v>
      </c>
      <c r="E243" s="9" t="s">
        <v>112</v>
      </c>
      <c r="F243" s="9" t="s">
        <v>113</v>
      </c>
      <c r="G243" s="9" t="s">
        <v>54</v>
      </c>
      <c r="H243" s="9" t="s">
        <v>135</v>
      </c>
      <c r="I243">
        <v>1</v>
      </c>
      <c r="J243">
        <v>4</v>
      </c>
      <c r="K243">
        <v>4</v>
      </c>
      <c r="L243">
        <v>3</v>
      </c>
      <c r="M243">
        <v>0</v>
      </c>
      <c r="N243">
        <v>69</v>
      </c>
      <c r="O243">
        <v>50</v>
      </c>
      <c r="P243">
        <v>0</v>
      </c>
      <c r="Q243">
        <v>1</v>
      </c>
      <c r="R243">
        <v>1</v>
      </c>
      <c r="S243">
        <v>1</v>
      </c>
      <c r="T243">
        <v>1</v>
      </c>
      <c r="U243">
        <v>1</v>
      </c>
      <c r="V243">
        <v>0</v>
      </c>
      <c r="W243" s="9" t="s">
        <v>560</v>
      </c>
      <c r="X243">
        <v>24</v>
      </c>
      <c r="Y243">
        <v>88</v>
      </c>
    </row>
    <row r="244" spans="1:25" x14ac:dyDescent="0.35">
      <c r="A244" s="9" t="s">
        <v>561</v>
      </c>
      <c r="B244" s="9" t="s">
        <v>562</v>
      </c>
      <c r="C244" s="9" t="s">
        <v>61</v>
      </c>
      <c r="D244" s="9" t="s">
        <v>55</v>
      </c>
      <c r="E244" s="9" t="s">
        <v>47</v>
      </c>
      <c r="F244" s="9" t="s">
        <v>48</v>
      </c>
      <c r="G244" s="9" t="s">
        <v>49</v>
      </c>
      <c r="H244" s="9" t="s">
        <v>65</v>
      </c>
      <c r="I244">
        <v>0</v>
      </c>
      <c r="J244">
        <v>3</v>
      </c>
      <c r="K244">
        <v>3</v>
      </c>
      <c r="L244">
        <v>3</v>
      </c>
      <c r="M244">
        <v>0</v>
      </c>
      <c r="N244">
        <v>88</v>
      </c>
      <c r="O244">
        <v>88</v>
      </c>
      <c r="P244">
        <v>0</v>
      </c>
      <c r="Q244">
        <v>0</v>
      </c>
      <c r="R244">
        <v>1</v>
      </c>
      <c r="S244">
        <v>1</v>
      </c>
      <c r="T244">
        <v>0</v>
      </c>
      <c r="U244">
        <v>0</v>
      </c>
      <c r="V244">
        <v>1</v>
      </c>
      <c r="W244" s="9" t="s">
        <v>51</v>
      </c>
      <c r="X244">
        <v>0</v>
      </c>
      <c r="Y244">
        <v>88</v>
      </c>
    </row>
    <row r="245" spans="1:25" x14ac:dyDescent="0.35">
      <c r="A245" s="9" t="s">
        <v>563</v>
      </c>
      <c r="B245" s="9" t="s">
        <v>564</v>
      </c>
      <c r="C245" s="9" t="s">
        <v>54</v>
      </c>
      <c r="D245" s="9" t="s">
        <v>55</v>
      </c>
      <c r="E245" s="9" t="s">
        <v>112</v>
      </c>
      <c r="F245" s="9" t="s">
        <v>113</v>
      </c>
      <c r="G245" s="9" t="s">
        <v>54</v>
      </c>
      <c r="H245" s="9" t="s">
        <v>50</v>
      </c>
      <c r="I245">
        <v>1</v>
      </c>
      <c r="J245">
        <v>3</v>
      </c>
      <c r="K245">
        <v>3</v>
      </c>
      <c r="L245">
        <v>2</v>
      </c>
      <c r="M245">
        <v>0</v>
      </c>
      <c r="N245">
        <v>88</v>
      </c>
      <c r="O245">
        <v>88</v>
      </c>
      <c r="P245">
        <v>0</v>
      </c>
      <c r="Q245">
        <v>0</v>
      </c>
      <c r="R245">
        <v>1</v>
      </c>
      <c r="S245">
        <v>1</v>
      </c>
      <c r="T245">
        <v>0</v>
      </c>
      <c r="U245">
        <v>0</v>
      </c>
      <c r="V245">
        <v>1</v>
      </c>
      <c r="W245" s="9" t="s">
        <v>51</v>
      </c>
      <c r="X245">
        <v>0</v>
      </c>
      <c r="Y245">
        <v>88</v>
      </c>
    </row>
    <row r="246" spans="1:25" x14ac:dyDescent="0.35">
      <c r="A246" s="9" t="s">
        <v>565</v>
      </c>
      <c r="B246" s="9" t="s">
        <v>566</v>
      </c>
      <c r="C246" s="9" t="s">
        <v>45</v>
      </c>
      <c r="D246" s="9" t="s">
        <v>55</v>
      </c>
      <c r="E246" s="9" t="s">
        <v>69</v>
      </c>
      <c r="F246" s="9" t="s">
        <v>70</v>
      </c>
      <c r="G246" s="9" t="s">
        <v>49</v>
      </c>
      <c r="H246" s="9" t="s">
        <v>50</v>
      </c>
      <c r="I246">
        <v>0</v>
      </c>
      <c r="J246">
        <v>1</v>
      </c>
      <c r="K246">
        <v>1</v>
      </c>
      <c r="L246">
        <v>1</v>
      </c>
      <c r="M246">
        <v>0</v>
      </c>
      <c r="N246">
        <v>88</v>
      </c>
      <c r="P246">
        <v>1</v>
      </c>
      <c r="Q246">
        <v>0</v>
      </c>
      <c r="R246">
        <v>1</v>
      </c>
      <c r="S246">
        <v>0</v>
      </c>
      <c r="T246">
        <v>0</v>
      </c>
      <c r="U246">
        <v>0</v>
      </c>
      <c r="V246">
        <v>0</v>
      </c>
      <c r="W246" s="9" t="s">
        <v>58</v>
      </c>
      <c r="X246">
        <v>0</v>
      </c>
      <c r="Y246">
        <v>88</v>
      </c>
    </row>
    <row r="247" spans="1:25" x14ac:dyDescent="0.35">
      <c r="A247" s="9" t="s">
        <v>567</v>
      </c>
      <c r="B247" s="9" t="s">
        <v>568</v>
      </c>
      <c r="C247" s="9" t="s">
        <v>61</v>
      </c>
      <c r="D247" s="9" t="s">
        <v>46</v>
      </c>
      <c r="E247" s="9" t="s">
        <v>69</v>
      </c>
      <c r="F247" s="9" t="s">
        <v>70</v>
      </c>
      <c r="G247" s="9" t="s">
        <v>49</v>
      </c>
      <c r="H247" s="9" t="s">
        <v>65</v>
      </c>
      <c r="I247">
        <v>0</v>
      </c>
      <c r="J247">
        <v>3</v>
      </c>
      <c r="K247">
        <v>3</v>
      </c>
      <c r="L247">
        <v>2</v>
      </c>
      <c r="M247">
        <v>0</v>
      </c>
      <c r="N247">
        <v>88</v>
      </c>
      <c r="O247">
        <v>88</v>
      </c>
      <c r="P247">
        <v>1</v>
      </c>
      <c r="Q247">
        <v>0</v>
      </c>
      <c r="R247">
        <v>1</v>
      </c>
      <c r="S247">
        <v>1</v>
      </c>
      <c r="T247">
        <v>0</v>
      </c>
      <c r="U247">
        <v>0</v>
      </c>
      <c r="V247">
        <v>1</v>
      </c>
      <c r="W247" s="9" t="s">
        <v>51</v>
      </c>
      <c r="X247">
        <v>0</v>
      </c>
      <c r="Y247">
        <v>88</v>
      </c>
    </row>
    <row r="248" spans="1:25" x14ac:dyDescent="0.35">
      <c r="A248" s="9" t="s">
        <v>569</v>
      </c>
      <c r="B248" s="9" t="s">
        <v>570</v>
      </c>
      <c r="C248" s="9" t="s">
        <v>54</v>
      </c>
      <c r="D248" s="9" t="s">
        <v>46</v>
      </c>
      <c r="E248" s="9" t="s">
        <v>56</v>
      </c>
      <c r="F248" s="9" t="s">
        <v>57</v>
      </c>
      <c r="G248" s="9" t="s">
        <v>54</v>
      </c>
      <c r="H248" s="9" t="s">
        <v>50</v>
      </c>
      <c r="I248">
        <v>1</v>
      </c>
      <c r="J248">
        <v>2</v>
      </c>
      <c r="K248">
        <v>2</v>
      </c>
      <c r="L248">
        <v>2</v>
      </c>
      <c r="M248">
        <v>0</v>
      </c>
      <c r="N248">
        <v>36</v>
      </c>
      <c r="O248">
        <v>36</v>
      </c>
      <c r="P248">
        <v>0</v>
      </c>
      <c r="Q248">
        <v>0</v>
      </c>
      <c r="R248">
        <v>1</v>
      </c>
      <c r="S248">
        <v>1</v>
      </c>
      <c r="T248">
        <v>1</v>
      </c>
      <c r="U248">
        <v>0</v>
      </c>
      <c r="V248">
        <v>0</v>
      </c>
      <c r="W248" s="9" t="s">
        <v>95</v>
      </c>
      <c r="X248">
        <v>28</v>
      </c>
      <c r="Y248">
        <v>88</v>
      </c>
    </row>
    <row r="249" spans="1:25" x14ac:dyDescent="0.35">
      <c r="A249" s="9" t="s">
        <v>571</v>
      </c>
      <c r="B249" s="9" t="s">
        <v>572</v>
      </c>
      <c r="C249" s="9" t="s">
        <v>68</v>
      </c>
      <c r="D249" s="9" t="s">
        <v>55</v>
      </c>
      <c r="E249" s="9" t="s">
        <v>80</v>
      </c>
      <c r="F249" s="9" t="s">
        <v>81</v>
      </c>
      <c r="G249" s="9" t="s">
        <v>82</v>
      </c>
      <c r="H249" s="9" t="s">
        <v>65</v>
      </c>
      <c r="I249">
        <v>0</v>
      </c>
      <c r="J249">
        <v>3</v>
      </c>
      <c r="K249">
        <v>3</v>
      </c>
      <c r="L249">
        <v>3</v>
      </c>
      <c r="M249">
        <v>0</v>
      </c>
      <c r="N249">
        <v>88</v>
      </c>
      <c r="O249">
        <v>88</v>
      </c>
      <c r="P249">
        <v>0</v>
      </c>
      <c r="Q249">
        <v>0</v>
      </c>
      <c r="R249">
        <v>1</v>
      </c>
      <c r="S249">
        <v>1</v>
      </c>
      <c r="T249">
        <v>0</v>
      </c>
      <c r="U249">
        <v>0</v>
      </c>
      <c r="V249">
        <v>1</v>
      </c>
      <c r="W249" s="9" t="s">
        <v>51</v>
      </c>
      <c r="X249">
        <v>0</v>
      </c>
      <c r="Y249">
        <v>88</v>
      </c>
    </row>
    <row r="250" spans="1:25" x14ac:dyDescent="0.35">
      <c r="A250" s="9" t="s">
        <v>573</v>
      </c>
      <c r="B250" s="9" t="s">
        <v>574</v>
      </c>
      <c r="C250" s="9" t="s">
        <v>61</v>
      </c>
      <c r="D250" s="9" t="s">
        <v>46</v>
      </c>
      <c r="E250" s="9" t="s">
        <v>56</v>
      </c>
      <c r="F250" s="9" t="s">
        <v>57</v>
      </c>
      <c r="G250" s="9" t="s">
        <v>54</v>
      </c>
      <c r="H250" s="9" t="s">
        <v>65</v>
      </c>
      <c r="I250">
        <v>0</v>
      </c>
      <c r="J250">
        <v>1</v>
      </c>
      <c r="K250">
        <v>1</v>
      </c>
      <c r="L250">
        <v>1</v>
      </c>
      <c r="M250">
        <v>0</v>
      </c>
      <c r="N250">
        <v>55</v>
      </c>
      <c r="O250">
        <v>55</v>
      </c>
      <c r="P250">
        <v>0</v>
      </c>
      <c r="Q250">
        <v>0</v>
      </c>
      <c r="R250">
        <v>1</v>
      </c>
      <c r="S250">
        <v>1</v>
      </c>
      <c r="T250">
        <v>1</v>
      </c>
      <c r="U250">
        <v>0</v>
      </c>
      <c r="V250">
        <v>0</v>
      </c>
      <c r="W250" s="9" t="s">
        <v>95</v>
      </c>
      <c r="X250">
        <v>22</v>
      </c>
      <c r="Y250">
        <v>88</v>
      </c>
    </row>
    <row r="251" spans="1:25" x14ac:dyDescent="0.35">
      <c r="A251" s="9" t="s">
        <v>575</v>
      </c>
      <c r="B251" s="9" t="s">
        <v>576</v>
      </c>
      <c r="C251" s="9" t="s">
        <v>68</v>
      </c>
      <c r="D251" s="9" t="s">
        <v>55</v>
      </c>
      <c r="E251" s="9" t="s">
        <v>80</v>
      </c>
      <c r="F251" s="9" t="s">
        <v>81</v>
      </c>
      <c r="G251" s="9" t="s">
        <v>82</v>
      </c>
      <c r="H251" s="9" t="s">
        <v>65</v>
      </c>
      <c r="I251">
        <v>0</v>
      </c>
      <c r="J251">
        <v>1</v>
      </c>
      <c r="K251">
        <v>1</v>
      </c>
      <c r="L251">
        <v>1</v>
      </c>
      <c r="M251">
        <v>0</v>
      </c>
      <c r="N251">
        <v>88</v>
      </c>
      <c r="O251">
        <v>88</v>
      </c>
      <c r="P251">
        <v>0</v>
      </c>
      <c r="Q251">
        <v>0</v>
      </c>
      <c r="R251">
        <v>1</v>
      </c>
      <c r="S251">
        <v>1</v>
      </c>
      <c r="T251">
        <v>0</v>
      </c>
      <c r="U251">
        <v>0</v>
      </c>
      <c r="V251">
        <v>1</v>
      </c>
      <c r="W251" s="9" t="s">
        <v>51</v>
      </c>
      <c r="X251">
        <v>0</v>
      </c>
      <c r="Y251">
        <v>88</v>
      </c>
    </row>
    <row r="252" spans="1:25" x14ac:dyDescent="0.35">
      <c r="A252" s="9" t="s">
        <v>577</v>
      </c>
      <c r="B252" s="9" t="s">
        <v>578</v>
      </c>
      <c r="C252" s="9" t="s">
        <v>45</v>
      </c>
      <c r="D252" s="9" t="s">
        <v>55</v>
      </c>
      <c r="E252" s="9" t="s">
        <v>56</v>
      </c>
      <c r="F252" s="9" t="s">
        <v>57</v>
      </c>
      <c r="G252" s="9" t="s">
        <v>54</v>
      </c>
      <c r="H252" s="9" t="s">
        <v>50</v>
      </c>
      <c r="I252">
        <v>0</v>
      </c>
      <c r="J252">
        <v>2</v>
      </c>
      <c r="K252">
        <v>2</v>
      </c>
      <c r="L252">
        <v>2</v>
      </c>
      <c r="M252">
        <v>0</v>
      </c>
      <c r="N252">
        <v>64</v>
      </c>
      <c r="O252">
        <v>64</v>
      </c>
      <c r="P252">
        <v>0</v>
      </c>
      <c r="Q252">
        <v>0</v>
      </c>
      <c r="R252">
        <v>1</v>
      </c>
      <c r="S252">
        <v>1</v>
      </c>
      <c r="T252">
        <v>1</v>
      </c>
      <c r="U252">
        <v>0</v>
      </c>
      <c r="V252">
        <v>0</v>
      </c>
      <c r="W252" s="9" t="s">
        <v>95</v>
      </c>
      <c r="X252">
        <v>17</v>
      </c>
      <c r="Y252">
        <v>88</v>
      </c>
    </row>
    <row r="253" spans="1:25" x14ac:dyDescent="0.35">
      <c r="A253" s="9" t="s">
        <v>579</v>
      </c>
      <c r="B253" s="9" t="s">
        <v>580</v>
      </c>
      <c r="C253" s="9" t="s">
        <v>68</v>
      </c>
      <c r="D253" s="9" t="s">
        <v>46</v>
      </c>
      <c r="E253" s="9" t="s">
        <v>47</v>
      </c>
      <c r="F253" s="9" t="s">
        <v>48</v>
      </c>
      <c r="G253" s="9" t="s">
        <v>49</v>
      </c>
      <c r="H253" s="9" t="s">
        <v>65</v>
      </c>
      <c r="I253">
        <v>0</v>
      </c>
      <c r="J253">
        <v>2</v>
      </c>
      <c r="K253">
        <v>2</v>
      </c>
      <c r="L253">
        <v>2</v>
      </c>
      <c r="M253">
        <v>0</v>
      </c>
      <c r="N253">
        <v>88</v>
      </c>
      <c r="O253">
        <v>88</v>
      </c>
      <c r="P253">
        <v>1</v>
      </c>
      <c r="Q253">
        <v>0</v>
      </c>
      <c r="R253">
        <v>1</v>
      </c>
      <c r="S253">
        <v>1</v>
      </c>
      <c r="T253">
        <v>0</v>
      </c>
      <c r="U253">
        <v>0</v>
      </c>
      <c r="V253">
        <v>1</v>
      </c>
      <c r="W253" s="9" t="s">
        <v>51</v>
      </c>
      <c r="X253">
        <v>0</v>
      </c>
      <c r="Y253">
        <v>88</v>
      </c>
    </row>
    <row r="254" spans="1:25" x14ac:dyDescent="0.35">
      <c r="A254" s="9" t="s">
        <v>581</v>
      </c>
      <c r="B254" s="9" t="s">
        <v>582</v>
      </c>
      <c r="C254" s="9" t="s">
        <v>68</v>
      </c>
      <c r="D254" s="9" t="s">
        <v>46</v>
      </c>
      <c r="E254" s="9" t="s">
        <v>76</v>
      </c>
      <c r="F254" s="9" t="s">
        <v>77</v>
      </c>
      <c r="G254" s="9" t="s">
        <v>54</v>
      </c>
      <c r="H254" s="9" t="s">
        <v>65</v>
      </c>
      <c r="I254">
        <v>0</v>
      </c>
      <c r="J254">
        <v>4</v>
      </c>
      <c r="K254">
        <v>4</v>
      </c>
      <c r="L254">
        <v>4</v>
      </c>
      <c r="M254">
        <v>0</v>
      </c>
      <c r="N254">
        <v>88</v>
      </c>
      <c r="O254">
        <v>88</v>
      </c>
      <c r="P254">
        <v>2</v>
      </c>
      <c r="Q254">
        <v>0</v>
      </c>
      <c r="R254">
        <v>1</v>
      </c>
      <c r="S254">
        <v>1</v>
      </c>
      <c r="T254">
        <v>0</v>
      </c>
      <c r="U254">
        <v>0</v>
      </c>
      <c r="V254">
        <v>1</v>
      </c>
      <c r="W254" s="9" t="s">
        <v>51</v>
      </c>
      <c r="X254">
        <v>0</v>
      </c>
      <c r="Y254">
        <v>88</v>
      </c>
    </row>
    <row r="255" spans="1:25" x14ac:dyDescent="0.35">
      <c r="A255" s="9" t="s">
        <v>583</v>
      </c>
      <c r="B255" s="9" t="s">
        <v>584</v>
      </c>
      <c r="C255" s="9" t="s">
        <v>45</v>
      </c>
      <c r="D255" s="9" t="s">
        <v>46</v>
      </c>
      <c r="E255" s="9" t="s">
        <v>63</v>
      </c>
      <c r="F255" s="9" t="s">
        <v>64</v>
      </c>
      <c r="G255" s="9" t="s">
        <v>49</v>
      </c>
      <c r="H255" s="9" t="s">
        <v>50</v>
      </c>
      <c r="I255">
        <v>0</v>
      </c>
      <c r="J255">
        <v>2</v>
      </c>
      <c r="K255">
        <v>2</v>
      </c>
      <c r="L255">
        <v>2</v>
      </c>
      <c r="M255">
        <v>0</v>
      </c>
      <c r="N255">
        <v>88</v>
      </c>
      <c r="O255">
        <v>88</v>
      </c>
      <c r="P255">
        <v>0</v>
      </c>
      <c r="Q255">
        <v>0</v>
      </c>
      <c r="R255">
        <v>1</v>
      </c>
      <c r="S255">
        <v>1</v>
      </c>
      <c r="T255">
        <v>0</v>
      </c>
      <c r="U255">
        <v>0</v>
      </c>
      <c r="V255">
        <v>1</v>
      </c>
      <c r="W255" s="9" t="s">
        <v>51</v>
      </c>
      <c r="X255">
        <v>0</v>
      </c>
      <c r="Y255">
        <v>88</v>
      </c>
    </row>
    <row r="256" spans="1:25" x14ac:dyDescent="0.35">
      <c r="A256" s="9" t="s">
        <v>585</v>
      </c>
      <c r="B256" s="9" t="s">
        <v>586</v>
      </c>
      <c r="C256" s="9" t="s">
        <v>61</v>
      </c>
      <c r="D256" s="9" t="s">
        <v>46</v>
      </c>
      <c r="E256" s="9" t="s">
        <v>56</v>
      </c>
      <c r="F256" s="9" t="s">
        <v>57</v>
      </c>
      <c r="G256" s="9" t="s">
        <v>54</v>
      </c>
      <c r="H256" s="9" t="s">
        <v>65</v>
      </c>
      <c r="I256">
        <v>0</v>
      </c>
      <c r="J256">
        <v>1</v>
      </c>
      <c r="K256">
        <v>1</v>
      </c>
      <c r="L256">
        <v>0</v>
      </c>
      <c r="M256">
        <v>0</v>
      </c>
      <c r="P256">
        <v>0</v>
      </c>
      <c r="Q256">
        <v>0</v>
      </c>
      <c r="R256">
        <v>0</v>
      </c>
      <c r="S256">
        <v>0</v>
      </c>
      <c r="T256">
        <v>0</v>
      </c>
      <c r="U256">
        <v>0</v>
      </c>
      <c r="V256">
        <v>0</v>
      </c>
      <c r="W256" s="9" t="s">
        <v>73</v>
      </c>
      <c r="X256">
        <v>0</v>
      </c>
      <c r="Y256">
        <v>88</v>
      </c>
    </row>
    <row r="257" spans="1:25" x14ac:dyDescent="0.35">
      <c r="A257" s="9" t="s">
        <v>587</v>
      </c>
      <c r="B257" s="9" t="s">
        <v>588</v>
      </c>
      <c r="C257" s="9" t="s">
        <v>61</v>
      </c>
      <c r="D257" s="9" t="s">
        <v>62</v>
      </c>
      <c r="E257" s="9" t="s">
        <v>69</v>
      </c>
      <c r="F257" s="9" t="s">
        <v>70</v>
      </c>
      <c r="G257" s="9" t="s">
        <v>49</v>
      </c>
      <c r="H257" s="9" t="s">
        <v>65</v>
      </c>
      <c r="I257">
        <v>0</v>
      </c>
      <c r="J257">
        <v>3</v>
      </c>
      <c r="K257">
        <v>3</v>
      </c>
      <c r="L257">
        <v>2</v>
      </c>
      <c r="M257">
        <v>0</v>
      </c>
      <c r="N257">
        <v>88</v>
      </c>
      <c r="O257">
        <v>88</v>
      </c>
      <c r="P257">
        <v>0</v>
      </c>
      <c r="Q257">
        <v>0</v>
      </c>
      <c r="R257">
        <v>1</v>
      </c>
      <c r="S257">
        <v>1</v>
      </c>
      <c r="T257">
        <v>0</v>
      </c>
      <c r="U257">
        <v>0</v>
      </c>
      <c r="V257">
        <v>1</v>
      </c>
      <c r="W257" s="9" t="s">
        <v>51</v>
      </c>
      <c r="X257">
        <v>0</v>
      </c>
      <c r="Y257">
        <v>88</v>
      </c>
    </row>
    <row r="258" spans="1:25" x14ac:dyDescent="0.35">
      <c r="A258" s="9" t="s">
        <v>589</v>
      </c>
      <c r="B258" s="9" t="s">
        <v>590</v>
      </c>
      <c r="C258" s="9" t="s">
        <v>68</v>
      </c>
      <c r="D258" s="9" t="s">
        <v>46</v>
      </c>
      <c r="E258" s="9" t="s">
        <v>69</v>
      </c>
      <c r="F258" s="9" t="s">
        <v>70</v>
      </c>
      <c r="G258" s="9" t="s">
        <v>49</v>
      </c>
      <c r="H258" s="9" t="s">
        <v>65</v>
      </c>
      <c r="I258">
        <v>0</v>
      </c>
      <c r="J258">
        <v>4</v>
      </c>
      <c r="K258">
        <v>4</v>
      </c>
      <c r="L258">
        <v>4</v>
      </c>
      <c r="M258">
        <v>0</v>
      </c>
      <c r="N258">
        <v>88</v>
      </c>
      <c r="O258">
        <v>88</v>
      </c>
      <c r="P258">
        <v>2</v>
      </c>
      <c r="Q258">
        <v>0</v>
      </c>
      <c r="R258">
        <v>1</v>
      </c>
      <c r="S258">
        <v>1</v>
      </c>
      <c r="T258">
        <v>0</v>
      </c>
      <c r="U258">
        <v>0</v>
      </c>
      <c r="V258">
        <v>1</v>
      </c>
      <c r="W258" s="9" t="s">
        <v>51</v>
      </c>
      <c r="X258">
        <v>0</v>
      </c>
      <c r="Y258">
        <v>88</v>
      </c>
    </row>
    <row r="259" spans="1:25" x14ac:dyDescent="0.35">
      <c r="A259" s="9" t="s">
        <v>591</v>
      </c>
      <c r="B259" s="9" t="s">
        <v>592</v>
      </c>
      <c r="C259" s="9" t="s">
        <v>45</v>
      </c>
      <c r="D259" s="9" t="s">
        <v>46</v>
      </c>
      <c r="E259" s="9" t="s">
        <v>56</v>
      </c>
      <c r="F259" s="9" t="s">
        <v>57</v>
      </c>
      <c r="G259" s="9" t="s">
        <v>54</v>
      </c>
      <c r="H259" s="9" t="s">
        <v>50</v>
      </c>
      <c r="I259">
        <v>0</v>
      </c>
      <c r="J259">
        <v>2</v>
      </c>
      <c r="K259">
        <v>2</v>
      </c>
      <c r="L259">
        <v>1</v>
      </c>
      <c r="M259">
        <v>0</v>
      </c>
      <c r="N259">
        <v>51</v>
      </c>
      <c r="O259">
        <v>51</v>
      </c>
      <c r="P259">
        <v>0</v>
      </c>
      <c r="Q259">
        <v>0</v>
      </c>
      <c r="R259">
        <v>1</v>
      </c>
      <c r="S259">
        <v>1</v>
      </c>
      <c r="T259">
        <v>1</v>
      </c>
      <c r="U259">
        <v>0</v>
      </c>
      <c r="V259">
        <v>0</v>
      </c>
      <c r="W259" s="9" t="s">
        <v>95</v>
      </c>
      <c r="X259">
        <v>22</v>
      </c>
      <c r="Y259">
        <v>88</v>
      </c>
    </row>
    <row r="260" spans="1:25" x14ac:dyDescent="0.35">
      <c r="A260" s="9" t="s">
        <v>593</v>
      </c>
      <c r="B260" s="9" t="s">
        <v>594</v>
      </c>
      <c r="C260" s="9" t="s">
        <v>68</v>
      </c>
      <c r="D260" s="9" t="s">
        <v>46</v>
      </c>
      <c r="E260" s="9" t="s">
        <v>69</v>
      </c>
      <c r="F260" s="9" t="s">
        <v>70</v>
      </c>
      <c r="G260" s="9" t="s">
        <v>49</v>
      </c>
      <c r="H260" s="9" t="s">
        <v>65</v>
      </c>
      <c r="I260">
        <v>0</v>
      </c>
      <c r="J260">
        <v>2</v>
      </c>
      <c r="K260">
        <v>2</v>
      </c>
      <c r="L260">
        <v>2</v>
      </c>
      <c r="M260">
        <v>0</v>
      </c>
      <c r="N260">
        <v>88</v>
      </c>
      <c r="O260">
        <v>88</v>
      </c>
      <c r="P260">
        <v>1</v>
      </c>
      <c r="Q260">
        <v>0</v>
      </c>
      <c r="R260">
        <v>1</v>
      </c>
      <c r="S260">
        <v>1</v>
      </c>
      <c r="T260">
        <v>0</v>
      </c>
      <c r="U260">
        <v>0</v>
      </c>
      <c r="V260">
        <v>1</v>
      </c>
      <c r="W260" s="9" t="s">
        <v>51</v>
      </c>
      <c r="X260">
        <v>0</v>
      </c>
      <c r="Y260">
        <v>88</v>
      </c>
    </row>
    <row r="261" spans="1:25" x14ac:dyDescent="0.35">
      <c r="A261" s="9" t="s">
        <v>595</v>
      </c>
      <c r="B261" s="9" t="s">
        <v>596</v>
      </c>
      <c r="C261" s="9" t="s">
        <v>54</v>
      </c>
      <c r="D261" s="9" t="s">
        <v>46</v>
      </c>
      <c r="E261" s="9" t="s">
        <v>69</v>
      </c>
      <c r="F261" s="9" t="s">
        <v>70</v>
      </c>
      <c r="G261" s="9" t="s">
        <v>49</v>
      </c>
      <c r="H261" s="9" t="s">
        <v>50</v>
      </c>
      <c r="I261">
        <v>1</v>
      </c>
      <c r="J261">
        <v>1</v>
      </c>
      <c r="K261">
        <v>1</v>
      </c>
      <c r="L261">
        <v>1</v>
      </c>
      <c r="M261">
        <v>0</v>
      </c>
      <c r="N261">
        <v>88</v>
      </c>
      <c r="P261">
        <v>1</v>
      </c>
      <c r="Q261">
        <v>0</v>
      </c>
      <c r="R261">
        <v>1</v>
      </c>
      <c r="S261">
        <v>0</v>
      </c>
      <c r="T261">
        <v>0</v>
      </c>
      <c r="U261">
        <v>0</v>
      </c>
      <c r="V261">
        <v>0</v>
      </c>
      <c r="W261" s="9" t="s">
        <v>58</v>
      </c>
      <c r="X261">
        <v>0</v>
      </c>
      <c r="Y261">
        <v>88</v>
      </c>
    </row>
    <row r="262" spans="1:25" x14ac:dyDescent="0.35">
      <c r="A262" s="9" t="s">
        <v>597</v>
      </c>
      <c r="B262" s="9" t="s">
        <v>598</v>
      </c>
      <c r="C262" s="9" t="s">
        <v>61</v>
      </c>
      <c r="D262" s="9" t="s">
        <v>55</v>
      </c>
      <c r="E262" s="9" t="s">
        <v>69</v>
      </c>
      <c r="F262" s="9" t="s">
        <v>70</v>
      </c>
      <c r="G262" s="9" t="s">
        <v>49</v>
      </c>
      <c r="H262" s="9" t="s">
        <v>65</v>
      </c>
      <c r="I262">
        <v>0</v>
      </c>
      <c r="J262">
        <v>3</v>
      </c>
      <c r="K262">
        <v>3</v>
      </c>
      <c r="L262">
        <v>3</v>
      </c>
      <c r="M262">
        <v>0</v>
      </c>
      <c r="N262">
        <v>88</v>
      </c>
      <c r="O262">
        <v>88</v>
      </c>
      <c r="P262">
        <v>1</v>
      </c>
      <c r="Q262">
        <v>0</v>
      </c>
      <c r="R262">
        <v>1</v>
      </c>
      <c r="S262">
        <v>1</v>
      </c>
      <c r="T262">
        <v>0</v>
      </c>
      <c r="U262">
        <v>0</v>
      </c>
      <c r="V262">
        <v>1</v>
      </c>
      <c r="W262" s="9" t="s">
        <v>51</v>
      </c>
      <c r="X262">
        <v>0</v>
      </c>
      <c r="Y262">
        <v>88</v>
      </c>
    </row>
    <row r="263" spans="1:25" x14ac:dyDescent="0.35">
      <c r="A263" s="9" t="s">
        <v>599</v>
      </c>
      <c r="B263" s="9" t="s">
        <v>600</v>
      </c>
      <c r="C263" s="9" t="s">
        <v>45</v>
      </c>
      <c r="D263" s="9" t="s">
        <v>55</v>
      </c>
      <c r="E263" s="9" t="s">
        <v>112</v>
      </c>
      <c r="F263" s="9" t="s">
        <v>113</v>
      </c>
      <c r="G263" s="9" t="s">
        <v>54</v>
      </c>
      <c r="H263" s="9" t="s">
        <v>50</v>
      </c>
      <c r="I263">
        <v>0</v>
      </c>
      <c r="J263">
        <v>2</v>
      </c>
      <c r="K263">
        <v>2</v>
      </c>
      <c r="L263">
        <v>2</v>
      </c>
      <c r="M263">
        <v>0</v>
      </c>
      <c r="N263">
        <v>54</v>
      </c>
      <c r="O263">
        <v>54</v>
      </c>
      <c r="P263">
        <v>1</v>
      </c>
      <c r="Q263">
        <v>0</v>
      </c>
      <c r="R263">
        <v>1</v>
      </c>
      <c r="S263">
        <v>1</v>
      </c>
      <c r="T263">
        <v>1</v>
      </c>
      <c r="U263">
        <v>1</v>
      </c>
      <c r="V263">
        <v>0</v>
      </c>
      <c r="W263" s="9" t="s">
        <v>560</v>
      </c>
      <c r="X263">
        <v>22</v>
      </c>
      <c r="Y263">
        <v>88</v>
      </c>
    </row>
    <row r="264" spans="1:25" x14ac:dyDescent="0.35">
      <c r="A264" s="9" t="s">
        <v>601</v>
      </c>
      <c r="B264" s="9" t="s">
        <v>602</v>
      </c>
      <c r="C264" s="9" t="s">
        <v>61</v>
      </c>
      <c r="D264" s="9" t="s">
        <v>62</v>
      </c>
      <c r="E264" s="9" t="s">
        <v>56</v>
      </c>
      <c r="F264" s="9" t="s">
        <v>57</v>
      </c>
      <c r="G264" s="9" t="s">
        <v>54</v>
      </c>
      <c r="H264" s="9" t="s">
        <v>65</v>
      </c>
      <c r="I264">
        <v>0</v>
      </c>
      <c r="J264">
        <v>3</v>
      </c>
      <c r="K264">
        <v>3</v>
      </c>
      <c r="L264">
        <v>3</v>
      </c>
      <c r="M264">
        <v>0</v>
      </c>
      <c r="N264">
        <v>88</v>
      </c>
      <c r="O264">
        <v>88</v>
      </c>
      <c r="P264">
        <v>1</v>
      </c>
      <c r="Q264">
        <v>0</v>
      </c>
      <c r="R264">
        <v>1</v>
      </c>
      <c r="S264">
        <v>1</v>
      </c>
      <c r="T264">
        <v>0</v>
      </c>
      <c r="U264">
        <v>0</v>
      </c>
      <c r="V264">
        <v>1</v>
      </c>
      <c r="W264" s="9" t="s">
        <v>51</v>
      </c>
      <c r="X264">
        <v>0</v>
      </c>
      <c r="Y264">
        <v>88</v>
      </c>
    </row>
    <row r="265" spans="1:25" x14ac:dyDescent="0.35">
      <c r="A265" s="9" t="s">
        <v>603</v>
      </c>
      <c r="B265" s="9" t="s">
        <v>604</v>
      </c>
      <c r="C265" s="9" t="s">
        <v>61</v>
      </c>
      <c r="D265" s="9" t="s">
        <v>55</v>
      </c>
      <c r="E265" s="9" t="s">
        <v>63</v>
      </c>
      <c r="F265" s="9" t="s">
        <v>64</v>
      </c>
      <c r="G265" s="9" t="s">
        <v>49</v>
      </c>
      <c r="H265" s="9" t="s">
        <v>65</v>
      </c>
      <c r="I265">
        <v>0</v>
      </c>
      <c r="J265">
        <v>4</v>
      </c>
      <c r="K265">
        <v>4</v>
      </c>
      <c r="L265">
        <v>4</v>
      </c>
      <c r="M265">
        <v>0</v>
      </c>
      <c r="N265">
        <v>88</v>
      </c>
      <c r="O265">
        <v>88</v>
      </c>
      <c r="P265">
        <v>0</v>
      </c>
      <c r="Q265">
        <v>0</v>
      </c>
      <c r="R265">
        <v>1</v>
      </c>
      <c r="S265">
        <v>1</v>
      </c>
      <c r="T265">
        <v>0</v>
      </c>
      <c r="U265">
        <v>0</v>
      </c>
      <c r="V265">
        <v>1</v>
      </c>
      <c r="W265" s="9" t="s">
        <v>51</v>
      </c>
      <c r="X265">
        <v>0</v>
      </c>
      <c r="Y265">
        <v>88</v>
      </c>
    </row>
    <row r="266" spans="1:25" x14ac:dyDescent="0.35">
      <c r="A266" s="9" t="s">
        <v>605</v>
      </c>
      <c r="B266" s="9" t="s">
        <v>606</v>
      </c>
      <c r="C266" s="9" t="s">
        <v>45</v>
      </c>
      <c r="D266" s="9" t="s">
        <v>46</v>
      </c>
      <c r="E266" s="9" t="s">
        <v>69</v>
      </c>
      <c r="F266" s="9" t="s">
        <v>70</v>
      </c>
      <c r="G266" s="9" t="s">
        <v>49</v>
      </c>
      <c r="H266" s="9" t="s">
        <v>50</v>
      </c>
      <c r="I266">
        <v>0</v>
      </c>
      <c r="J266">
        <v>4</v>
      </c>
      <c r="K266">
        <v>4</v>
      </c>
      <c r="L266">
        <v>3</v>
      </c>
      <c r="M266">
        <v>0</v>
      </c>
      <c r="N266">
        <v>88</v>
      </c>
      <c r="O266">
        <v>88</v>
      </c>
      <c r="P266">
        <v>1</v>
      </c>
      <c r="Q266">
        <v>0</v>
      </c>
      <c r="R266">
        <v>1</v>
      </c>
      <c r="S266">
        <v>1</v>
      </c>
      <c r="T266">
        <v>0</v>
      </c>
      <c r="U266">
        <v>0</v>
      </c>
      <c r="V266">
        <v>1</v>
      </c>
      <c r="W266" s="9" t="s">
        <v>51</v>
      </c>
      <c r="X266">
        <v>0</v>
      </c>
      <c r="Y266">
        <v>88</v>
      </c>
    </row>
    <row r="267" spans="1:25" x14ac:dyDescent="0.35">
      <c r="A267" s="9" t="s">
        <v>607</v>
      </c>
      <c r="B267" s="9" t="s">
        <v>608</v>
      </c>
      <c r="C267" s="9" t="s">
        <v>134</v>
      </c>
      <c r="D267" s="9" t="s">
        <v>55</v>
      </c>
      <c r="E267" s="9" t="s">
        <v>112</v>
      </c>
      <c r="F267" s="9" t="s">
        <v>113</v>
      </c>
      <c r="G267" s="9" t="s">
        <v>54</v>
      </c>
      <c r="H267" s="9" t="s">
        <v>135</v>
      </c>
      <c r="I267">
        <v>1</v>
      </c>
      <c r="J267">
        <v>4</v>
      </c>
      <c r="K267">
        <v>4</v>
      </c>
      <c r="L267">
        <v>4</v>
      </c>
      <c r="M267">
        <v>0</v>
      </c>
      <c r="N267">
        <v>70</v>
      </c>
      <c r="O267">
        <v>49</v>
      </c>
      <c r="P267">
        <v>2</v>
      </c>
      <c r="Q267">
        <v>0</v>
      </c>
      <c r="R267">
        <v>1</v>
      </c>
      <c r="S267">
        <v>1</v>
      </c>
      <c r="T267">
        <v>1</v>
      </c>
      <c r="U267">
        <v>0</v>
      </c>
      <c r="V267">
        <v>0</v>
      </c>
      <c r="W267" s="9" t="s">
        <v>95</v>
      </c>
      <c r="X267">
        <v>24</v>
      </c>
      <c r="Y267">
        <v>88</v>
      </c>
    </row>
    <row r="268" spans="1:25" x14ac:dyDescent="0.35">
      <c r="A268" s="9" t="s">
        <v>609</v>
      </c>
      <c r="B268" s="9" t="s">
        <v>610</v>
      </c>
      <c r="C268" s="9" t="s">
        <v>68</v>
      </c>
      <c r="D268" s="9" t="s">
        <v>62</v>
      </c>
      <c r="E268" s="9" t="s">
        <v>80</v>
      </c>
      <c r="F268" s="9" t="s">
        <v>81</v>
      </c>
      <c r="G268" s="9" t="s">
        <v>82</v>
      </c>
      <c r="H268" s="9" t="s">
        <v>65</v>
      </c>
      <c r="I268">
        <v>0</v>
      </c>
      <c r="J268">
        <v>4</v>
      </c>
      <c r="K268">
        <v>4</v>
      </c>
      <c r="L268">
        <v>3</v>
      </c>
      <c r="M268">
        <v>0</v>
      </c>
      <c r="N268">
        <v>88</v>
      </c>
      <c r="O268">
        <v>88</v>
      </c>
      <c r="P268">
        <v>0</v>
      </c>
      <c r="Q268">
        <v>0</v>
      </c>
      <c r="R268">
        <v>1</v>
      </c>
      <c r="S268">
        <v>1</v>
      </c>
      <c r="T268">
        <v>0</v>
      </c>
      <c r="U268">
        <v>0</v>
      </c>
      <c r="V268">
        <v>1</v>
      </c>
      <c r="W268" s="9" t="s">
        <v>51</v>
      </c>
      <c r="X268">
        <v>0</v>
      </c>
      <c r="Y268">
        <v>88</v>
      </c>
    </row>
    <row r="269" spans="1:25" x14ac:dyDescent="0.35">
      <c r="A269" s="9" t="s">
        <v>611</v>
      </c>
      <c r="B269" s="9" t="s">
        <v>612</v>
      </c>
      <c r="C269" s="9" t="s">
        <v>54</v>
      </c>
      <c r="D269" s="9" t="s">
        <v>46</v>
      </c>
      <c r="E269" s="9" t="s">
        <v>112</v>
      </c>
      <c r="F269" s="9" t="s">
        <v>113</v>
      </c>
      <c r="G269" s="9" t="s">
        <v>54</v>
      </c>
      <c r="H269" s="9" t="s">
        <v>50</v>
      </c>
      <c r="I269">
        <v>1</v>
      </c>
      <c r="J269">
        <v>4</v>
      </c>
      <c r="K269">
        <v>4</v>
      </c>
      <c r="L269">
        <v>3</v>
      </c>
      <c r="M269">
        <v>0</v>
      </c>
      <c r="N269">
        <v>63</v>
      </c>
      <c r="O269">
        <v>63</v>
      </c>
      <c r="P269">
        <v>0</v>
      </c>
      <c r="Q269">
        <v>0</v>
      </c>
      <c r="R269">
        <v>1</v>
      </c>
      <c r="S269">
        <v>1</v>
      </c>
      <c r="T269">
        <v>1</v>
      </c>
      <c r="U269">
        <v>0</v>
      </c>
      <c r="V269">
        <v>0</v>
      </c>
      <c r="W269" s="9" t="s">
        <v>95</v>
      </c>
      <c r="X269">
        <v>18</v>
      </c>
      <c r="Y269">
        <v>88</v>
      </c>
    </row>
    <row r="270" spans="1:25" x14ac:dyDescent="0.35">
      <c r="A270" s="9" t="s">
        <v>613</v>
      </c>
      <c r="B270" s="9" t="s">
        <v>614</v>
      </c>
      <c r="C270" s="9" t="s">
        <v>61</v>
      </c>
      <c r="D270" s="9" t="s">
        <v>62</v>
      </c>
      <c r="E270" s="9" t="s">
        <v>63</v>
      </c>
      <c r="F270" s="9" t="s">
        <v>64</v>
      </c>
      <c r="G270" s="9" t="s">
        <v>49</v>
      </c>
      <c r="H270" s="9" t="s">
        <v>65</v>
      </c>
      <c r="I270">
        <v>0</v>
      </c>
      <c r="J270">
        <v>3</v>
      </c>
      <c r="K270">
        <v>3</v>
      </c>
      <c r="L270">
        <v>2</v>
      </c>
      <c r="M270">
        <v>0</v>
      </c>
      <c r="N270">
        <v>88</v>
      </c>
      <c r="O270">
        <v>88</v>
      </c>
      <c r="P270">
        <v>0</v>
      </c>
      <c r="Q270">
        <v>0</v>
      </c>
      <c r="R270">
        <v>1</v>
      </c>
      <c r="S270">
        <v>1</v>
      </c>
      <c r="T270">
        <v>0</v>
      </c>
      <c r="U270">
        <v>0</v>
      </c>
      <c r="V270">
        <v>1</v>
      </c>
      <c r="W270" s="9" t="s">
        <v>51</v>
      </c>
      <c r="X270">
        <v>0</v>
      </c>
      <c r="Y270">
        <v>88</v>
      </c>
    </row>
    <row r="271" spans="1:25" x14ac:dyDescent="0.35">
      <c r="A271" s="9" t="s">
        <v>615</v>
      </c>
      <c r="B271" s="9" t="s">
        <v>616</v>
      </c>
      <c r="C271" s="9" t="s">
        <v>68</v>
      </c>
      <c r="D271" s="9" t="s">
        <v>46</v>
      </c>
      <c r="E271" s="9" t="s">
        <v>80</v>
      </c>
      <c r="F271" s="9" t="s">
        <v>81</v>
      </c>
      <c r="G271" s="9" t="s">
        <v>82</v>
      </c>
      <c r="H271" s="9" t="s">
        <v>65</v>
      </c>
      <c r="I271">
        <v>0</v>
      </c>
      <c r="J271">
        <v>2</v>
      </c>
      <c r="K271">
        <v>2</v>
      </c>
      <c r="L271">
        <v>2</v>
      </c>
      <c r="M271">
        <v>0</v>
      </c>
      <c r="N271">
        <v>88</v>
      </c>
      <c r="O271">
        <v>88</v>
      </c>
      <c r="P271">
        <v>1</v>
      </c>
      <c r="Q271">
        <v>0</v>
      </c>
      <c r="R271">
        <v>1</v>
      </c>
      <c r="S271">
        <v>1</v>
      </c>
      <c r="T271">
        <v>0</v>
      </c>
      <c r="U271">
        <v>0</v>
      </c>
      <c r="V271">
        <v>1</v>
      </c>
      <c r="W271" s="9" t="s">
        <v>51</v>
      </c>
      <c r="X271">
        <v>0</v>
      </c>
      <c r="Y271">
        <v>88</v>
      </c>
    </row>
    <row r="272" spans="1:25" x14ac:dyDescent="0.35">
      <c r="A272" s="9" t="s">
        <v>617</v>
      </c>
      <c r="B272" s="9" t="s">
        <v>618</v>
      </c>
      <c r="C272" s="9" t="s">
        <v>45</v>
      </c>
      <c r="D272" s="9" t="s">
        <v>46</v>
      </c>
      <c r="E272" s="9" t="s">
        <v>56</v>
      </c>
      <c r="F272" s="9" t="s">
        <v>57</v>
      </c>
      <c r="G272" s="9" t="s">
        <v>54</v>
      </c>
      <c r="H272" s="9" t="s">
        <v>50</v>
      </c>
      <c r="I272">
        <v>0</v>
      </c>
      <c r="J272">
        <v>4</v>
      </c>
      <c r="K272">
        <v>4</v>
      </c>
      <c r="L272">
        <v>3</v>
      </c>
      <c r="M272">
        <v>0</v>
      </c>
      <c r="N272">
        <v>88</v>
      </c>
      <c r="O272">
        <v>88</v>
      </c>
      <c r="P272">
        <v>2</v>
      </c>
      <c r="Q272">
        <v>0</v>
      </c>
      <c r="R272">
        <v>1</v>
      </c>
      <c r="S272">
        <v>1</v>
      </c>
      <c r="T272">
        <v>0</v>
      </c>
      <c r="U272">
        <v>0</v>
      </c>
      <c r="V272">
        <v>1</v>
      </c>
      <c r="W272" s="9" t="s">
        <v>51</v>
      </c>
      <c r="X272">
        <v>0</v>
      </c>
      <c r="Y272">
        <v>88</v>
      </c>
    </row>
    <row r="273" spans="1:25" x14ac:dyDescent="0.35">
      <c r="A273" s="9" t="s">
        <v>619</v>
      </c>
      <c r="B273" s="9" t="s">
        <v>620</v>
      </c>
      <c r="C273" s="9" t="s">
        <v>45</v>
      </c>
      <c r="D273" s="9" t="s">
        <v>62</v>
      </c>
      <c r="E273" s="9" t="s">
        <v>56</v>
      </c>
      <c r="F273" s="9" t="s">
        <v>57</v>
      </c>
      <c r="G273" s="9" t="s">
        <v>54</v>
      </c>
      <c r="H273" s="9" t="s">
        <v>50</v>
      </c>
      <c r="I273">
        <v>0</v>
      </c>
      <c r="J273">
        <v>1</v>
      </c>
      <c r="K273">
        <v>1</v>
      </c>
      <c r="L273">
        <v>1</v>
      </c>
      <c r="M273">
        <v>0</v>
      </c>
      <c r="N273">
        <v>68</v>
      </c>
      <c r="P273">
        <v>1</v>
      </c>
      <c r="Q273">
        <v>0</v>
      </c>
      <c r="R273">
        <v>1</v>
      </c>
      <c r="S273">
        <v>0</v>
      </c>
      <c r="T273">
        <v>0</v>
      </c>
      <c r="U273">
        <v>0</v>
      </c>
      <c r="V273">
        <v>0</v>
      </c>
      <c r="W273" s="9" t="s">
        <v>58</v>
      </c>
      <c r="X273">
        <v>0</v>
      </c>
      <c r="Y273">
        <v>88</v>
      </c>
    </row>
    <row r="274" spans="1:25" x14ac:dyDescent="0.35">
      <c r="A274" s="9" t="s">
        <v>621</v>
      </c>
      <c r="B274" s="9" t="s">
        <v>622</v>
      </c>
      <c r="C274" s="9" t="s">
        <v>45</v>
      </c>
      <c r="D274" s="9" t="s">
        <v>55</v>
      </c>
      <c r="E274" s="9" t="s">
        <v>69</v>
      </c>
      <c r="F274" s="9" t="s">
        <v>70</v>
      </c>
      <c r="G274" s="9" t="s">
        <v>49</v>
      </c>
      <c r="H274" s="9" t="s">
        <v>50</v>
      </c>
      <c r="I274">
        <v>0</v>
      </c>
      <c r="J274">
        <v>3</v>
      </c>
      <c r="K274">
        <v>3</v>
      </c>
      <c r="L274">
        <v>3</v>
      </c>
      <c r="M274">
        <v>0</v>
      </c>
      <c r="N274">
        <v>88</v>
      </c>
      <c r="O274">
        <v>88</v>
      </c>
      <c r="P274">
        <v>1</v>
      </c>
      <c r="Q274">
        <v>0</v>
      </c>
      <c r="R274">
        <v>1</v>
      </c>
      <c r="S274">
        <v>1</v>
      </c>
      <c r="T274">
        <v>0</v>
      </c>
      <c r="U274">
        <v>0</v>
      </c>
      <c r="V274">
        <v>1</v>
      </c>
      <c r="W274" s="9" t="s">
        <v>51</v>
      </c>
      <c r="X274">
        <v>0</v>
      </c>
      <c r="Y274">
        <v>88</v>
      </c>
    </row>
    <row r="275" spans="1:25" x14ac:dyDescent="0.35">
      <c r="A275" s="9" t="s">
        <v>623</v>
      </c>
      <c r="B275" s="9" t="s">
        <v>624</v>
      </c>
      <c r="C275" s="9" t="s">
        <v>54</v>
      </c>
      <c r="D275" s="9" t="s">
        <v>46</v>
      </c>
      <c r="E275" s="9" t="s">
        <v>63</v>
      </c>
      <c r="F275" s="9" t="s">
        <v>64</v>
      </c>
      <c r="G275" s="9" t="s">
        <v>49</v>
      </c>
      <c r="H275" s="9" t="s">
        <v>50</v>
      </c>
      <c r="I275">
        <v>1</v>
      </c>
      <c r="J275">
        <v>3</v>
      </c>
      <c r="K275">
        <v>3</v>
      </c>
      <c r="L275">
        <v>3</v>
      </c>
      <c r="M275">
        <v>0</v>
      </c>
      <c r="N275">
        <v>88</v>
      </c>
      <c r="P275">
        <v>3</v>
      </c>
      <c r="Q275">
        <v>1</v>
      </c>
      <c r="R275">
        <v>1</v>
      </c>
      <c r="S275">
        <v>0</v>
      </c>
      <c r="T275">
        <v>0</v>
      </c>
      <c r="U275">
        <v>0</v>
      </c>
      <c r="V275">
        <v>0</v>
      </c>
      <c r="W275" s="9" t="s">
        <v>58</v>
      </c>
      <c r="X275">
        <v>0</v>
      </c>
      <c r="Y275">
        <v>88</v>
      </c>
    </row>
    <row r="276" spans="1:25" x14ac:dyDescent="0.35">
      <c r="A276" s="9" t="s">
        <v>625</v>
      </c>
      <c r="B276" s="9" t="s">
        <v>626</v>
      </c>
      <c r="C276" s="9" t="s">
        <v>61</v>
      </c>
      <c r="D276" s="9" t="s">
        <v>46</v>
      </c>
      <c r="E276" s="9" t="s">
        <v>56</v>
      </c>
      <c r="F276" s="9" t="s">
        <v>57</v>
      </c>
      <c r="G276" s="9" t="s">
        <v>54</v>
      </c>
      <c r="H276" s="9" t="s">
        <v>65</v>
      </c>
      <c r="I276">
        <v>0</v>
      </c>
      <c r="J276">
        <v>3</v>
      </c>
      <c r="K276">
        <v>3</v>
      </c>
      <c r="L276">
        <v>2</v>
      </c>
      <c r="M276">
        <v>0</v>
      </c>
      <c r="N276">
        <v>69</v>
      </c>
      <c r="O276">
        <v>69</v>
      </c>
      <c r="P276">
        <v>0</v>
      </c>
      <c r="Q276">
        <v>0</v>
      </c>
      <c r="R276">
        <v>1</v>
      </c>
      <c r="S276">
        <v>1</v>
      </c>
      <c r="T276">
        <v>1</v>
      </c>
      <c r="U276">
        <v>1</v>
      </c>
      <c r="V276">
        <v>0</v>
      </c>
      <c r="W276" s="9" t="s">
        <v>560</v>
      </c>
      <c r="X276">
        <v>14</v>
      </c>
      <c r="Y276">
        <v>88</v>
      </c>
    </row>
    <row r="277" spans="1:25" x14ac:dyDescent="0.35">
      <c r="A277" s="9" t="s">
        <v>627</v>
      </c>
      <c r="B277" s="9" t="s">
        <v>628</v>
      </c>
      <c r="C277" s="9" t="s">
        <v>61</v>
      </c>
      <c r="D277" s="9" t="s">
        <v>46</v>
      </c>
      <c r="E277" s="9" t="s">
        <v>56</v>
      </c>
      <c r="F277" s="9" t="s">
        <v>57</v>
      </c>
      <c r="G277" s="9" t="s">
        <v>54</v>
      </c>
      <c r="H277" s="9" t="s">
        <v>65</v>
      </c>
      <c r="I277">
        <v>0</v>
      </c>
      <c r="J277">
        <v>4</v>
      </c>
      <c r="K277">
        <v>4</v>
      </c>
      <c r="L277">
        <v>3</v>
      </c>
      <c r="M277">
        <v>0</v>
      </c>
      <c r="N277">
        <v>88</v>
      </c>
      <c r="O277">
        <v>88</v>
      </c>
      <c r="P277">
        <v>1</v>
      </c>
      <c r="Q277">
        <v>0</v>
      </c>
      <c r="R277">
        <v>1</v>
      </c>
      <c r="S277">
        <v>1</v>
      </c>
      <c r="T277">
        <v>0</v>
      </c>
      <c r="U277">
        <v>0</v>
      </c>
      <c r="V277">
        <v>1</v>
      </c>
      <c r="W277" s="9" t="s">
        <v>51</v>
      </c>
      <c r="X277">
        <v>0</v>
      </c>
      <c r="Y277">
        <v>88</v>
      </c>
    </row>
    <row r="278" spans="1:25" x14ac:dyDescent="0.35">
      <c r="A278" s="9" t="s">
        <v>629</v>
      </c>
      <c r="B278" s="9" t="s">
        <v>630</v>
      </c>
      <c r="C278" s="9" t="s">
        <v>134</v>
      </c>
      <c r="D278" s="9" t="s">
        <v>46</v>
      </c>
      <c r="E278" s="9" t="s">
        <v>112</v>
      </c>
      <c r="F278" s="9" t="s">
        <v>113</v>
      </c>
      <c r="G278" s="9" t="s">
        <v>54</v>
      </c>
      <c r="H278" s="9" t="s">
        <v>135</v>
      </c>
      <c r="I278">
        <v>1</v>
      </c>
      <c r="J278">
        <v>4</v>
      </c>
      <c r="K278">
        <v>4</v>
      </c>
      <c r="L278">
        <v>3</v>
      </c>
      <c r="M278">
        <v>0</v>
      </c>
      <c r="N278">
        <v>88</v>
      </c>
      <c r="O278">
        <v>88</v>
      </c>
      <c r="P278">
        <v>1</v>
      </c>
      <c r="Q278">
        <v>1</v>
      </c>
      <c r="R278">
        <v>1</v>
      </c>
      <c r="S278">
        <v>1</v>
      </c>
      <c r="T278">
        <v>0</v>
      </c>
      <c r="U278">
        <v>0</v>
      </c>
      <c r="V278">
        <v>1</v>
      </c>
      <c r="W278" s="9" t="s">
        <v>51</v>
      </c>
      <c r="X278">
        <v>0</v>
      </c>
      <c r="Y278">
        <v>88</v>
      </c>
    </row>
    <row r="279" spans="1:25" x14ac:dyDescent="0.35">
      <c r="A279" s="9" t="s">
        <v>631</v>
      </c>
      <c r="B279" s="9" t="s">
        <v>632</v>
      </c>
      <c r="C279" s="9" t="s">
        <v>134</v>
      </c>
      <c r="D279" s="9" t="s">
        <v>55</v>
      </c>
      <c r="E279" s="9" t="s">
        <v>76</v>
      </c>
      <c r="F279" s="9" t="s">
        <v>77</v>
      </c>
      <c r="G279" s="9" t="s">
        <v>54</v>
      </c>
      <c r="H279" s="9" t="s">
        <v>135</v>
      </c>
      <c r="I279">
        <v>1</v>
      </c>
      <c r="J279">
        <v>4</v>
      </c>
      <c r="K279">
        <v>4</v>
      </c>
      <c r="L279">
        <v>4</v>
      </c>
      <c r="M279">
        <v>0</v>
      </c>
      <c r="N279">
        <v>88</v>
      </c>
      <c r="O279">
        <v>70</v>
      </c>
      <c r="P279">
        <v>3</v>
      </c>
      <c r="Q279">
        <v>0</v>
      </c>
      <c r="R279">
        <v>1</v>
      </c>
      <c r="S279">
        <v>1</v>
      </c>
      <c r="T279">
        <v>1</v>
      </c>
      <c r="U279">
        <v>0</v>
      </c>
      <c r="V279">
        <v>0</v>
      </c>
      <c r="W279" s="9" t="s">
        <v>95</v>
      </c>
      <c r="X279">
        <v>2</v>
      </c>
      <c r="Y279">
        <v>88</v>
      </c>
    </row>
    <row r="280" spans="1:25" x14ac:dyDescent="0.35">
      <c r="A280" s="9" t="s">
        <v>633</v>
      </c>
      <c r="B280" s="9" t="s">
        <v>634</v>
      </c>
      <c r="C280" s="9" t="s">
        <v>45</v>
      </c>
      <c r="D280" s="9" t="s">
        <v>46</v>
      </c>
      <c r="E280" s="9" t="s">
        <v>76</v>
      </c>
      <c r="F280" s="9" t="s">
        <v>77</v>
      </c>
      <c r="G280" s="9" t="s">
        <v>54</v>
      </c>
      <c r="H280" s="9" t="s">
        <v>50</v>
      </c>
      <c r="I280">
        <v>0</v>
      </c>
      <c r="J280">
        <v>2</v>
      </c>
      <c r="K280">
        <v>2</v>
      </c>
      <c r="L280">
        <v>2</v>
      </c>
      <c r="M280">
        <v>0</v>
      </c>
      <c r="N280">
        <v>88</v>
      </c>
      <c r="O280">
        <v>88</v>
      </c>
      <c r="P280">
        <v>1</v>
      </c>
      <c r="Q280">
        <v>0</v>
      </c>
      <c r="R280">
        <v>1</v>
      </c>
      <c r="S280">
        <v>1</v>
      </c>
      <c r="T280">
        <v>0</v>
      </c>
      <c r="U280">
        <v>0</v>
      </c>
      <c r="V280">
        <v>1</v>
      </c>
      <c r="W280" s="9" t="s">
        <v>51</v>
      </c>
      <c r="X280">
        <v>0</v>
      </c>
      <c r="Y280">
        <v>88</v>
      </c>
    </row>
    <row r="281" spans="1:25" x14ac:dyDescent="0.35">
      <c r="A281" s="9" t="s">
        <v>635</v>
      </c>
      <c r="B281" s="9" t="s">
        <v>636</v>
      </c>
      <c r="C281" s="9" t="s">
        <v>68</v>
      </c>
      <c r="D281" s="9" t="s">
        <v>46</v>
      </c>
      <c r="E281" s="9" t="s">
        <v>63</v>
      </c>
      <c r="F281" s="9" t="s">
        <v>64</v>
      </c>
      <c r="G281" s="9" t="s">
        <v>49</v>
      </c>
      <c r="H281" s="9" t="s">
        <v>65</v>
      </c>
      <c r="I281">
        <v>0</v>
      </c>
      <c r="J281">
        <v>2</v>
      </c>
      <c r="K281">
        <v>2</v>
      </c>
      <c r="L281">
        <v>2</v>
      </c>
      <c r="M281">
        <v>0</v>
      </c>
      <c r="N281">
        <v>88</v>
      </c>
      <c r="O281">
        <v>88</v>
      </c>
      <c r="P281">
        <v>0</v>
      </c>
      <c r="Q281">
        <v>0</v>
      </c>
      <c r="R281">
        <v>1</v>
      </c>
      <c r="S281">
        <v>1</v>
      </c>
      <c r="T281">
        <v>0</v>
      </c>
      <c r="U281">
        <v>0</v>
      </c>
      <c r="V281">
        <v>1</v>
      </c>
      <c r="W281" s="9" t="s">
        <v>51</v>
      </c>
      <c r="X281">
        <v>0</v>
      </c>
      <c r="Y281">
        <v>88</v>
      </c>
    </row>
    <row r="282" spans="1:25" x14ac:dyDescent="0.35">
      <c r="A282" s="9" t="s">
        <v>637</v>
      </c>
      <c r="B282" s="9" t="s">
        <v>638</v>
      </c>
      <c r="C282" s="9" t="s">
        <v>61</v>
      </c>
      <c r="D282" s="9" t="s">
        <v>46</v>
      </c>
      <c r="E282" s="9" t="s">
        <v>80</v>
      </c>
      <c r="F282" s="9" t="s">
        <v>81</v>
      </c>
      <c r="G282" s="9" t="s">
        <v>82</v>
      </c>
      <c r="H282" s="9" t="s">
        <v>65</v>
      </c>
      <c r="I282">
        <v>0</v>
      </c>
      <c r="J282">
        <v>1</v>
      </c>
      <c r="K282">
        <v>1</v>
      </c>
      <c r="L282">
        <v>1</v>
      </c>
      <c r="M282">
        <v>0</v>
      </c>
      <c r="N282">
        <v>50</v>
      </c>
      <c r="O282">
        <v>50</v>
      </c>
      <c r="P282">
        <v>0</v>
      </c>
      <c r="Q282">
        <v>0</v>
      </c>
      <c r="R282">
        <v>1</v>
      </c>
      <c r="S282">
        <v>1</v>
      </c>
      <c r="T282">
        <v>1</v>
      </c>
      <c r="U282">
        <v>0</v>
      </c>
      <c r="V282">
        <v>0</v>
      </c>
      <c r="W282" s="9" t="s">
        <v>95</v>
      </c>
      <c r="X282">
        <v>7</v>
      </c>
      <c r="Y282">
        <v>88</v>
      </c>
    </row>
    <row r="283" spans="1:25" x14ac:dyDescent="0.35">
      <c r="A283" s="9" t="s">
        <v>639</v>
      </c>
      <c r="B283" s="9" t="s">
        <v>640</v>
      </c>
      <c r="C283" s="9" t="s">
        <v>45</v>
      </c>
      <c r="D283" s="9" t="s">
        <v>46</v>
      </c>
      <c r="E283" s="9" t="s">
        <v>112</v>
      </c>
      <c r="F283" s="9" t="s">
        <v>113</v>
      </c>
      <c r="G283" s="9" t="s">
        <v>54</v>
      </c>
      <c r="H283" s="9" t="s">
        <v>50</v>
      </c>
      <c r="I283">
        <v>0</v>
      </c>
      <c r="J283">
        <v>4</v>
      </c>
      <c r="K283">
        <v>4</v>
      </c>
      <c r="L283">
        <v>4</v>
      </c>
      <c r="M283">
        <v>0</v>
      </c>
      <c r="N283">
        <v>88</v>
      </c>
      <c r="O283">
        <v>88</v>
      </c>
      <c r="P283">
        <v>2</v>
      </c>
      <c r="Q283">
        <v>0</v>
      </c>
      <c r="R283">
        <v>1</v>
      </c>
      <c r="S283">
        <v>1</v>
      </c>
      <c r="T283">
        <v>0</v>
      </c>
      <c r="U283">
        <v>0</v>
      </c>
      <c r="V283">
        <v>1</v>
      </c>
      <c r="W283" s="9" t="s">
        <v>51</v>
      </c>
      <c r="X283">
        <v>0</v>
      </c>
      <c r="Y283">
        <v>88</v>
      </c>
    </row>
    <row r="284" spans="1:25" x14ac:dyDescent="0.35">
      <c r="A284" s="9" t="s">
        <v>641</v>
      </c>
      <c r="B284" s="9" t="s">
        <v>642</v>
      </c>
      <c r="C284" s="9" t="s">
        <v>134</v>
      </c>
      <c r="D284" s="9" t="s">
        <v>46</v>
      </c>
      <c r="E284" s="9" t="s">
        <v>69</v>
      </c>
      <c r="F284" s="9" t="s">
        <v>70</v>
      </c>
      <c r="G284" s="9" t="s">
        <v>49</v>
      </c>
      <c r="H284" s="9" t="s">
        <v>135</v>
      </c>
      <c r="I284">
        <v>1</v>
      </c>
      <c r="J284">
        <v>4</v>
      </c>
      <c r="K284">
        <v>4</v>
      </c>
      <c r="L284">
        <v>4</v>
      </c>
      <c r="M284">
        <v>0</v>
      </c>
      <c r="N284">
        <v>88</v>
      </c>
      <c r="O284">
        <v>88</v>
      </c>
      <c r="P284">
        <v>0</v>
      </c>
      <c r="Q284">
        <v>0</v>
      </c>
      <c r="R284">
        <v>1</v>
      </c>
      <c r="S284">
        <v>1</v>
      </c>
      <c r="T284">
        <v>0</v>
      </c>
      <c r="U284">
        <v>0</v>
      </c>
      <c r="V284">
        <v>1</v>
      </c>
      <c r="W284" s="9" t="s">
        <v>51</v>
      </c>
      <c r="X284">
        <v>0</v>
      </c>
      <c r="Y284">
        <v>88</v>
      </c>
    </row>
    <row r="285" spans="1:25" x14ac:dyDescent="0.35">
      <c r="A285" s="9" t="s">
        <v>643</v>
      </c>
      <c r="B285" s="9" t="s">
        <v>644</v>
      </c>
      <c r="C285" s="9" t="s">
        <v>45</v>
      </c>
      <c r="D285" s="9" t="s">
        <v>46</v>
      </c>
      <c r="E285" s="9" t="s">
        <v>69</v>
      </c>
      <c r="F285" s="9" t="s">
        <v>70</v>
      </c>
      <c r="G285" s="9" t="s">
        <v>49</v>
      </c>
      <c r="H285" s="9" t="s">
        <v>50</v>
      </c>
      <c r="I285">
        <v>0</v>
      </c>
      <c r="J285">
        <v>2</v>
      </c>
      <c r="K285">
        <v>2</v>
      </c>
      <c r="L285">
        <v>2</v>
      </c>
      <c r="M285">
        <v>0</v>
      </c>
      <c r="N285">
        <v>88</v>
      </c>
      <c r="O285">
        <v>88</v>
      </c>
      <c r="P285">
        <v>1</v>
      </c>
      <c r="Q285">
        <v>0</v>
      </c>
      <c r="R285">
        <v>1</v>
      </c>
      <c r="S285">
        <v>1</v>
      </c>
      <c r="T285">
        <v>0</v>
      </c>
      <c r="U285">
        <v>0</v>
      </c>
      <c r="V285">
        <v>1</v>
      </c>
      <c r="W285" s="9" t="s">
        <v>51</v>
      </c>
      <c r="X285">
        <v>0</v>
      </c>
      <c r="Y285">
        <v>88</v>
      </c>
    </row>
    <row r="286" spans="1:25" x14ac:dyDescent="0.35">
      <c r="A286" s="9" t="s">
        <v>645</v>
      </c>
      <c r="B286" s="9" t="s">
        <v>646</v>
      </c>
      <c r="C286" s="9" t="s">
        <v>61</v>
      </c>
      <c r="D286" s="9" t="s">
        <v>55</v>
      </c>
      <c r="E286" s="9" t="s">
        <v>63</v>
      </c>
      <c r="F286" s="9" t="s">
        <v>64</v>
      </c>
      <c r="G286" s="9" t="s">
        <v>49</v>
      </c>
      <c r="H286" s="9" t="s">
        <v>65</v>
      </c>
      <c r="I286">
        <v>0</v>
      </c>
      <c r="J286">
        <v>1</v>
      </c>
      <c r="K286">
        <v>1</v>
      </c>
      <c r="L286">
        <v>1</v>
      </c>
      <c r="M286">
        <v>0</v>
      </c>
      <c r="N286">
        <v>33</v>
      </c>
      <c r="O286">
        <v>33</v>
      </c>
      <c r="P286">
        <v>0</v>
      </c>
      <c r="Q286">
        <v>0</v>
      </c>
      <c r="R286">
        <v>1</v>
      </c>
      <c r="S286">
        <v>1</v>
      </c>
      <c r="T286">
        <v>1</v>
      </c>
      <c r="U286">
        <v>0</v>
      </c>
      <c r="V286">
        <v>0</v>
      </c>
      <c r="W286" s="9" t="s">
        <v>95</v>
      </c>
      <c r="X286">
        <v>12</v>
      </c>
      <c r="Y286">
        <v>88</v>
      </c>
    </row>
    <row r="287" spans="1:25" x14ac:dyDescent="0.35">
      <c r="A287" s="9" t="s">
        <v>647</v>
      </c>
      <c r="B287" s="9" t="s">
        <v>648</v>
      </c>
      <c r="C287" s="9" t="s">
        <v>68</v>
      </c>
      <c r="D287" s="9" t="s">
        <v>46</v>
      </c>
      <c r="E287" s="9" t="s">
        <v>56</v>
      </c>
      <c r="F287" s="9" t="s">
        <v>57</v>
      </c>
      <c r="G287" s="9" t="s">
        <v>54</v>
      </c>
      <c r="H287" s="9" t="s">
        <v>65</v>
      </c>
      <c r="I287">
        <v>0</v>
      </c>
      <c r="J287">
        <v>4</v>
      </c>
      <c r="K287">
        <v>4</v>
      </c>
      <c r="L287">
        <v>3</v>
      </c>
      <c r="M287">
        <v>0</v>
      </c>
      <c r="N287">
        <v>88</v>
      </c>
      <c r="O287">
        <v>88</v>
      </c>
      <c r="P287">
        <v>1</v>
      </c>
      <c r="Q287">
        <v>0</v>
      </c>
      <c r="R287">
        <v>1</v>
      </c>
      <c r="S287">
        <v>1</v>
      </c>
      <c r="T287">
        <v>0</v>
      </c>
      <c r="U287">
        <v>0</v>
      </c>
      <c r="V287">
        <v>1</v>
      </c>
      <c r="W287" s="9" t="s">
        <v>51</v>
      </c>
      <c r="X287">
        <v>0</v>
      </c>
      <c r="Y287">
        <v>88</v>
      </c>
    </row>
    <row r="288" spans="1:25" x14ac:dyDescent="0.35">
      <c r="A288" s="9" t="s">
        <v>649</v>
      </c>
      <c r="B288" s="9" t="s">
        <v>650</v>
      </c>
      <c r="C288" s="9" t="s">
        <v>68</v>
      </c>
      <c r="D288" s="9" t="s">
        <v>55</v>
      </c>
      <c r="E288" s="9" t="s">
        <v>80</v>
      </c>
      <c r="F288" s="9" t="s">
        <v>81</v>
      </c>
      <c r="G288" s="9" t="s">
        <v>82</v>
      </c>
      <c r="H288" s="9" t="s">
        <v>65</v>
      </c>
      <c r="I288">
        <v>0</v>
      </c>
      <c r="J288">
        <v>3</v>
      </c>
      <c r="K288">
        <v>3</v>
      </c>
      <c r="L288">
        <v>3</v>
      </c>
      <c r="M288">
        <v>0</v>
      </c>
      <c r="N288">
        <v>88</v>
      </c>
      <c r="P288">
        <v>3</v>
      </c>
      <c r="Q288">
        <v>0</v>
      </c>
      <c r="R288">
        <v>1</v>
      </c>
      <c r="S288">
        <v>0</v>
      </c>
      <c r="T288">
        <v>0</v>
      </c>
      <c r="U288">
        <v>0</v>
      </c>
      <c r="V288">
        <v>0</v>
      </c>
      <c r="W288" s="9" t="s">
        <v>58</v>
      </c>
      <c r="X288">
        <v>0</v>
      </c>
      <c r="Y288">
        <v>88</v>
      </c>
    </row>
    <row r="289" spans="1:25" x14ac:dyDescent="0.35">
      <c r="A289" s="9" t="s">
        <v>651</v>
      </c>
      <c r="B289" s="9" t="s">
        <v>652</v>
      </c>
      <c r="C289" s="9" t="s">
        <v>54</v>
      </c>
      <c r="D289" s="9" t="s">
        <v>46</v>
      </c>
      <c r="E289" s="9" t="s">
        <v>112</v>
      </c>
      <c r="F289" s="9" t="s">
        <v>113</v>
      </c>
      <c r="G289" s="9" t="s">
        <v>54</v>
      </c>
      <c r="H289" s="9" t="s">
        <v>50</v>
      </c>
      <c r="I289">
        <v>1</v>
      </c>
      <c r="J289">
        <v>3</v>
      </c>
      <c r="K289">
        <v>3</v>
      </c>
      <c r="L289">
        <v>2</v>
      </c>
      <c r="M289">
        <v>0</v>
      </c>
      <c r="N289">
        <v>55</v>
      </c>
      <c r="O289">
        <v>55</v>
      </c>
      <c r="P289">
        <v>0</v>
      </c>
      <c r="Q289">
        <v>1</v>
      </c>
      <c r="R289">
        <v>1</v>
      </c>
      <c r="S289">
        <v>1</v>
      </c>
      <c r="T289">
        <v>1</v>
      </c>
      <c r="U289">
        <v>0</v>
      </c>
      <c r="V289">
        <v>0</v>
      </c>
      <c r="W289" s="9" t="s">
        <v>95</v>
      </c>
      <c r="X289">
        <v>22</v>
      </c>
      <c r="Y289">
        <v>88</v>
      </c>
    </row>
    <row r="290" spans="1:25" x14ac:dyDescent="0.35">
      <c r="A290" s="9" t="s">
        <v>653</v>
      </c>
      <c r="B290" s="9" t="s">
        <v>654</v>
      </c>
      <c r="C290" s="9" t="s">
        <v>54</v>
      </c>
      <c r="D290" s="9" t="s">
        <v>46</v>
      </c>
      <c r="E290" s="9" t="s">
        <v>76</v>
      </c>
      <c r="F290" s="9" t="s">
        <v>77</v>
      </c>
      <c r="G290" s="9" t="s">
        <v>54</v>
      </c>
      <c r="H290" s="9" t="s">
        <v>50</v>
      </c>
      <c r="I290">
        <v>1</v>
      </c>
      <c r="J290">
        <v>2</v>
      </c>
      <c r="K290">
        <v>2</v>
      </c>
      <c r="L290">
        <v>1</v>
      </c>
      <c r="M290">
        <v>0</v>
      </c>
      <c r="N290">
        <v>88</v>
      </c>
      <c r="P290">
        <v>1</v>
      </c>
      <c r="Q290">
        <v>1</v>
      </c>
      <c r="R290">
        <v>1</v>
      </c>
      <c r="S290">
        <v>0</v>
      </c>
      <c r="T290">
        <v>0</v>
      </c>
      <c r="U290">
        <v>0</v>
      </c>
      <c r="V290">
        <v>0</v>
      </c>
      <c r="W290" s="9" t="s">
        <v>58</v>
      </c>
      <c r="X290">
        <v>0</v>
      </c>
      <c r="Y290">
        <v>88</v>
      </c>
    </row>
    <row r="291" spans="1:25" x14ac:dyDescent="0.35">
      <c r="A291" s="9" t="s">
        <v>655</v>
      </c>
      <c r="B291" s="9" t="s">
        <v>656</v>
      </c>
      <c r="C291" s="9" t="s">
        <v>61</v>
      </c>
      <c r="D291" s="9" t="s">
        <v>62</v>
      </c>
      <c r="E291" s="9" t="s">
        <v>69</v>
      </c>
      <c r="F291" s="9" t="s">
        <v>70</v>
      </c>
      <c r="G291" s="9" t="s">
        <v>49</v>
      </c>
      <c r="H291" s="9" t="s">
        <v>65</v>
      </c>
      <c r="I291">
        <v>0</v>
      </c>
      <c r="J291">
        <v>2</v>
      </c>
      <c r="K291">
        <v>2</v>
      </c>
      <c r="L291">
        <v>2</v>
      </c>
      <c r="M291">
        <v>0</v>
      </c>
      <c r="N291">
        <v>88</v>
      </c>
      <c r="O291">
        <v>88</v>
      </c>
      <c r="P291">
        <v>1</v>
      </c>
      <c r="Q291">
        <v>0</v>
      </c>
      <c r="R291">
        <v>1</v>
      </c>
      <c r="S291">
        <v>1</v>
      </c>
      <c r="T291">
        <v>0</v>
      </c>
      <c r="U291">
        <v>0</v>
      </c>
      <c r="V291">
        <v>1</v>
      </c>
      <c r="W291" s="9" t="s">
        <v>51</v>
      </c>
      <c r="X291">
        <v>0</v>
      </c>
      <c r="Y291">
        <v>88</v>
      </c>
    </row>
    <row r="292" spans="1:25" x14ac:dyDescent="0.35">
      <c r="A292" s="9" t="s">
        <v>657</v>
      </c>
      <c r="B292" s="9" t="s">
        <v>658</v>
      </c>
      <c r="C292" s="9" t="s">
        <v>45</v>
      </c>
      <c r="D292" s="9" t="s">
        <v>46</v>
      </c>
      <c r="E292" s="9" t="s">
        <v>47</v>
      </c>
      <c r="F292" s="9" t="s">
        <v>48</v>
      </c>
      <c r="G292" s="9" t="s">
        <v>49</v>
      </c>
      <c r="H292" s="9" t="s">
        <v>50</v>
      </c>
      <c r="I292">
        <v>0</v>
      </c>
      <c r="J292">
        <v>3</v>
      </c>
      <c r="K292">
        <v>3</v>
      </c>
      <c r="L292">
        <v>2</v>
      </c>
      <c r="M292">
        <v>0</v>
      </c>
      <c r="N292">
        <v>88</v>
      </c>
      <c r="O292">
        <v>88</v>
      </c>
      <c r="P292">
        <v>1</v>
      </c>
      <c r="Q292">
        <v>0</v>
      </c>
      <c r="R292">
        <v>1</v>
      </c>
      <c r="S292">
        <v>1</v>
      </c>
      <c r="T292">
        <v>0</v>
      </c>
      <c r="U292">
        <v>0</v>
      </c>
      <c r="V292">
        <v>1</v>
      </c>
      <c r="W292" s="9" t="s">
        <v>51</v>
      </c>
      <c r="X292">
        <v>0</v>
      </c>
      <c r="Y292">
        <v>88</v>
      </c>
    </row>
    <row r="293" spans="1:25" x14ac:dyDescent="0.35">
      <c r="A293" s="9" t="s">
        <v>659</v>
      </c>
      <c r="B293" s="9" t="s">
        <v>660</v>
      </c>
      <c r="C293" s="9" t="s">
        <v>45</v>
      </c>
      <c r="D293" s="9" t="s">
        <v>55</v>
      </c>
      <c r="E293" s="9" t="s">
        <v>63</v>
      </c>
      <c r="F293" s="9" t="s">
        <v>64</v>
      </c>
      <c r="G293" s="9" t="s">
        <v>49</v>
      </c>
      <c r="H293" s="9" t="s">
        <v>50</v>
      </c>
      <c r="I293">
        <v>0</v>
      </c>
      <c r="J293">
        <v>3</v>
      </c>
      <c r="K293">
        <v>3</v>
      </c>
      <c r="L293">
        <v>3</v>
      </c>
      <c r="M293">
        <v>0</v>
      </c>
      <c r="N293">
        <v>88</v>
      </c>
      <c r="O293">
        <v>88</v>
      </c>
      <c r="P293">
        <v>0</v>
      </c>
      <c r="Q293">
        <v>0</v>
      </c>
      <c r="R293">
        <v>1</v>
      </c>
      <c r="S293">
        <v>1</v>
      </c>
      <c r="T293">
        <v>0</v>
      </c>
      <c r="U293">
        <v>0</v>
      </c>
      <c r="V293">
        <v>1</v>
      </c>
      <c r="W293" s="9" t="s">
        <v>51</v>
      </c>
      <c r="X293">
        <v>0</v>
      </c>
      <c r="Y293">
        <v>88</v>
      </c>
    </row>
    <row r="294" spans="1:25" x14ac:dyDescent="0.35">
      <c r="A294" s="9" t="s">
        <v>661</v>
      </c>
      <c r="B294" s="9" t="s">
        <v>662</v>
      </c>
      <c r="C294" s="9" t="s">
        <v>61</v>
      </c>
      <c r="D294" s="9" t="s">
        <v>62</v>
      </c>
      <c r="E294" s="9" t="s">
        <v>93</v>
      </c>
      <c r="F294" s="9" t="s">
        <v>94</v>
      </c>
      <c r="G294" s="9" t="s">
        <v>82</v>
      </c>
      <c r="H294" s="9" t="s">
        <v>65</v>
      </c>
      <c r="I294">
        <v>0</v>
      </c>
      <c r="J294">
        <v>4</v>
      </c>
      <c r="K294">
        <v>4</v>
      </c>
      <c r="L294">
        <v>3</v>
      </c>
      <c r="M294">
        <v>0</v>
      </c>
      <c r="N294">
        <v>88</v>
      </c>
      <c r="O294">
        <v>88</v>
      </c>
      <c r="P294">
        <v>0</v>
      </c>
      <c r="Q294">
        <v>0</v>
      </c>
      <c r="R294">
        <v>1</v>
      </c>
      <c r="S294">
        <v>1</v>
      </c>
      <c r="T294">
        <v>0</v>
      </c>
      <c r="U294">
        <v>0</v>
      </c>
      <c r="V294">
        <v>1</v>
      </c>
      <c r="W294" s="9" t="s">
        <v>51</v>
      </c>
      <c r="X294">
        <v>0</v>
      </c>
      <c r="Y294">
        <v>88</v>
      </c>
    </row>
    <row r="295" spans="1:25" x14ac:dyDescent="0.35">
      <c r="A295" s="9" t="s">
        <v>663</v>
      </c>
      <c r="B295" s="9" t="s">
        <v>664</v>
      </c>
      <c r="C295" s="9" t="s">
        <v>68</v>
      </c>
      <c r="D295" s="9" t="s">
        <v>46</v>
      </c>
      <c r="E295" s="9" t="s">
        <v>112</v>
      </c>
      <c r="F295" s="9" t="s">
        <v>113</v>
      </c>
      <c r="G295" s="9" t="s">
        <v>54</v>
      </c>
      <c r="H295" s="9" t="s">
        <v>65</v>
      </c>
      <c r="I295">
        <v>0</v>
      </c>
      <c r="J295">
        <v>1</v>
      </c>
      <c r="K295">
        <v>1</v>
      </c>
      <c r="L295">
        <v>1</v>
      </c>
      <c r="M295">
        <v>0</v>
      </c>
      <c r="N295">
        <v>88</v>
      </c>
      <c r="P295">
        <v>1</v>
      </c>
      <c r="Q295">
        <v>0</v>
      </c>
      <c r="R295">
        <v>1</v>
      </c>
      <c r="S295">
        <v>0</v>
      </c>
      <c r="T295">
        <v>0</v>
      </c>
      <c r="U295">
        <v>0</v>
      </c>
      <c r="V295">
        <v>0</v>
      </c>
      <c r="W295" s="9" t="s">
        <v>58</v>
      </c>
      <c r="X295">
        <v>0</v>
      </c>
      <c r="Y295">
        <v>88</v>
      </c>
    </row>
    <row r="296" spans="1:25" x14ac:dyDescent="0.35">
      <c r="A296" s="9" t="s">
        <v>665</v>
      </c>
      <c r="B296" s="9" t="s">
        <v>666</v>
      </c>
      <c r="C296" s="9" t="s">
        <v>45</v>
      </c>
      <c r="D296" s="9" t="s">
        <v>62</v>
      </c>
      <c r="E296" s="9" t="s">
        <v>69</v>
      </c>
      <c r="F296" s="9" t="s">
        <v>70</v>
      </c>
      <c r="G296" s="9" t="s">
        <v>49</v>
      </c>
      <c r="H296" s="9" t="s">
        <v>50</v>
      </c>
      <c r="I296">
        <v>0</v>
      </c>
      <c r="J296">
        <v>3</v>
      </c>
      <c r="K296">
        <v>3</v>
      </c>
      <c r="L296">
        <v>3</v>
      </c>
      <c r="M296">
        <v>0</v>
      </c>
      <c r="N296">
        <v>88</v>
      </c>
      <c r="P296">
        <v>3</v>
      </c>
      <c r="Q296">
        <v>0</v>
      </c>
      <c r="R296">
        <v>1</v>
      </c>
      <c r="S296">
        <v>0</v>
      </c>
      <c r="T296">
        <v>0</v>
      </c>
      <c r="U296">
        <v>0</v>
      </c>
      <c r="V296">
        <v>0</v>
      </c>
      <c r="W296" s="9" t="s">
        <v>58</v>
      </c>
      <c r="X296">
        <v>0</v>
      </c>
      <c r="Y296">
        <v>88</v>
      </c>
    </row>
    <row r="297" spans="1:25" x14ac:dyDescent="0.35">
      <c r="A297" s="9" t="s">
        <v>667</v>
      </c>
      <c r="B297" s="9" t="s">
        <v>668</v>
      </c>
      <c r="C297" s="9" t="s">
        <v>134</v>
      </c>
      <c r="D297" s="9" t="s">
        <v>46</v>
      </c>
      <c r="E297" s="9" t="s">
        <v>112</v>
      </c>
      <c r="F297" s="9" t="s">
        <v>113</v>
      </c>
      <c r="G297" s="9" t="s">
        <v>54</v>
      </c>
      <c r="H297" s="9" t="s">
        <v>135</v>
      </c>
      <c r="I297">
        <v>1</v>
      </c>
      <c r="J297">
        <v>4</v>
      </c>
      <c r="K297">
        <v>4</v>
      </c>
      <c r="L297">
        <v>4</v>
      </c>
      <c r="M297">
        <v>0</v>
      </c>
      <c r="N297">
        <v>45</v>
      </c>
      <c r="O297">
        <v>33</v>
      </c>
      <c r="P297">
        <v>2</v>
      </c>
      <c r="Q297">
        <v>0</v>
      </c>
      <c r="R297">
        <v>1</v>
      </c>
      <c r="S297">
        <v>1</v>
      </c>
      <c r="T297">
        <v>1</v>
      </c>
      <c r="U297">
        <v>0</v>
      </c>
      <c r="V297">
        <v>0</v>
      </c>
      <c r="W297" s="9" t="s">
        <v>95</v>
      </c>
      <c r="X297">
        <v>32</v>
      </c>
      <c r="Y297">
        <v>88</v>
      </c>
    </row>
    <row r="298" spans="1:25" x14ac:dyDescent="0.35">
      <c r="A298" s="9" t="s">
        <v>669</v>
      </c>
      <c r="B298" s="9" t="s">
        <v>670</v>
      </c>
      <c r="C298" s="9" t="s">
        <v>54</v>
      </c>
      <c r="D298" s="9" t="s">
        <v>46</v>
      </c>
      <c r="E298" s="9" t="s">
        <v>112</v>
      </c>
      <c r="F298" s="9" t="s">
        <v>113</v>
      </c>
      <c r="G298" s="9" t="s">
        <v>54</v>
      </c>
      <c r="H298" s="9" t="s">
        <v>50</v>
      </c>
      <c r="I298">
        <v>1</v>
      </c>
      <c r="J298">
        <v>4</v>
      </c>
      <c r="K298">
        <v>4</v>
      </c>
      <c r="L298">
        <v>3</v>
      </c>
      <c r="M298">
        <v>1</v>
      </c>
      <c r="N298">
        <v>88</v>
      </c>
      <c r="O298">
        <v>88</v>
      </c>
      <c r="P298">
        <v>2</v>
      </c>
      <c r="Q298">
        <v>0</v>
      </c>
      <c r="R298">
        <v>1</v>
      </c>
      <c r="S298">
        <v>1</v>
      </c>
      <c r="T298">
        <v>0</v>
      </c>
      <c r="U298">
        <v>0</v>
      </c>
      <c r="V298">
        <v>1</v>
      </c>
      <c r="W298" s="9" t="s">
        <v>51</v>
      </c>
      <c r="X298">
        <v>0</v>
      </c>
      <c r="Y298">
        <v>88</v>
      </c>
    </row>
    <row r="299" spans="1:25" x14ac:dyDescent="0.35">
      <c r="A299" s="9" t="s">
        <v>671</v>
      </c>
      <c r="B299" s="9" t="s">
        <v>672</v>
      </c>
      <c r="C299" s="9" t="s">
        <v>68</v>
      </c>
      <c r="D299" s="9" t="s">
        <v>62</v>
      </c>
      <c r="E299" s="9" t="s">
        <v>69</v>
      </c>
      <c r="F299" s="9" t="s">
        <v>70</v>
      </c>
      <c r="G299" s="9" t="s">
        <v>49</v>
      </c>
      <c r="H299" s="9" t="s">
        <v>65</v>
      </c>
      <c r="I299">
        <v>0</v>
      </c>
      <c r="J299">
        <v>1</v>
      </c>
      <c r="K299">
        <v>1</v>
      </c>
      <c r="L299">
        <v>1</v>
      </c>
      <c r="M299">
        <v>0</v>
      </c>
      <c r="N299">
        <v>88</v>
      </c>
      <c r="P299">
        <v>1</v>
      </c>
      <c r="Q299">
        <v>0</v>
      </c>
      <c r="R299">
        <v>1</v>
      </c>
      <c r="S299">
        <v>0</v>
      </c>
      <c r="T299">
        <v>0</v>
      </c>
      <c r="U299">
        <v>0</v>
      </c>
      <c r="V299">
        <v>0</v>
      </c>
      <c r="W299" s="9" t="s">
        <v>58</v>
      </c>
      <c r="X299">
        <v>0</v>
      </c>
      <c r="Y299">
        <v>88</v>
      </c>
    </row>
    <row r="300" spans="1:25" x14ac:dyDescent="0.35">
      <c r="A300" s="9" t="s">
        <v>673</v>
      </c>
      <c r="B300" s="9" t="s">
        <v>674</v>
      </c>
      <c r="C300" s="9" t="s">
        <v>68</v>
      </c>
      <c r="D300" s="9" t="s">
        <v>55</v>
      </c>
      <c r="E300" s="9" t="s">
        <v>80</v>
      </c>
      <c r="F300" s="9" t="s">
        <v>81</v>
      </c>
      <c r="G300" s="9" t="s">
        <v>82</v>
      </c>
      <c r="H300" s="9" t="s">
        <v>65</v>
      </c>
      <c r="I300">
        <v>0</v>
      </c>
      <c r="J300">
        <v>1</v>
      </c>
      <c r="K300">
        <v>1</v>
      </c>
      <c r="L300">
        <v>0</v>
      </c>
      <c r="M300">
        <v>0</v>
      </c>
      <c r="P300">
        <v>0</v>
      </c>
      <c r="Q300">
        <v>0</v>
      </c>
      <c r="R300">
        <v>0</v>
      </c>
      <c r="S300">
        <v>0</v>
      </c>
      <c r="T300">
        <v>0</v>
      </c>
      <c r="U300">
        <v>0</v>
      </c>
      <c r="V300">
        <v>0</v>
      </c>
      <c r="W300" s="9" t="s">
        <v>73</v>
      </c>
      <c r="X300">
        <v>0</v>
      </c>
      <c r="Y300">
        <v>88</v>
      </c>
    </row>
    <row r="301" spans="1:25" x14ac:dyDescent="0.35">
      <c r="A301" s="9" t="s">
        <v>675</v>
      </c>
      <c r="B301" s="9" t="s">
        <v>676</v>
      </c>
      <c r="C301" s="9" t="s">
        <v>134</v>
      </c>
      <c r="D301" s="9" t="s">
        <v>46</v>
      </c>
      <c r="E301" s="9" t="s">
        <v>56</v>
      </c>
      <c r="F301" s="9" t="s">
        <v>57</v>
      </c>
      <c r="G301" s="9" t="s">
        <v>54</v>
      </c>
      <c r="H301" s="9" t="s">
        <v>135</v>
      </c>
      <c r="I301">
        <v>1</v>
      </c>
      <c r="J301">
        <v>4</v>
      </c>
      <c r="K301">
        <v>4</v>
      </c>
      <c r="L301">
        <v>3</v>
      </c>
      <c r="M301">
        <v>1</v>
      </c>
      <c r="N301">
        <v>88</v>
      </c>
      <c r="O301">
        <v>88</v>
      </c>
      <c r="P301">
        <v>2</v>
      </c>
      <c r="Q301">
        <v>1</v>
      </c>
      <c r="R301">
        <v>1</v>
      </c>
      <c r="S301">
        <v>1</v>
      </c>
      <c r="T301">
        <v>0</v>
      </c>
      <c r="U301">
        <v>0</v>
      </c>
      <c r="V301">
        <v>1</v>
      </c>
      <c r="W301" s="9" t="s">
        <v>51</v>
      </c>
      <c r="X301">
        <v>0</v>
      </c>
      <c r="Y301">
        <v>88</v>
      </c>
    </row>
    <row r="302" spans="1:25" x14ac:dyDescent="0.35">
      <c r="A302" s="9" t="s">
        <v>677</v>
      </c>
      <c r="B302" s="9" t="s">
        <v>678</v>
      </c>
      <c r="C302" s="9" t="s">
        <v>61</v>
      </c>
      <c r="D302" s="9" t="s">
        <v>62</v>
      </c>
      <c r="E302" s="9" t="s">
        <v>93</v>
      </c>
      <c r="F302" s="9" t="s">
        <v>94</v>
      </c>
      <c r="G302" s="9" t="s">
        <v>82</v>
      </c>
      <c r="H302" s="9" t="s">
        <v>65</v>
      </c>
      <c r="I302">
        <v>0</v>
      </c>
      <c r="J302">
        <v>4</v>
      </c>
      <c r="K302">
        <v>4</v>
      </c>
      <c r="L302">
        <v>4</v>
      </c>
      <c r="M302">
        <v>0</v>
      </c>
      <c r="N302">
        <v>88</v>
      </c>
      <c r="P302">
        <v>4</v>
      </c>
      <c r="Q302">
        <v>0</v>
      </c>
      <c r="R302">
        <v>1</v>
      </c>
      <c r="S302">
        <v>0</v>
      </c>
      <c r="T302">
        <v>0</v>
      </c>
      <c r="U302">
        <v>0</v>
      </c>
      <c r="V302">
        <v>0</v>
      </c>
      <c r="W302" s="9" t="s">
        <v>58</v>
      </c>
      <c r="X302">
        <v>0</v>
      </c>
      <c r="Y302">
        <v>88</v>
      </c>
    </row>
    <row r="303" spans="1:25" x14ac:dyDescent="0.35">
      <c r="A303" s="9" t="s">
        <v>679</v>
      </c>
      <c r="B303" s="9" t="s">
        <v>680</v>
      </c>
      <c r="C303" s="9" t="s">
        <v>68</v>
      </c>
      <c r="D303" s="9" t="s">
        <v>55</v>
      </c>
      <c r="E303" s="9" t="s">
        <v>47</v>
      </c>
      <c r="F303" s="9" t="s">
        <v>48</v>
      </c>
      <c r="G303" s="9" t="s">
        <v>49</v>
      </c>
      <c r="H303" s="9" t="s">
        <v>65</v>
      </c>
      <c r="I303">
        <v>0</v>
      </c>
      <c r="J303">
        <v>1</v>
      </c>
      <c r="K303">
        <v>1</v>
      </c>
      <c r="L303">
        <v>1</v>
      </c>
      <c r="M303">
        <v>0</v>
      </c>
      <c r="N303">
        <v>88</v>
      </c>
      <c r="O303">
        <v>88</v>
      </c>
      <c r="P303">
        <v>0</v>
      </c>
      <c r="Q303">
        <v>0</v>
      </c>
      <c r="R303">
        <v>1</v>
      </c>
      <c r="S303">
        <v>1</v>
      </c>
      <c r="T303">
        <v>0</v>
      </c>
      <c r="U303">
        <v>0</v>
      </c>
      <c r="V303">
        <v>1</v>
      </c>
      <c r="W303" s="9" t="s">
        <v>51</v>
      </c>
      <c r="X303">
        <v>0</v>
      </c>
      <c r="Y303">
        <v>88</v>
      </c>
    </row>
    <row r="304" spans="1:25" x14ac:dyDescent="0.35">
      <c r="A304" s="9" t="s">
        <v>681</v>
      </c>
      <c r="B304" s="9" t="s">
        <v>682</v>
      </c>
      <c r="C304" s="9" t="s">
        <v>54</v>
      </c>
      <c r="D304" s="9" t="s">
        <v>46</v>
      </c>
      <c r="E304" s="9" t="s">
        <v>56</v>
      </c>
      <c r="F304" s="9" t="s">
        <v>57</v>
      </c>
      <c r="G304" s="9" t="s">
        <v>54</v>
      </c>
      <c r="H304" s="9" t="s">
        <v>50</v>
      </c>
      <c r="I304">
        <v>1</v>
      </c>
      <c r="J304">
        <v>3</v>
      </c>
      <c r="K304">
        <v>3</v>
      </c>
      <c r="L304">
        <v>3</v>
      </c>
      <c r="M304">
        <v>0</v>
      </c>
      <c r="N304">
        <v>88</v>
      </c>
      <c r="O304">
        <v>88</v>
      </c>
      <c r="P304">
        <v>1</v>
      </c>
      <c r="Q304">
        <v>0</v>
      </c>
      <c r="R304">
        <v>1</v>
      </c>
      <c r="S304">
        <v>1</v>
      </c>
      <c r="T304">
        <v>0</v>
      </c>
      <c r="U304">
        <v>0</v>
      </c>
      <c r="V304">
        <v>1</v>
      </c>
      <c r="W304" s="9" t="s">
        <v>51</v>
      </c>
      <c r="X304">
        <v>0</v>
      </c>
      <c r="Y304">
        <v>88</v>
      </c>
    </row>
    <row r="305" spans="1:25" x14ac:dyDescent="0.35">
      <c r="A305" s="9" t="s">
        <v>683</v>
      </c>
      <c r="B305" s="9" t="s">
        <v>684</v>
      </c>
      <c r="C305" s="9" t="s">
        <v>54</v>
      </c>
      <c r="D305" s="9" t="s">
        <v>46</v>
      </c>
      <c r="E305" s="9" t="s">
        <v>69</v>
      </c>
      <c r="F305" s="9" t="s">
        <v>70</v>
      </c>
      <c r="G305" s="9" t="s">
        <v>49</v>
      </c>
      <c r="H305" s="9" t="s">
        <v>50</v>
      </c>
      <c r="I305">
        <v>1</v>
      </c>
      <c r="J305">
        <v>2</v>
      </c>
      <c r="K305">
        <v>2</v>
      </c>
      <c r="L305">
        <v>2</v>
      </c>
      <c r="M305">
        <v>0</v>
      </c>
      <c r="N305">
        <v>88</v>
      </c>
      <c r="P305">
        <v>2</v>
      </c>
      <c r="Q305">
        <v>0</v>
      </c>
      <c r="R305">
        <v>1</v>
      </c>
      <c r="S305">
        <v>0</v>
      </c>
      <c r="T305">
        <v>0</v>
      </c>
      <c r="U305">
        <v>0</v>
      </c>
      <c r="V305">
        <v>0</v>
      </c>
      <c r="W305" s="9" t="s">
        <v>58</v>
      </c>
      <c r="X305">
        <v>0</v>
      </c>
      <c r="Y305">
        <v>88</v>
      </c>
    </row>
    <row r="306" spans="1:25" x14ac:dyDescent="0.35">
      <c r="A306" s="9" t="s">
        <v>685</v>
      </c>
      <c r="B306" s="9" t="s">
        <v>686</v>
      </c>
      <c r="C306" s="9" t="s">
        <v>68</v>
      </c>
      <c r="D306" s="9" t="s">
        <v>55</v>
      </c>
      <c r="E306" s="9" t="s">
        <v>93</v>
      </c>
      <c r="F306" s="9" t="s">
        <v>94</v>
      </c>
      <c r="G306" s="9" t="s">
        <v>82</v>
      </c>
      <c r="H306" s="9" t="s">
        <v>65</v>
      </c>
      <c r="I306">
        <v>0</v>
      </c>
      <c r="J306">
        <v>1</v>
      </c>
      <c r="K306">
        <v>1</v>
      </c>
      <c r="L306">
        <v>1</v>
      </c>
      <c r="M306">
        <v>0</v>
      </c>
      <c r="N306">
        <v>88</v>
      </c>
      <c r="O306">
        <v>88</v>
      </c>
      <c r="P306">
        <v>0</v>
      </c>
      <c r="Q306">
        <v>0</v>
      </c>
      <c r="R306">
        <v>1</v>
      </c>
      <c r="S306">
        <v>1</v>
      </c>
      <c r="T306">
        <v>0</v>
      </c>
      <c r="U306">
        <v>0</v>
      </c>
      <c r="V306">
        <v>1</v>
      </c>
      <c r="W306" s="9" t="s">
        <v>51</v>
      </c>
      <c r="X306">
        <v>0</v>
      </c>
      <c r="Y306">
        <v>88</v>
      </c>
    </row>
    <row r="307" spans="1:25" x14ac:dyDescent="0.35">
      <c r="A307" s="9" t="s">
        <v>687</v>
      </c>
      <c r="B307" s="9" t="s">
        <v>688</v>
      </c>
      <c r="C307" s="9" t="s">
        <v>61</v>
      </c>
      <c r="D307" s="9" t="s">
        <v>62</v>
      </c>
      <c r="E307" s="9" t="s">
        <v>63</v>
      </c>
      <c r="F307" s="9" t="s">
        <v>64</v>
      </c>
      <c r="G307" s="9" t="s">
        <v>49</v>
      </c>
      <c r="H307" s="9" t="s">
        <v>65</v>
      </c>
      <c r="I307">
        <v>0</v>
      </c>
      <c r="J307">
        <v>3</v>
      </c>
      <c r="K307">
        <v>3</v>
      </c>
      <c r="L307">
        <v>2</v>
      </c>
      <c r="M307">
        <v>0</v>
      </c>
      <c r="N307">
        <v>88</v>
      </c>
      <c r="O307">
        <v>88</v>
      </c>
      <c r="P307">
        <v>0</v>
      </c>
      <c r="Q307">
        <v>0</v>
      </c>
      <c r="R307">
        <v>1</v>
      </c>
      <c r="S307">
        <v>1</v>
      </c>
      <c r="T307">
        <v>0</v>
      </c>
      <c r="U307">
        <v>0</v>
      </c>
      <c r="V307">
        <v>1</v>
      </c>
      <c r="W307" s="9" t="s">
        <v>51</v>
      </c>
      <c r="X307">
        <v>0</v>
      </c>
      <c r="Y307">
        <v>88</v>
      </c>
    </row>
    <row r="308" spans="1:25" x14ac:dyDescent="0.35">
      <c r="A308" s="9" t="s">
        <v>689</v>
      </c>
      <c r="B308" s="9" t="s">
        <v>690</v>
      </c>
      <c r="C308" s="9" t="s">
        <v>61</v>
      </c>
      <c r="D308" s="9" t="s">
        <v>46</v>
      </c>
      <c r="E308" s="9" t="s">
        <v>80</v>
      </c>
      <c r="F308" s="9" t="s">
        <v>81</v>
      </c>
      <c r="G308" s="9" t="s">
        <v>82</v>
      </c>
      <c r="H308" s="9" t="s">
        <v>65</v>
      </c>
      <c r="I308">
        <v>0</v>
      </c>
      <c r="J308">
        <v>3</v>
      </c>
      <c r="K308">
        <v>3</v>
      </c>
      <c r="L308">
        <v>3</v>
      </c>
      <c r="M308">
        <v>0</v>
      </c>
      <c r="N308">
        <v>88</v>
      </c>
      <c r="O308">
        <v>88</v>
      </c>
      <c r="P308">
        <v>2</v>
      </c>
      <c r="Q308">
        <v>0</v>
      </c>
      <c r="R308">
        <v>1</v>
      </c>
      <c r="S308">
        <v>1</v>
      </c>
      <c r="T308">
        <v>0</v>
      </c>
      <c r="U308">
        <v>0</v>
      </c>
      <c r="V308">
        <v>1</v>
      </c>
      <c r="W308" s="9" t="s">
        <v>51</v>
      </c>
      <c r="X308">
        <v>0</v>
      </c>
      <c r="Y308">
        <v>88</v>
      </c>
    </row>
    <row r="309" spans="1:25" x14ac:dyDescent="0.35">
      <c r="A309" s="9" t="s">
        <v>691</v>
      </c>
      <c r="B309" s="9" t="s">
        <v>692</v>
      </c>
      <c r="C309" s="9" t="s">
        <v>68</v>
      </c>
      <c r="D309" s="9" t="s">
        <v>55</v>
      </c>
      <c r="E309" s="9" t="s">
        <v>112</v>
      </c>
      <c r="F309" s="9" t="s">
        <v>113</v>
      </c>
      <c r="G309" s="9" t="s">
        <v>54</v>
      </c>
      <c r="H309" s="9" t="s">
        <v>65</v>
      </c>
      <c r="I309">
        <v>0</v>
      </c>
      <c r="J309">
        <v>2</v>
      </c>
      <c r="K309">
        <v>2</v>
      </c>
      <c r="L309">
        <v>2</v>
      </c>
      <c r="M309">
        <v>0</v>
      </c>
      <c r="N309">
        <v>88</v>
      </c>
      <c r="O309">
        <v>63</v>
      </c>
      <c r="P309">
        <v>1</v>
      </c>
      <c r="Q309">
        <v>0</v>
      </c>
      <c r="R309">
        <v>1</v>
      </c>
      <c r="S309">
        <v>1</v>
      </c>
      <c r="T309">
        <v>1</v>
      </c>
      <c r="U309">
        <v>0</v>
      </c>
      <c r="V309">
        <v>0</v>
      </c>
      <c r="W309" s="9" t="s">
        <v>95</v>
      </c>
      <c r="X309">
        <v>18</v>
      </c>
      <c r="Y309">
        <v>88</v>
      </c>
    </row>
    <row r="310" spans="1:25" x14ac:dyDescent="0.35">
      <c r="A310" s="9" t="s">
        <v>693</v>
      </c>
      <c r="B310" s="9" t="s">
        <v>694</v>
      </c>
      <c r="C310" s="9" t="s">
        <v>54</v>
      </c>
      <c r="D310" s="9" t="s">
        <v>46</v>
      </c>
      <c r="E310" s="9" t="s">
        <v>76</v>
      </c>
      <c r="F310" s="9" t="s">
        <v>77</v>
      </c>
      <c r="G310" s="9" t="s">
        <v>54</v>
      </c>
      <c r="H310" s="9" t="s">
        <v>50</v>
      </c>
      <c r="I310">
        <v>1</v>
      </c>
      <c r="J310">
        <v>1</v>
      </c>
      <c r="K310">
        <v>1</v>
      </c>
      <c r="L310">
        <v>1</v>
      </c>
      <c r="M310">
        <v>0</v>
      </c>
      <c r="N310">
        <v>88</v>
      </c>
      <c r="O310">
        <v>88</v>
      </c>
      <c r="P310">
        <v>0</v>
      </c>
      <c r="Q310">
        <v>0</v>
      </c>
      <c r="R310">
        <v>1</v>
      </c>
      <c r="S310">
        <v>1</v>
      </c>
      <c r="T310">
        <v>0</v>
      </c>
      <c r="U310">
        <v>0</v>
      </c>
      <c r="V310">
        <v>1</v>
      </c>
      <c r="W310" s="9" t="s">
        <v>51</v>
      </c>
      <c r="X310">
        <v>0</v>
      </c>
      <c r="Y310">
        <v>88</v>
      </c>
    </row>
    <row r="311" spans="1:25" x14ac:dyDescent="0.35">
      <c r="A311" s="9" t="s">
        <v>695</v>
      </c>
      <c r="B311" s="9" t="s">
        <v>696</v>
      </c>
      <c r="C311" s="9" t="s">
        <v>68</v>
      </c>
      <c r="D311" s="9" t="s">
        <v>62</v>
      </c>
      <c r="E311" s="9" t="s">
        <v>76</v>
      </c>
      <c r="F311" s="9" t="s">
        <v>77</v>
      </c>
      <c r="G311" s="9" t="s">
        <v>54</v>
      </c>
      <c r="H311" s="9" t="s">
        <v>65</v>
      </c>
      <c r="I311">
        <v>0</v>
      </c>
      <c r="J311">
        <v>4</v>
      </c>
      <c r="K311">
        <v>4</v>
      </c>
      <c r="L311">
        <v>3</v>
      </c>
      <c r="M311">
        <v>0</v>
      </c>
      <c r="N311">
        <v>88</v>
      </c>
      <c r="O311">
        <v>88</v>
      </c>
      <c r="P311">
        <v>1</v>
      </c>
      <c r="Q311">
        <v>0</v>
      </c>
      <c r="R311">
        <v>1</v>
      </c>
      <c r="S311">
        <v>1</v>
      </c>
      <c r="T311">
        <v>0</v>
      </c>
      <c r="U311">
        <v>0</v>
      </c>
      <c r="V311">
        <v>1</v>
      </c>
      <c r="W311" s="9" t="s">
        <v>51</v>
      </c>
      <c r="X311">
        <v>0</v>
      </c>
      <c r="Y311">
        <v>88</v>
      </c>
    </row>
    <row r="312" spans="1:25" x14ac:dyDescent="0.35">
      <c r="A312" s="9" t="s">
        <v>697</v>
      </c>
      <c r="B312" s="9" t="s">
        <v>698</v>
      </c>
      <c r="C312" s="9" t="s">
        <v>68</v>
      </c>
      <c r="D312" s="9" t="s">
        <v>62</v>
      </c>
      <c r="E312" s="9" t="s">
        <v>80</v>
      </c>
      <c r="F312" s="9" t="s">
        <v>81</v>
      </c>
      <c r="G312" s="9" t="s">
        <v>82</v>
      </c>
      <c r="H312" s="9" t="s">
        <v>65</v>
      </c>
      <c r="I312">
        <v>0</v>
      </c>
      <c r="J312">
        <v>3</v>
      </c>
      <c r="K312">
        <v>3</v>
      </c>
      <c r="L312">
        <v>1</v>
      </c>
      <c r="M312">
        <v>0</v>
      </c>
      <c r="N312">
        <v>88</v>
      </c>
      <c r="P312">
        <v>1</v>
      </c>
      <c r="Q312">
        <v>0</v>
      </c>
      <c r="R312">
        <v>1</v>
      </c>
      <c r="S312">
        <v>0</v>
      </c>
      <c r="T312">
        <v>0</v>
      </c>
      <c r="U312">
        <v>0</v>
      </c>
      <c r="V312">
        <v>0</v>
      </c>
      <c r="W312" s="9" t="s">
        <v>58</v>
      </c>
      <c r="X312">
        <v>0</v>
      </c>
      <c r="Y312">
        <v>88</v>
      </c>
    </row>
    <row r="313" spans="1:25" x14ac:dyDescent="0.35">
      <c r="A313" s="9" t="s">
        <v>699</v>
      </c>
      <c r="B313" s="9" t="s">
        <v>700</v>
      </c>
      <c r="C313" s="9" t="s">
        <v>68</v>
      </c>
      <c r="D313" s="9" t="s">
        <v>46</v>
      </c>
      <c r="E313" s="9" t="s">
        <v>112</v>
      </c>
      <c r="F313" s="9" t="s">
        <v>113</v>
      </c>
      <c r="G313" s="9" t="s">
        <v>54</v>
      </c>
      <c r="H313" s="9" t="s">
        <v>65</v>
      </c>
      <c r="I313">
        <v>0</v>
      </c>
      <c r="J313">
        <v>1</v>
      </c>
      <c r="K313">
        <v>1</v>
      </c>
      <c r="L313">
        <v>1</v>
      </c>
      <c r="M313">
        <v>0</v>
      </c>
      <c r="N313">
        <v>36</v>
      </c>
      <c r="P313">
        <v>1</v>
      </c>
      <c r="Q313">
        <v>0</v>
      </c>
      <c r="R313">
        <v>1</v>
      </c>
      <c r="S313">
        <v>0</v>
      </c>
      <c r="T313">
        <v>0</v>
      </c>
      <c r="U313">
        <v>0</v>
      </c>
      <c r="V313">
        <v>0</v>
      </c>
      <c r="W313" s="9" t="s">
        <v>58</v>
      </c>
      <c r="X313">
        <v>0</v>
      </c>
      <c r="Y313">
        <v>88</v>
      </c>
    </row>
    <row r="314" spans="1:25" x14ac:dyDescent="0.35">
      <c r="A314" s="9" t="s">
        <v>701</v>
      </c>
      <c r="B314" s="9" t="s">
        <v>702</v>
      </c>
      <c r="C314" s="9" t="s">
        <v>45</v>
      </c>
      <c r="D314" s="9" t="s">
        <v>46</v>
      </c>
      <c r="E314" s="9" t="s">
        <v>63</v>
      </c>
      <c r="F314" s="9" t="s">
        <v>64</v>
      </c>
      <c r="G314" s="9" t="s">
        <v>49</v>
      </c>
      <c r="H314" s="9" t="s">
        <v>50</v>
      </c>
      <c r="I314">
        <v>0</v>
      </c>
      <c r="J314">
        <v>1</v>
      </c>
      <c r="K314">
        <v>1</v>
      </c>
      <c r="L314">
        <v>1</v>
      </c>
      <c r="M314">
        <v>0</v>
      </c>
      <c r="N314">
        <v>88</v>
      </c>
      <c r="O314">
        <v>88</v>
      </c>
      <c r="P314">
        <v>0</v>
      </c>
      <c r="Q314">
        <v>0</v>
      </c>
      <c r="R314">
        <v>1</v>
      </c>
      <c r="S314">
        <v>1</v>
      </c>
      <c r="T314">
        <v>0</v>
      </c>
      <c r="U314">
        <v>0</v>
      </c>
      <c r="V314">
        <v>1</v>
      </c>
      <c r="W314" s="9" t="s">
        <v>51</v>
      </c>
      <c r="X314">
        <v>0</v>
      </c>
      <c r="Y314">
        <v>88</v>
      </c>
    </row>
    <row r="315" spans="1:25" x14ac:dyDescent="0.35">
      <c r="A315" s="9" t="s">
        <v>703</v>
      </c>
      <c r="B315" s="9" t="s">
        <v>704</v>
      </c>
      <c r="C315" s="9" t="s">
        <v>61</v>
      </c>
      <c r="D315" s="9" t="s">
        <v>55</v>
      </c>
      <c r="E315" s="9" t="s">
        <v>63</v>
      </c>
      <c r="F315" s="9" t="s">
        <v>64</v>
      </c>
      <c r="G315" s="9" t="s">
        <v>49</v>
      </c>
      <c r="H315" s="9" t="s">
        <v>65</v>
      </c>
      <c r="I315">
        <v>0</v>
      </c>
      <c r="J315">
        <v>3</v>
      </c>
      <c r="K315">
        <v>3</v>
      </c>
      <c r="L315">
        <v>2</v>
      </c>
      <c r="M315">
        <v>0</v>
      </c>
      <c r="N315">
        <v>88</v>
      </c>
      <c r="P315">
        <v>2</v>
      </c>
      <c r="Q315">
        <v>0</v>
      </c>
      <c r="R315">
        <v>1</v>
      </c>
      <c r="S315">
        <v>0</v>
      </c>
      <c r="T315">
        <v>0</v>
      </c>
      <c r="U315">
        <v>0</v>
      </c>
      <c r="V315">
        <v>0</v>
      </c>
      <c r="W315" s="9" t="s">
        <v>58</v>
      </c>
      <c r="X315">
        <v>0</v>
      </c>
      <c r="Y315">
        <v>88</v>
      </c>
    </row>
    <row r="316" spans="1:25" x14ac:dyDescent="0.35">
      <c r="A316" s="9" t="s">
        <v>705</v>
      </c>
      <c r="B316" s="9" t="s">
        <v>706</v>
      </c>
      <c r="C316" s="9" t="s">
        <v>68</v>
      </c>
      <c r="D316" s="9" t="s">
        <v>55</v>
      </c>
      <c r="E316" s="9" t="s">
        <v>93</v>
      </c>
      <c r="F316" s="9" t="s">
        <v>94</v>
      </c>
      <c r="G316" s="9" t="s">
        <v>82</v>
      </c>
      <c r="H316" s="9" t="s">
        <v>65</v>
      </c>
      <c r="I316">
        <v>0</v>
      </c>
      <c r="J316">
        <v>2</v>
      </c>
      <c r="K316">
        <v>2</v>
      </c>
      <c r="L316">
        <v>2</v>
      </c>
      <c r="M316">
        <v>0</v>
      </c>
      <c r="N316">
        <v>88</v>
      </c>
      <c r="O316">
        <v>88</v>
      </c>
      <c r="P316">
        <v>0</v>
      </c>
      <c r="Q316">
        <v>0</v>
      </c>
      <c r="R316">
        <v>1</v>
      </c>
      <c r="S316">
        <v>1</v>
      </c>
      <c r="T316">
        <v>0</v>
      </c>
      <c r="U316">
        <v>0</v>
      </c>
      <c r="V316">
        <v>1</v>
      </c>
      <c r="W316" s="9" t="s">
        <v>51</v>
      </c>
      <c r="X316">
        <v>0</v>
      </c>
      <c r="Y316">
        <v>88</v>
      </c>
    </row>
    <row r="317" spans="1:25" x14ac:dyDescent="0.35">
      <c r="A317" s="9" t="s">
        <v>707</v>
      </c>
      <c r="B317" s="9" t="s">
        <v>708</v>
      </c>
      <c r="C317" s="9" t="s">
        <v>45</v>
      </c>
      <c r="D317" s="9" t="s">
        <v>62</v>
      </c>
      <c r="E317" s="9" t="s">
        <v>80</v>
      </c>
      <c r="F317" s="9" t="s">
        <v>81</v>
      </c>
      <c r="G317" s="9" t="s">
        <v>82</v>
      </c>
      <c r="H317" s="9" t="s">
        <v>50</v>
      </c>
      <c r="I317">
        <v>0</v>
      </c>
      <c r="J317">
        <v>2</v>
      </c>
      <c r="K317">
        <v>2</v>
      </c>
      <c r="L317">
        <v>2</v>
      </c>
      <c r="M317">
        <v>0</v>
      </c>
      <c r="N317">
        <v>88</v>
      </c>
      <c r="O317">
        <v>88</v>
      </c>
      <c r="P317">
        <v>0</v>
      </c>
      <c r="Q317">
        <v>0</v>
      </c>
      <c r="R317">
        <v>1</v>
      </c>
      <c r="S317">
        <v>1</v>
      </c>
      <c r="T317">
        <v>0</v>
      </c>
      <c r="U317">
        <v>0</v>
      </c>
      <c r="V317">
        <v>1</v>
      </c>
      <c r="W317" s="9" t="s">
        <v>51</v>
      </c>
      <c r="X317">
        <v>0</v>
      </c>
      <c r="Y317">
        <v>88</v>
      </c>
    </row>
    <row r="318" spans="1:25" x14ac:dyDescent="0.35">
      <c r="A318" s="9" t="s">
        <v>709</v>
      </c>
      <c r="B318" s="9" t="s">
        <v>710</v>
      </c>
      <c r="C318" s="9" t="s">
        <v>68</v>
      </c>
      <c r="D318" s="9" t="s">
        <v>55</v>
      </c>
      <c r="E318" s="9" t="s">
        <v>69</v>
      </c>
      <c r="F318" s="9" t="s">
        <v>70</v>
      </c>
      <c r="G318" s="9" t="s">
        <v>49</v>
      </c>
      <c r="H318" s="9" t="s">
        <v>65</v>
      </c>
      <c r="I318">
        <v>0</v>
      </c>
      <c r="J318">
        <v>1</v>
      </c>
      <c r="K318">
        <v>1</v>
      </c>
      <c r="L318">
        <v>0</v>
      </c>
      <c r="M318">
        <v>1</v>
      </c>
      <c r="P318">
        <v>0</v>
      </c>
      <c r="Q318">
        <v>0</v>
      </c>
      <c r="R318">
        <v>0</v>
      </c>
      <c r="S318">
        <v>0</v>
      </c>
      <c r="T318">
        <v>0</v>
      </c>
      <c r="U318">
        <v>0</v>
      </c>
      <c r="V318">
        <v>0</v>
      </c>
      <c r="W318" s="9" t="s">
        <v>73</v>
      </c>
      <c r="X318">
        <v>0</v>
      </c>
      <c r="Y318">
        <v>88</v>
      </c>
    </row>
    <row r="319" spans="1:25" x14ac:dyDescent="0.35">
      <c r="A319" s="9" t="s">
        <v>711</v>
      </c>
      <c r="B319" s="9" t="s">
        <v>712</v>
      </c>
      <c r="C319" s="9" t="s">
        <v>68</v>
      </c>
      <c r="D319" s="9" t="s">
        <v>46</v>
      </c>
      <c r="E319" s="9" t="s">
        <v>80</v>
      </c>
      <c r="F319" s="9" t="s">
        <v>81</v>
      </c>
      <c r="G319" s="9" t="s">
        <v>82</v>
      </c>
      <c r="H319" s="9" t="s">
        <v>65</v>
      </c>
      <c r="I319">
        <v>0</v>
      </c>
      <c r="J319">
        <v>3</v>
      </c>
      <c r="K319">
        <v>3</v>
      </c>
      <c r="L319">
        <v>2</v>
      </c>
      <c r="M319">
        <v>0</v>
      </c>
      <c r="N319">
        <v>88</v>
      </c>
      <c r="O319">
        <v>88</v>
      </c>
      <c r="P319">
        <v>0</v>
      </c>
      <c r="Q319">
        <v>0</v>
      </c>
      <c r="R319">
        <v>1</v>
      </c>
      <c r="S319">
        <v>1</v>
      </c>
      <c r="T319">
        <v>0</v>
      </c>
      <c r="U319">
        <v>0</v>
      </c>
      <c r="V319">
        <v>1</v>
      </c>
      <c r="W319" s="9" t="s">
        <v>51</v>
      </c>
      <c r="X319">
        <v>0</v>
      </c>
      <c r="Y319">
        <v>88</v>
      </c>
    </row>
    <row r="320" spans="1:25" x14ac:dyDescent="0.35">
      <c r="A320" s="9" t="s">
        <v>713</v>
      </c>
      <c r="B320" s="9" t="s">
        <v>714</v>
      </c>
      <c r="C320" s="9" t="s">
        <v>54</v>
      </c>
      <c r="D320" s="9" t="s">
        <v>46</v>
      </c>
      <c r="E320" s="9" t="s">
        <v>63</v>
      </c>
      <c r="F320" s="9" t="s">
        <v>64</v>
      </c>
      <c r="G320" s="9" t="s">
        <v>49</v>
      </c>
      <c r="H320" s="9" t="s">
        <v>50</v>
      </c>
      <c r="I320">
        <v>1</v>
      </c>
      <c r="J320">
        <v>4</v>
      </c>
      <c r="K320">
        <v>4</v>
      </c>
      <c r="L320">
        <v>3</v>
      </c>
      <c r="M320">
        <v>1</v>
      </c>
      <c r="N320">
        <v>88</v>
      </c>
      <c r="O320">
        <v>88</v>
      </c>
      <c r="P320">
        <v>0</v>
      </c>
      <c r="Q320">
        <v>0</v>
      </c>
      <c r="R320">
        <v>1</v>
      </c>
      <c r="S320">
        <v>1</v>
      </c>
      <c r="T320">
        <v>0</v>
      </c>
      <c r="U320">
        <v>0</v>
      </c>
      <c r="V320">
        <v>1</v>
      </c>
      <c r="W320" s="9" t="s">
        <v>51</v>
      </c>
      <c r="X320">
        <v>0</v>
      </c>
      <c r="Y320">
        <v>88</v>
      </c>
    </row>
    <row r="321" spans="1:25" x14ac:dyDescent="0.35">
      <c r="A321" s="9" t="s">
        <v>715</v>
      </c>
      <c r="B321" s="9" t="s">
        <v>716</v>
      </c>
      <c r="C321" s="9" t="s">
        <v>68</v>
      </c>
      <c r="D321" s="9" t="s">
        <v>46</v>
      </c>
      <c r="E321" s="9" t="s">
        <v>63</v>
      </c>
      <c r="F321" s="9" t="s">
        <v>64</v>
      </c>
      <c r="G321" s="9" t="s">
        <v>49</v>
      </c>
      <c r="H321" s="9" t="s">
        <v>65</v>
      </c>
      <c r="I321">
        <v>0</v>
      </c>
      <c r="J321">
        <v>4</v>
      </c>
      <c r="K321">
        <v>4</v>
      </c>
      <c r="L321">
        <v>4</v>
      </c>
      <c r="M321">
        <v>0</v>
      </c>
      <c r="N321">
        <v>88</v>
      </c>
      <c r="O321">
        <v>88</v>
      </c>
      <c r="P321">
        <v>2</v>
      </c>
      <c r="Q321">
        <v>0</v>
      </c>
      <c r="R321">
        <v>1</v>
      </c>
      <c r="S321">
        <v>1</v>
      </c>
      <c r="T321">
        <v>0</v>
      </c>
      <c r="U321">
        <v>0</v>
      </c>
      <c r="V321">
        <v>1</v>
      </c>
      <c r="W321" s="9" t="s">
        <v>51</v>
      </c>
      <c r="X321">
        <v>0</v>
      </c>
      <c r="Y321">
        <v>88</v>
      </c>
    </row>
    <row r="322" spans="1:25" x14ac:dyDescent="0.35">
      <c r="A322" s="9" t="s">
        <v>717</v>
      </c>
      <c r="B322" s="9" t="s">
        <v>718</v>
      </c>
      <c r="C322" s="9" t="s">
        <v>68</v>
      </c>
      <c r="D322" s="9" t="s">
        <v>46</v>
      </c>
      <c r="E322" s="9" t="s">
        <v>93</v>
      </c>
      <c r="F322" s="9" t="s">
        <v>94</v>
      </c>
      <c r="G322" s="9" t="s">
        <v>82</v>
      </c>
      <c r="H322" s="9" t="s">
        <v>65</v>
      </c>
      <c r="I322">
        <v>0</v>
      </c>
      <c r="J322">
        <v>1</v>
      </c>
      <c r="K322">
        <v>1</v>
      </c>
      <c r="L322">
        <v>1</v>
      </c>
      <c r="M322">
        <v>0</v>
      </c>
      <c r="N322">
        <v>88</v>
      </c>
      <c r="O322">
        <v>88</v>
      </c>
      <c r="P322">
        <v>0</v>
      </c>
      <c r="Q322">
        <v>0</v>
      </c>
      <c r="R322">
        <v>1</v>
      </c>
      <c r="S322">
        <v>1</v>
      </c>
      <c r="T322">
        <v>0</v>
      </c>
      <c r="U322">
        <v>0</v>
      </c>
      <c r="V322">
        <v>1</v>
      </c>
      <c r="W322" s="9" t="s">
        <v>51</v>
      </c>
      <c r="X322">
        <v>0</v>
      </c>
      <c r="Y322">
        <v>88</v>
      </c>
    </row>
    <row r="323" spans="1:25" x14ac:dyDescent="0.35">
      <c r="A323" s="9" t="s">
        <v>719</v>
      </c>
      <c r="B323" s="9" t="s">
        <v>720</v>
      </c>
      <c r="C323" s="9" t="s">
        <v>68</v>
      </c>
      <c r="D323" s="9" t="s">
        <v>55</v>
      </c>
      <c r="E323" s="9" t="s">
        <v>93</v>
      </c>
      <c r="F323" s="9" t="s">
        <v>94</v>
      </c>
      <c r="G323" s="9" t="s">
        <v>82</v>
      </c>
      <c r="H323" s="9" t="s">
        <v>65</v>
      </c>
      <c r="I323">
        <v>0</v>
      </c>
      <c r="J323">
        <v>2</v>
      </c>
      <c r="K323">
        <v>2</v>
      </c>
      <c r="L323">
        <v>1</v>
      </c>
      <c r="M323">
        <v>0</v>
      </c>
      <c r="N323">
        <v>88</v>
      </c>
      <c r="P323">
        <v>1</v>
      </c>
      <c r="Q323">
        <v>0</v>
      </c>
      <c r="R323">
        <v>1</v>
      </c>
      <c r="S323">
        <v>0</v>
      </c>
      <c r="T323">
        <v>0</v>
      </c>
      <c r="U323">
        <v>0</v>
      </c>
      <c r="V323">
        <v>0</v>
      </c>
      <c r="W323" s="9" t="s">
        <v>58</v>
      </c>
      <c r="X323">
        <v>0</v>
      </c>
      <c r="Y323">
        <v>88</v>
      </c>
    </row>
    <row r="324" spans="1:25" x14ac:dyDescent="0.35">
      <c r="A324" s="9" t="s">
        <v>721</v>
      </c>
      <c r="B324" s="9" t="s">
        <v>722</v>
      </c>
      <c r="C324" s="9" t="s">
        <v>54</v>
      </c>
      <c r="D324" s="9" t="s">
        <v>46</v>
      </c>
      <c r="E324" s="9" t="s">
        <v>56</v>
      </c>
      <c r="F324" s="9" t="s">
        <v>57</v>
      </c>
      <c r="G324" s="9" t="s">
        <v>54</v>
      </c>
      <c r="H324" s="9" t="s">
        <v>50</v>
      </c>
      <c r="I324">
        <v>1</v>
      </c>
      <c r="J324">
        <v>2</v>
      </c>
      <c r="K324">
        <v>2</v>
      </c>
      <c r="L324">
        <v>2</v>
      </c>
      <c r="M324">
        <v>0</v>
      </c>
      <c r="N324">
        <v>88</v>
      </c>
      <c r="P324">
        <v>1</v>
      </c>
      <c r="Q324">
        <v>1</v>
      </c>
      <c r="R324">
        <v>1</v>
      </c>
      <c r="S324">
        <v>0</v>
      </c>
      <c r="T324">
        <v>0</v>
      </c>
      <c r="U324">
        <v>0</v>
      </c>
      <c r="V324">
        <v>0</v>
      </c>
      <c r="W324" s="9" t="s">
        <v>58</v>
      </c>
      <c r="X324">
        <v>0</v>
      </c>
      <c r="Y324">
        <v>88</v>
      </c>
    </row>
    <row r="325" spans="1:25" x14ac:dyDescent="0.35">
      <c r="A325" s="9" t="s">
        <v>723</v>
      </c>
      <c r="B325" s="9" t="s">
        <v>724</v>
      </c>
      <c r="C325" s="9" t="s">
        <v>45</v>
      </c>
      <c r="D325" s="9" t="s">
        <v>55</v>
      </c>
      <c r="E325" s="9" t="s">
        <v>112</v>
      </c>
      <c r="F325" s="9" t="s">
        <v>113</v>
      </c>
      <c r="G325" s="9" t="s">
        <v>54</v>
      </c>
      <c r="H325" s="9" t="s">
        <v>50</v>
      </c>
      <c r="I325">
        <v>0</v>
      </c>
      <c r="J325">
        <v>2</v>
      </c>
      <c r="K325">
        <v>2</v>
      </c>
      <c r="L325">
        <v>2</v>
      </c>
      <c r="M325">
        <v>0</v>
      </c>
      <c r="N325">
        <v>71</v>
      </c>
      <c r="P325">
        <v>2</v>
      </c>
      <c r="Q325">
        <v>0</v>
      </c>
      <c r="R325">
        <v>1</v>
      </c>
      <c r="S325">
        <v>0</v>
      </c>
      <c r="T325">
        <v>0</v>
      </c>
      <c r="U325">
        <v>0</v>
      </c>
      <c r="V325">
        <v>0</v>
      </c>
      <c r="W325" s="9" t="s">
        <v>58</v>
      </c>
      <c r="X325">
        <v>0</v>
      </c>
      <c r="Y325">
        <v>88</v>
      </c>
    </row>
    <row r="326" spans="1:25" x14ac:dyDescent="0.35">
      <c r="A326" s="9" t="s">
        <v>725</v>
      </c>
      <c r="B326" s="9" t="s">
        <v>726</v>
      </c>
      <c r="C326" s="9" t="s">
        <v>68</v>
      </c>
      <c r="D326" s="9" t="s">
        <v>46</v>
      </c>
      <c r="E326" s="9" t="s">
        <v>56</v>
      </c>
      <c r="F326" s="9" t="s">
        <v>57</v>
      </c>
      <c r="G326" s="9" t="s">
        <v>54</v>
      </c>
      <c r="H326" s="9" t="s">
        <v>65</v>
      </c>
      <c r="I326">
        <v>0</v>
      </c>
      <c r="J326">
        <v>2</v>
      </c>
      <c r="K326">
        <v>2</v>
      </c>
      <c r="L326">
        <v>2</v>
      </c>
      <c r="M326">
        <v>0</v>
      </c>
      <c r="N326">
        <v>88</v>
      </c>
      <c r="O326">
        <v>67</v>
      </c>
      <c r="P326">
        <v>1</v>
      </c>
      <c r="Q326">
        <v>0</v>
      </c>
      <c r="R326">
        <v>1</v>
      </c>
      <c r="S326">
        <v>1</v>
      </c>
      <c r="T326">
        <v>1</v>
      </c>
      <c r="U326">
        <v>0</v>
      </c>
      <c r="V326">
        <v>0</v>
      </c>
      <c r="W326" s="9" t="s">
        <v>95</v>
      </c>
      <c r="X326">
        <v>15</v>
      </c>
      <c r="Y326">
        <v>88</v>
      </c>
    </row>
    <row r="327" spans="1:25" x14ac:dyDescent="0.35">
      <c r="A327" s="9" t="s">
        <v>727</v>
      </c>
      <c r="B327" s="9" t="s">
        <v>728</v>
      </c>
      <c r="C327" s="9" t="s">
        <v>68</v>
      </c>
      <c r="D327" s="9" t="s">
        <v>46</v>
      </c>
      <c r="E327" s="9" t="s">
        <v>47</v>
      </c>
      <c r="F327" s="9" t="s">
        <v>48</v>
      </c>
      <c r="G327" s="9" t="s">
        <v>49</v>
      </c>
      <c r="H327" s="9" t="s">
        <v>65</v>
      </c>
      <c r="I327">
        <v>0</v>
      </c>
      <c r="J327">
        <v>4</v>
      </c>
      <c r="K327">
        <v>4</v>
      </c>
      <c r="L327">
        <v>4</v>
      </c>
      <c r="M327">
        <v>0</v>
      </c>
      <c r="N327">
        <v>88</v>
      </c>
      <c r="O327">
        <v>88</v>
      </c>
      <c r="P327">
        <v>3</v>
      </c>
      <c r="Q327">
        <v>0</v>
      </c>
      <c r="R327">
        <v>1</v>
      </c>
      <c r="S327">
        <v>1</v>
      </c>
      <c r="T327">
        <v>0</v>
      </c>
      <c r="U327">
        <v>0</v>
      </c>
      <c r="V327">
        <v>1</v>
      </c>
      <c r="W327" s="9" t="s">
        <v>51</v>
      </c>
      <c r="X327">
        <v>0</v>
      </c>
      <c r="Y327">
        <v>88</v>
      </c>
    </row>
    <row r="328" spans="1:25" x14ac:dyDescent="0.35">
      <c r="A328" s="9" t="s">
        <v>729</v>
      </c>
      <c r="B328" s="9" t="s">
        <v>730</v>
      </c>
      <c r="C328" s="9" t="s">
        <v>68</v>
      </c>
      <c r="D328" s="9" t="s">
        <v>46</v>
      </c>
      <c r="E328" s="9" t="s">
        <v>112</v>
      </c>
      <c r="F328" s="9" t="s">
        <v>113</v>
      </c>
      <c r="G328" s="9" t="s">
        <v>54</v>
      </c>
      <c r="H328" s="9" t="s">
        <v>65</v>
      </c>
      <c r="I328">
        <v>0</v>
      </c>
      <c r="J328">
        <v>3</v>
      </c>
      <c r="K328">
        <v>3</v>
      </c>
      <c r="L328">
        <v>3</v>
      </c>
      <c r="M328">
        <v>0</v>
      </c>
      <c r="N328">
        <v>42</v>
      </c>
      <c r="O328">
        <v>42</v>
      </c>
      <c r="P328">
        <v>2</v>
      </c>
      <c r="Q328">
        <v>0</v>
      </c>
      <c r="R328">
        <v>1</v>
      </c>
      <c r="S328">
        <v>1</v>
      </c>
      <c r="T328">
        <v>1</v>
      </c>
      <c r="U328">
        <v>0</v>
      </c>
      <c r="V328">
        <v>0</v>
      </c>
      <c r="W328" s="9" t="s">
        <v>95</v>
      </c>
      <c r="X328">
        <v>27</v>
      </c>
      <c r="Y328">
        <v>88</v>
      </c>
    </row>
    <row r="329" spans="1:25" x14ac:dyDescent="0.35">
      <c r="A329" s="9" t="s">
        <v>731</v>
      </c>
      <c r="B329" s="9" t="s">
        <v>732</v>
      </c>
      <c r="C329" s="9" t="s">
        <v>61</v>
      </c>
      <c r="D329" s="9" t="s">
        <v>46</v>
      </c>
      <c r="E329" s="9" t="s">
        <v>63</v>
      </c>
      <c r="F329" s="9" t="s">
        <v>64</v>
      </c>
      <c r="G329" s="9" t="s">
        <v>49</v>
      </c>
      <c r="H329" s="9" t="s">
        <v>65</v>
      </c>
      <c r="I329">
        <v>0</v>
      </c>
      <c r="J329">
        <v>4</v>
      </c>
      <c r="K329">
        <v>4</v>
      </c>
      <c r="L329">
        <v>4</v>
      </c>
      <c r="M329">
        <v>0</v>
      </c>
      <c r="N329">
        <v>88</v>
      </c>
      <c r="O329">
        <v>88</v>
      </c>
      <c r="P329">
        <v>2</v>
      </c>
      <c r="Q329">
        <v>0</v>
      </c>
      <c r="R329">
        <v>1</v>
      </c>
      <c r="S329">
        <v>1</v>
      </c>
      <c r="T329">
        <v>0</v>
      </c>
      <c r="U329">
        <v>0</v>
      </c>
      <c r="V329">
        <v>1</v>
      </c>
      <c r="W329" s="9" t="s">
        <v>51</v>
      </c>
      <c r="X329">
        <v>0</v>
      </c>
      <c r="Y329">
        <v>88</v>
      </c>
    </row>
    <row r="330" spans="1:25" x14ac:dyDescent="0.35">
      <c r="A330" s="9" t="s">
        <v>733</v>
      </c>
      <c r="B330" s="9" t="s">
        <v>734</v>
      </c>
      <c r="C330" s="9" t="s">
        <v>45</v>
      </c>
      <c r="D330" s="9" t="s">
        <v>55</v>
      </c>
      <c r="E330" s="9" t="s">
        <v>112</v>
      </c>
      <c r="F330" s="9" t="s">
        <v>113</v>
      </c>
      <c r="G330" s="9" t="s">
        <v>54</v>
      </c>
      <c r="H330" s="9" t="s">
        <v>50</v>
      </c>
      <c r="I330">
        <v>0</v>
      </c>
      <c r="J330">
        <v>2</v>
      </c>
      <c r="K330">
        <v>2</v>
      </c>
      <c r="L330">
        <v>2</v>
      </c>
      <c r="M330">
        <v>0</v>
      </c>
      <c r="N330">
        <v>88</v>
      </c>
      <c r="P330">
        <v>2</v>
      </c>
      <c r="Q330">
        <v>0</v>
      </c>
      <c r="R330">
        <v>1</v>
      </c>
      <c r="S330">
        <v>0</v>
      </c>
      <c r="T330">
        <v>0</v>
      </c>
      <c r="U330">
        <v>0</v>
      </c>
      <c r="V330">
        <v>0</v>
      </c>
      <c r="W330" s="9" t="s">
        <v>58</v>
      </c>
      <c r="X330">
        <v>0</v>
      </c>
      <c r="Y330">
        <v>88</v>
      </c>
    </row>
    <row r="331" spans="1:25" x14ac:dyDescent="0.35">
      <c r="A331" s="9" t="s">
        <v>735</v>
      </c>
      <c r="B331" s="9" t="s">
        <v>736</v>
      </c>
      <c r="C331" s="9" t="s">
        <v>54</v>
      </c>
      <c r="D331" s="9" t="s">
        <v>46</v>
      </c>
      <c r="E331" s="9" t="s">
        <v>69</v>
      </c>
      <c r="F331" s="9" t="s">
        <v>70</v>
      </c>
      <c r="G331" s="9" t="s">
        <v>49</v>
      </c>
      <c r="H331" s="9" t="s">
        <v>50</v>
      </c>
      <c r="I331">
        <v>1</v>
      </c>
      <c r="J331">
        <v>3</v>
      </c>
      <c r="K331">
        <v>3</v>
      </c>
      <c r="L331">
        <v>3</v>
      </c>
      <c r="M331">
        <v>0</v>
      </c>
      <c r="N331">
        <v>88</v>
      </c>
      <c r="O331">
        <v>88</v>
      </c>
      <c r="P331">
        <v>1</v>
      </c>
      <c r="Q331">
        <v>1</v>
      </c>
      <c r="R331">
        <v>1</v>
      </c>
      <c r="S331">
        <v>1</v>
      </c>
      <c r="T331">
        <v>0</v>
      </c>
      <c r="U331">
        <v>0</v>
      </c>
      <c r="V331">
        <v>1</v>
      </c>
      <c r="W331" s="9" t="s">
        <v>51</v>
      </c>
      <c r="X331">
        <v>0</v>
      </c>
      <c r="Y331">
        <v>88</v>
      </c>
    </row>
    <row r="332" spans="1:25" x14ac:dyDescent="0.35">
      <c r="A332" s="9" t="s">
        <v>737</v>
      </c>
      <c r="B332" s="9" t="s">
        <v>738</v>
      </c>
      <c r="C332" s="9" t="s">
        <v>68</v>
      </c>
      <c r="D332" s="9" t="s">
        <v>55</v>
      </c>
      <c r="E332" s="9" t="s">
        <v>80</v>
      </c>
      <c r="F332" s="9" t="s">
        <v>81</v>
      </c>
      <c r="G332" s="9" t="s">
        <v>82</v>
      </c>
      <c r="H332" s="9" t="s">
        <v>65</v>
      </c>
      <c r="I332">
        <v>0</v>
      </c>
      <c r="J332">
        <v>4</v>
      </c>
      <c r="K332">
        <v>4</v>
      </c>
      <c r="L332">
        <v>4</v>
      </c>
      <c r="M332">
        <v>0</v>
      </c>
      <c r="N332">
        <v>88</v>
      </c>
      <c r="O332">
        <v>88</v>
      </c>
      <c r="P332">
        <v>1</v>
      </c>
      <c r="Q332">
        <v>0</v>
      </c>
      <c r="R332">
        <v>1</v>
      </c>
      <c r="S332">
        <v>1</v>
      </c>
      <c r="T332">
        <v>0</v>
      </c>
      <c r="U332">
        <v>0</v>
      </c>
      <c r="V332">
        <v>1</v>
      </c>
      <c r="W332" s="9" t="s">
        <v>51</v>
      </c>
      <c r="X332">
        <v>0</v>
      </c>
      <c r="Y332">
        <v>88</v>
      </c>
    </row>
    <row r="333" spans="1:25" x14ac:dyDescent="0.35">
      <c r="A333" s="9" t="s">
        <v>739</v>
      </c>
      <c r="B333" s="9" t="s">
        <v>740</v>
      </c>
      <c r="C333" s="9" t="s">
        <v>45</v>
      </c>
      <c r="D333" s="9" t="s">
        <v>55</v>
      </c>
      <c r="E333" s="9" t="s">
        <v>56</v>
      </c>
      <c r="F333" s="9" t="s">
        <v>57</v>
      </c>
      <c r="G333" s="9" t="s">
        <v>54</v>
      </c>
      <c r="H333" s="9" t="s">
        <v>50</v>
      </c>
      <c r="I333">
        <v>0</v>
      </c>
      <c r="J333">
        <v>2</v>
      </c>
      <c r="K333">
        <v>2</v>
      </c>
      <c r="L333">
        <v>2</v>
      </c>
      <c r="M333">
        <v>0</v>
      </c>
      <c r="N333">
        <v>88</v>
      </c>
      <c r="P333">
        <v>2</v>
      </c>
      <c r="Q333">
        <v>0</v>
      </c>
      <c r="R333">
        <v>1</v>
      </c>
      <c r="S333">
        <v>0</v>
      </c>
      <c r="T333">
        <v>0</v>
      </c>
      <c r="U333">
        <v>0</v>
      </c>
      <c r="V333">
        <v>0</v>
      </c>
      <c r="W333" s="9" t="s">
        <v>58</v>
      </c>
      <c r="X333">
        <v>0</v>
      </c>
      <c r="Y333">
        <v>88</v>
      </c>
    </row>
    <row r="334" spans="1:25" x14ac:dyDescent="0.35">
      <c r="A334" s="9" t="s">
        <v>741</v>
      </c>
      <c r="B334" s="9" t="s">
        <v>742</v>
      </c>
      <c r="C334" s="9" t="s">
        <v>68</v>
      </c>
      <c r="D334" s="9" t="s">
        <v>46</v>
      </c>
      <c r="E334" s="9" t="s">
        <v>80</v>
      </c>
      <c r="F334" s="9" t="s">
        <v>81</v>
      </c>
      <c r="G334" s="9" t="s">
        <v>82</v>
      </c>
      <c r="H334" s="9" t="s">
        <v>65</v>
      </c>
      <c r="I334">
        <v>0</v>
      </c>
      <c r="J334">
        <v>2</v>
      </c>
      <c r="K334">
        <v>2</v>
      </c>
      <c r="L334">
        <v>2</v>
      </c>
      <c r="M334">
        <v>0</v>
      </c>
      <c r="N334">
        <v>88</v>
      </c>
      <c r="P334">
        <v>2</v>
      </c>
      <c r="Q334">
        <v>0</v>
      </c>
      <c r="R334">
        <v>1</v>
      </c>
      <c r="S334">
        <v>0</v>
      </c>
      <c r="T334">
        <v>0</v>
      </c>
      <c r="U334">
        <v>0</v>
      </c>
      <c r="V334">
        <v>0</v>
      </c>
      <c r="W334" s="9" t="s">
        <v>58</v>
      </c>
      <c r="X334">
        <v>0</v>
      </c>
      <c r="Y334">
        <v>88</v>
      </c>
    </row>
    <row r="335" spans="1:25" x14ac:dyDescent="0.35">
      <c r="A335" s="9" t="s">
        <v>743</v>
      </c>
      <c r="B335" s="9" t="s">
        <v>744</v>
      </c>
      <c r="C335" s="9" t="s">
        <v>68</v>
      </c>
      <c r="D335" s="9" t="s">
        <v>62</v>
      </c>
      <c r="E335" s="9" t="s">
        <v>80</v>
      </c>
      <c r="F335" s="9" t="s">
        <v>81</v>
      </c>
      <c r="G335" s="9" t="s">
        <v>82</v>
      </c>
      <c r="H335" s="9" t="s">
        <v>65</v>
      </c>
      <c r="I335">
        <v>0</v>
      </c>
      <c r="J335">
        <v>3</v>
      </c>
      <c r="K335">
        <v>3</v>
      </c>
      <c r="L335">
        <v>3</v>
      </c>
      <c r="M335">
        <v>0</v>
      </c>
      <c r="N335">
        <v>88</v>
      </c>
      <c r="O335">
        <v>88</v>
      </c>
      <c r="P335">
        <v>0</v>
      </c>
      <c r="Q335">
        <v>0</v>
      </c>
      <c r="R335">
        <v>1</v>
      </c>
      <c r="S335">
        <v>1</v>
      </c>
      <c r="T335">
        <v>0</v>
      </c>
      <c r="U335">
        <v>0</v>
      </c>
      <c r="V335">
        <v>1</v>
      </c>
      <c r="W335" s="9" t="s">
        <v>51</v>
      </c>
      <c r="X335">
        <v>0</v>
      </c>
      <c r="Y335">
        <v>88</v>
      </c>
    </row>
    <row r="336" spans="1:25" x14ac:dyDescent="0.35">
      <c r="A336" s="9" t="s">
        <v>745</v>
      </c>
      <c r="B336" s="9" t="s">
        <v>746</v>
      </c>
      <c r="C336" s="9" t="s">
        <v>68</v>
      </c>
      <c r="D336" s="9" t="s">
        <v>55</v>
      </c>
      <c r="E336" s="9" t="s">
        <v>56</v>
      </c>
      <c r="F336" s="9" t="s">
        <v>57</v>
      </c>
      <c r="G336" s="9" t="s">
        <v>54</v>
      </c>
      <c r="H336" s="9" t="s">
        <v>65</v>
      </c>
      <c r="I336">
        <v>0</v>
      </c>
      <c r="J336">
        <v>1</v>
      </c>
      <c r="K336">
        <v>1</v>
      </c>
      <c r="L336">
        <v>1</v>
      </c>
      <c r="M336">
        <v>0</v>
      </c>
      <c r="N336">
        <v>64</v>
      </c>
      <c r="O336">
        <v>64</v>
      </c>
      <c r="P336">
        <v>0</v>
      </c>
      <c r="Q336">
        <v>0</v>
      </c>
      <c r="R336">
        <v>1</v>
      </c>
      <c r="S336">
        <v>1</v>
      </c>
      <c r="T336">
        <v>1</v>
      </c>
      <c r="U336">
        <v>0</v>
      </c>
      <c r="V336">
        <v>0</v>
      </c>
      <c r="W336" s="9" t="s">
        <v>95</v>
      </c>
      <c r="X336">
        <v>17</v>
      </c>
      <c r="Y336">
        <v>88</v>
      </c>
    </row>
    <row r="337" spans="1:25" x14ac:dyDescent="0.35">
      <c r="A337" s="9" t="s">
        <v>747</v>
      </c>
      <c r="B337" s="9" t="s">
        <v>748</v>
      </c>
      <c r="C337" s="9" t="s">
        <v>54</v>
      </c>
      <c r="D337" s="9" t="s">
        <v>46</v>
      </c>
      <c r="E337" s="9" t="s">
        <v>112</v>
      </c>
      <c r="F337" s="9" t="s">
        <v>113</v>
      </c>
      <c r="G337" s="9" t="s">
        <v>54</v>
      </c>
      <c r="H337" s="9" t="s">
        <v>50</v>
      </c>
      <c r="I337">
        <v>1</v>
      </c>
      <c r="J337">
        <v>4</v>
      </c>
      <c r="K337">
        <v>4</v>
      </c>
      <c r="L337">
        <v>4</v>
      </c>
      <c r="M337">
        <v>0</v>
      </c>
      <c r="N337">
        <v>88</v>
      </c>
      <c r="O337">
        <v>34</v>
      </c>
      <c r="P337">
        <v>1</v>
      </c>
      <c r="Q337">
        <v>2</v>
      </c>
      <c r="R337">
        <v>1</v>
      </c>
      <c r="S337">
        <v>1</v>
      </c>
      <c r="T337">
        <v>1</v>
      </c>
      <c r="U337">
        <v>0</v>
      </c>
      <c r="V337">
        <v>0</v>
      </c>
      <c r="W337" s="9" t="s">
        <v>95</v>
      </c>
      <c r="X337">
        <v>31</v>
      </c>
      <c r="Y337">
        <v>88</v>
      </c>
    </row>
    <row r="338" spans="1:25" x14ac:dyDescent="0.35">
      <c r="A338" s="9" t="s">
        <v>749</v>
      </c>
      <c r="B338" s="9" t="s">
        <v>750</v>
      </c>
      <c r="C338" s="9" t="s">
        <v>54</v>
      </c>
      <c r="D338" s="9" t="s">
        <v>46</v>
      </c>
      <c r="E338" s="9" t="s">
        <v>112</v>
      </c>
      <c r="F338" s="9" t="s">
        <v>113</v>
      </c>
      <c r="G338" s="9" t="s">
        <v>54</v>
      </c>
      <c r="H338" s="9" t="s">
        <v>50</v>
      </c>
      <c r="I338">
        <v>1</v>
      </c>
      <c r="J338">
        <v>1</v>
      </c>
      <c r="K338">
        <v>1</v>
      </c>
      <c r="L338">
        <v>1</v>
      </c>
      <c r="M338">
        <v>0</v>
      </c>
      <c r="N338">
        <v>30</v>
      </c>
      <c r="O338">
        <v>30</v>
      </c>
      <c r="P338">
        <v>0</v>
      </c>
      <c r="Q338">
        <v>0</v>
      </c>
      <c r="R338">
        <v>1</v>
      </c>
      <c r="S338">
        <v>1</v>
      </c>
      <c r="T338">
        <v>1</v>
      </c>
      <c r="U338">
        <v>0</v>
      </c>
      <c r="V338">
        <v>0</v>
      </c>
      <c r="W338" s="9" t="s">
        <v>95</v>
      </c>
      <c r="X338">
        <v>33</v>
      </c>
      <c r="Y338">
        <v>88</v>
      </c>
    </row>
    <row r="339" spans="1:25" x14ac:dyDescent="0.35">
      <c r="A339" s="9" t="s">
        <v>751</v>
      </c>
      <c r="B339" s="9" t="s">
        <v>752</v>
      </c>
      <c r="C339" s="9" t="s">
        <v>68</v>
      </c>
      <c r="D339" s="9" t="s">
        <v>46</v>
      </c>
      <c r="E339" s="9" t="s">
        <v>80</v>
      </c>
      <c r="F339" s="9" t="s">
        <v>81</v>
      </c>
      <c r="G339" s="9" t="s">
        <v>82</v>
      </c>
      <c r="H339" s="9" t="s">
        <v>65</v>
      </c>
      <c r="I339">
        <v>0</v>
      </c>
      <c r="J339">
        <v>3</v>
      </c>
      <c r="K339">
        <v>3</v>
      </c>
      <c r="L339">
        <v>3</v>
      </c>
      <c r="M339">
        <v>0</v>
      </c>
      <c r="N339">
        <v>88</v>
      </c>
      <c r="O339">
        <v>88</v>
      </c>
      <c r="P339">
        <v>0</v>
      </c>
      <c r="Q339">
        <v>0</v>
      </c>
      <c r="R339">
        <v>1</v>
      </c>
      <c r="S339">
        <v>1</v>
      </c>
      <c r="T339">
        <v>0</v>
      </c>
      <c r="U339">
        <v>0</v>
      </c>
      <c r="V339">
        <v>1</v>
      </c>
      <c r="W339" s="9" t="s">
        <v>51</v>
      </c>
      <c r="X339">
        <v>0</v>
      </c>
      <c r="Y339">
        <v>88</v>
      </c>
    </row>
    <row r="340" spans="1:25" x14ac:dyDescent="0.35">
      <c r="A340" s="9" t="s">
        <v>753</v>
      </c>
      <c r="B340" s="9" t="s">
        <v>754</v>
      </c>
      <c r="C340" s="9" t="s">
        <v>68</v>
      </c>
      <c r="D340" s="9" t="s">
        <v>46</v>
      </c>
      <c r="E340" s="9" t="s">
        <v>63</v>
      </c>
      <c r="F340" s="9" t="s">
        <v>64</v>
      </c>
      <c r="G340" s="9" t="s">
        <v>49</v>
      </c>
      <c r="H340" s="9" t="s">
        <v>65</v>
      </c>
      <c r="I340">
        <v>0</v>
      </c>
      <c r="J340">
        <v>2</v>
      </c>
      <c r="K340">
        <v>2</v>
      </c>
      <c r="L340">
        <v>1</v>
      </c>
      <c r="M340">
        <v>0</v>
      </c>
      <c r="N340">
        <v>88</v>
      </c>
      <c r="O340">
        <v>88</v>
      </c>
      <c r="P340">
        <v>0</v>
      </c>
      <c r="Q340">
        <v>0</v>
      </c>
      <c r="R340">
        <v>1</v>
      </c>
      <c r="S340">
        <v>1</v>
      </c>
      <c r="T340">
        <v>0</v>
      </c>
      <c r="U340">
        <v>0</v>
      </c>
      <c r="V340">
        <v>1</v>
      </c>
      <c r="W340" s="9" t="s">
        <v>51</v>
      </c>
      <c r="X340">
        <v>0</v>
      </c>
      <c r="Y340">
        <v>88</v>
      </c>
    </row>
    <row r="341" spans="1:25" x14ac:dyDescent="0.35">
      <c r="A341" s="9" t="s">
        <v>755</v>
      </c>
      <c r="B341" s="9" t="s">
        <v>756</v>
      </c>
      <c r="C341" s="9" t="s">
        <v>68</v>
      </c>
      <c r="D341" s="9" t="s">
        <v>55</v>
      </c>
      <c r="E341" s="9" t="s">
        <v>112</v>
      </c>
      <c r="F341" s="9" t="s">
        <v>113</v>
      </c>
      <c r="G341" s="9" t="s">
        <v>54</v>
      </c>
      <c r="H341" s="9" t="s">
        <v>65</v>
      </c>
      <c r="I341">
        <v>0</v>
      </c>
      <c r="J341">
        <v>4</v>
      </c>
      <c r="K341">
        <v>4</v>
      </c>
      <c r="L341">
        <v>4</v>
      </c>
      <c r="M341">
        <v>0</v>
      </c>
      <c r="N341">
        <v>88</v>
      </c>
      <c r="O341">
        <v>88</v>
      </c>
      <c r="P341">
        <v>0</v>
      </c>
      <c r="Q341">
        <v>0</v>
      </c>
      <c r="R341">
        <v>1</v>
      </c>
      <c r="S341">
        <v>1</v>
      </c>
      <c r="T341">
        <v>0</v>
      </c>
      <c r="U341">
        <v>0</v>
      </c>
      <c r="V341">
        <v>1</v>
      </c>
      <c r="W341" s="9" t="s">
        <v>51</v>
      </c>
      <c r="X341">
        <v>0</v>
      </c>
      <c r="Y341">
        <v>88</v>
      </c>
    </row>
    <row r="342" spans="1:25" x14ac:dyDescent="0.35">
      <c r="A342" s="9" t="s">
        <v>757</v>
      </c>
      <c r="B342" s="9" t="s">
        <v>758</v>
      </c>
      <c r="C342" s="9" t="s">
        <v>68</v>
      </c>
      <c r="D342" s="9" t="s">
        <v>46</v>
      </c>
      <c r="E342" s="9" t="s">
        <v>80</v>
      </c>
      <c r="F342" s="9" t="s">
        <v>81</v>
      </c>
      <c r="G342" s="9" t="s">
        <v>82</v>
      </c>
      <c r="H342" s="9" t="s">
        <v>65</v>
      </c>
      <c r="I342">
        <v>0</v>
      </c>
      <c r="J342">
        <v>1</v>
      </c>
      <c r="K342">
        <v>1</v>
      </c>
      <c r="L342">
        <v>1</v>
      </c>
      <c r="M342">
        <v>0</v>
      </c>
      <c r="N342">
        <v>88</v>
      </c>
      <c r="P342">
        <v>1</v>
      </c>
      <c r="Q342">
        <v>0</v>
      </c>
      <c r="R342">
        <v>1</v>
      </c>
      <c r="S342">
        <v>0</v>
      </c>
      <c r="T342">
        <v>0</v>
      </c>
      <c r="U342">
        <v>0</v>
      </c>
      <c r="V342">
        <v>0</v>
      </c>
      <c r="W342" s="9" t="s">
        <v>58</v>
      </c>
      <c r="X342">
        <v>0</v>
      </c>
      <c r="Y342">
        <v>88</v>
      </c>
    </row>
    <row r="343" spans="1:25" x14ac:dyDescent="0.35">
      <c r="A343" s="9" t="s">
        <v>759</v>
      </c>
      <c r="B343" s="9" t="s">
        <v>760</v>
      </c>
      <c r="C343" s="9" t="s">
        <v>61</v>
      </c>
      <c r="D343" s="9" t="s">
        <v>55</v>
      </c>
      <c r="E343" s="9" t="s">
        <v>93</v>
      </c>
      <c r="F343" s="9" t="s">
        <v>94</v>
      </c>
      <c r="G343" s="9" t="s">
        <v>82</v>
      </c>
      <c r="H343" s="9" t="s">
        <v>65</v>
      </c>
      <c r="I343">
        <v>0</v>
      </c>
      <c r="J343">
        <v>3</v>
      </c>
      <c r="K343">
        <v>3</v>
      </c>
      <c r="L343">
        <v>2</v>
      </c>
      <c r="M343">
        <v>0</v>
      </c>
      <c r="N343">
        <v>69</v>
      </c>
      <c r="O343">
        <v>69</v>
      </c>
      <c r="P343">
        <v>0</v>
      </c>
      <c r="Q343">
        <v>0</v>
      </c>
      <c r="R343">
        <v>1</v>
      </c>
      <c r="S343">
        <v>1</v>
      </c>
      <c r="T343">
        <v>1</v>
      </c>
      <c r="U343">
        <v>0</v>
      </c>
      <c r="V343">
        <v>0</v>
      </c>
      <c r="W343" s="9" t="s">
        <v>95</v>
      </c>
      <c r="X343">
        <v>2</v>
      </c>
      <c r="Y343">
        <v>88</v>
      </c>
    </row>
    <row r="344" spans="1:25" x14ac:dyDescent="0.35">
      <c r="A344" s="9" t="s">
        <v>761</v>
      </c>
      <c r="B344" s="9" t="s">
        <v>762</v>
      </c>
      <c r="C344" s="9" t="s">
        <v>54</v>
      </c>
      <c r="D344" s="9" t="s">
        <v>46</v>
      </c>
      <c r="E344" s="9" t="s">
        <v>76</v>
      </c>
      <c r="F344" s="9" t="s">
        <v>77</v>
      </c>
      <c r="G344" s="9" t="s">
        <v>54</v>
      </c>
      <c r="H344" s="9" t="s">
        <v>50</v>
      </c>
      <c r="I344">
        <v>1</v>
      </c>
      <c r="J344">
        <v>2</v>
      </c>
      <c r="K344">
        <v>2</v>
      </c>
      <c r="L344">
        <v>2</v>
      </c>
      <c r="M344">
        <v>0</v>
      </c>
      <c r="N344">
        <v>88</v>
      </c>
      <c r="O344">
        <v>88</v>
      </c>
      <c r="P344">
        <v>0</v>
      </c>
      <c r="Q344">
        <v>0</v>
      </c>
      <c r="R344">
        <v>1</v>
      </c>
      <c r="S344">
        <v>1</v>
      </c>
      <c r="T344">
        <v>0</v>
      </c>
      <c r="U344">
        <v>0</v>
      </c>
      <c r="V344">
        <v>1</v>
      </c>
      <c r="W344" s="9" t="s">
        <v>51</v>
      </c>
      <c r="X344">
        <v>0</v>
      </c>
      <c r="Y344">
        <v>88</v>
      </c>
    </row>
    <row r="345" spans="1:25" x14ac:dyDescent="0.35">
      <c r="A345" s="9" t="s">
        <v>763</v>
      </c>
      <c r="B345" s="9" t="s">
        <v>764</v>
      </c>
      <c r="C345" s="9" t="s">
        <v>54</v>
      </c>
      <c r="D345" s="9" t="s">
        <v>46</v>
      </c>
      <c r="E345" s="9" t="s">
        <v>56</v>
      </c>
      <c r="F345" s="9" t="s">
        <v>57</v>
      </c>
      <c r="G345" s="9" t="s">
        <v>54</v>
      </c>
      <c r="H345" s="9" t="s">
        <v>50</v>
      </c>
      <c r="I345">
        <v>1</v>
      </c>
      <c r="J345">
        <v>1</v>
      </c>
      <c r="K345">
        <v>1</v>
      </c>
      <c r="L345">
        <v>1</v>
      </c>
      <c r="M345">
        <v>0</v>
      </c>
      <c r="N345">
        <v>88</v>
      </c>
      <c r="O345">
        <v>88</v>
      </c>
      <c r="P345">
        <v>0</v>
      </c>
      <c r="Q345">
        <v>0</v>
      </c>
      <c r="R345">
        <v>1</v>
      </c>
      <c r="S345">
        <v>1</v>
      </c>
      <c r="T345">
        <v>0</v>
      </c>
      <c r="U345">
        <v>0</v>
      </c>
      <c r="V345">
        <v>1</v>
      </c>
      <c r="W345" s="9" t="s">
        <v>51</v>
      </c>
      <c r="X345">
        <v>0</v>
      </c>
      <c r="Y345">
        <v>88</v>
      </c>
    </row>
    <row r="346" spans="1:25" x14ac:dyDescent="0.35">
      <c r="A346" s="9" t="s">
        <v>765</v>
      </c>
      <c r="B346" s="9" t="s">
        <v>766</v>
      </c>
      <c r="C346" s="9" t="s">
        <v>45</v>
      </c>
      <c r="D346" s="9" t="s">
        <v>62</v>
      </c>
      <c r="E346" s="9" t="s">
        <v>47</v>
      </c>
      <c r="F346" s="9" t="s">
        <v>48</v>
      </c>
      <c r="G346" s="9" t="s">
        <v>49</v>
      </c>
      <c r="H346" s="9" t="s">
        <v>50</v>
      </c>
      <c r="I346">
        <v>0</v>
      </c>
      <c r="J346">
        <v>3</v>
      </c>
      <c r="K346">
        <v>3</v>
      </c>
      <c r="L346">
        <v>3</v>
      </c>
      <c r="M346">
        <v>0</v>
      </c>
      <c r="N346">
        <v>88</v>
      </c>
      <c r="O346">
        <v>88</v>
      </c>
      <c r="P346">
        <v>0</v>
      </c>
      <c r="Q346">
        <v>0</v>
      </c>
      <c r="R346">
        <v>1</v>
      </c>
      <c r="S346">
        <v>1</v>
      </c>
      <c r="T346">
        <v>0</v>
      </c>
      <c r="U346">
        <v>0</v>
      </c>
      <c r="V346">
        <v>1</v>
      </c>
      <c r="W346" s="9" t="s">
        <v>51</v>
      </c>
      <c r="X346">
        <v>0</v>
      </c>
      <c r="Y346">
        <v>88</v>
      </c>
    </row>
    <row r="347" spans="1:25" x14ac:dyDescent="0.35">
      <c r="A347" s="9" t="s">
        <v>767</v>
      </c>
      <c r="B347" s="9" t="s">
        <v>768</v>
      </c>
      <c r="C347" s="9" t="s">
        <v>54</v>
      </c>
      <c r="D347" s="9" t="s">
        <v>46</v>
      </c>
      <c r="E347" s="9" t="s">
        <v>112</v>
      </c>
      <c r="F347" s="9" t="s">
        <v>113</v>
      </c>
      <c r="G347" s="9" t="s">
        <v>54</v>
      </c>
      <c r="H347" s="9" t="s">
        <v>50</v>
      </c>
      <c r="I347">
        <v>1</v>
      </c>
      <c r="J347">
        <v>4</v>
      </c>
      <c r="K347">
        <v>4</v>
      </c>
      <c r="L347">
        <v>4</v>
      </c>
      <c r="M347">
        <v>0</v>
      </c>
      <c r="N347">
        <v>88</v>
      </c>
      <c r="O347">
        <v>54</v>
      </c>
      <c r="P347">
        <v>3</v>
      </c>
      <c r="Q347">
        <v>1</v>
      </c>
      <c r="R347">
        <v>1</v>
      </c>
      <c r="S347">
        <v>1</v>
      </c>
      <c r="T347">
        <v>1</v>
      </c>
      <c r="U347">
        <v>0</v>
      </c>
      <c r="V347">
        <v>0</v>
      </c>
      <c r="W347" s="9" t="s">
        <v>95</v>
      </c>
      <c r="X347">
        <v>22</v>
      </c>
      <c r="Y347">
        <v>88</v>
      </c>
    </row>
    <row r="348" spans="1:25" x14ac:dyDescent="0.35">
      <c r="A348" s="9" t="s">
        <v>769</v>
      </c>
      <c r="B348" s="9" t="s">
        <v>770</v>
      </c>
      <c r="C348" s="9" t="s">
        <v>54</v>
      </c>
      <c r="D348" s="9" t="s">
        <v>46</v>
      </c>
      <c r="E348" s="9" t="s">
        <v>47</v>
      </c>
      <c r="F348" s="9" t="s">
        <v>48</v>
      </c>
      <c r="G348" s="9" t="s">
        <v>49</v>
      </c>
      <c r="H348" s="9" t="s">
        <v>50</v>
      </c>
      <c r="I348">
        <v>1</v>
      </c>
      <c r="J348">
        <v>3</v>
      </c>
      <c r="K348">
        <v>3</v>
      </c>
      <c r="L348">
        <v>2</v>
      </c>
      <c r="M348">
        <v>0</v>
      </c>
      <c r="N348">
        <v>88</v>
      </c>
      <c r="O348">
        <v>88</v>
      </c>
      <c r="P348">
        <v>0</v>
      </c>
      <c r="Q348">
        <v>0</v>
      </c>
      <c r="R348">
        <v>1</v>
      </c>
      <c r="S348">
        <v>1</v>
      </c>
      <c r="T348">
        <v>0</v>
      </c>
      <c r="U348">
        <v>0</v>
      </c>
      <c r="V348">
        <v>1</v>
      </c>
      <c r="W348" s="9" t="s">
        <v>51</v>
      </c>
      <c r="X348">
        <v>0</v>
      </c>
      <c r="Y348">
        <v>88</v>
      </c>
    </row>
    <row r="349" spans="1:25" x14ac:dyDescent="0.35">
      <c r="A349" s="9" t="s">
        <v>771</v>
      </c>
      <c r="B349" s="9" t="s">
        <v>772</v>
      </c>
      <c r="C349" s="9" t="s">
        <v>45</v>
      </c>
      <c r="D349" s="9" t="s">
        <v>62</v>
      </c>
      <c r="E349" s="9" t="s">
        <v>56</v>
      </c>
      <c r="F349" s="9" t="s">
        <v>57</v>
      </c>
      <c r="G349" s="9" t="s">
        <v>54</v>
      </c>
      <c r="H349" s="9" t="s">
        <v>50</v>
      </c>
      <c r="I349">
        <v>0</v>
      </c>
      <c r="J349">
        <v>1</v>
      </c>
      <c r="K349">
        <v>1</v>
      </c>
      <c r="L349">
        <v>1</v>
      </c>
      <c r="M349">
        <v>0</v>
      </c>
      <c r="N349">
        <v>31</v>
      </c>
      <c r="P349">
        <v>1</v>
      </c>
      <c r="Q349">
        <v>0</v>
      </c>
      <c r="R349">
        <v>1</v>
      </c>
      <c r="S349">
        <v>0</v>
      </c>
      <c r="T349">
        <v>0</v>
      </c>
      <c r="U349">
        <v>0</v>
      </c>
      <c r="V349">
        <v>0</v>
      </c>
      <c r="W349" s="9" t="s">
        <v>58</v>
      </c>
      <c r="X349">
        <v>0</v>
      </c>
      <c r="Y349">
        <v>88</v>
      </c>
    </row>
    <row r="350" spans="1:25" x14ac:dyDescent="0.35">
      <c r="A350" s="9" t="s">
        <v>773</v>
      </c>
      <c r="B350" s="9" t="s">
        <v>774</v>
      </c>
      <c r="C350" s="9" t="s">
        <v>45</v>
      </c>
      <c r="D350" s="9" t="s">
        <v>55</v>
      </c>
      <c r="E350" s="9" t="s">
        <v>47</v>
      </c>
      <c r="F350" s="9" t="s">
        <v>48</v>
      </c>
      <c r="G350" s="9" t="s">
        <v>49</v>
      </c>
      <c r="H350" s="9" t="s">
        <v>50</v>
      </c>
      <c r="I350">
        <v>0</v>
      </c>
      <c r="J350">
        <v>1</v>
      </c>
      <c r="K350">
        <v>1</v>
      </c>
      <c r="L350">
        <v>0</v>
      </c>
      <c r="M350">
        <v>0</v>
      </c>
      <c r="P350">
        <v>0</v>
      </c>
      <c r="Q350">
        <v>0</v>
      </c>
      <c r="R350">
        <v>0</v>
      </c>
      <c r="S350">
        <v>0</v>
      </c>
      <c r="T350">
        <v>0</v>
      </c>
      <c r="U350">
        <v>0</v>
      </c>
      <c r="V350">
        <v>0</v>
      </c>
      <c r="W350" s="9" t="s">
        <v>73</v>
      </c>
      <c r="X350">
        <v>0</v>
      </c>
      <c r="Y350">
        <v>88</v>
      </c>
    </row>
    <row r="351" spans="1:25" x14ac:dyDescent="0.35">
      <c r="A351" s="9" t="s">
        <v>775</v>
      </c>
      <c r="B351" s="9" t="s">
        <v>776</v>
      </c>
      <c r="C351" s="9" t="s">
        <v>45</v>
      </c>
      <c r="D351" s="9" t="s">
        <v>55</v>
      </c>
      <c r="E351" s="9" t="s">
        <v>112</v>
      </c>
      <c r="F351" s="9" t="s">
        <v>113</v>
      </c>
      <c r="G351" s="9" t="s">
        <v>54</v>
      </c>
      <c r="H351" s="9" t="s">
        <v>50</v>
      </c>
      <c r="I351">
        <v>0</v>
      </c>
      <c r="J351">
        <v>3</v>
      </c>
      <c r="K351">
        <v>3</v>
      </c>
      <c r="L351">
        <v>3</v>
      </c>
      <c r="M351">
        <v>0</v>
      </c>
      <c r="N351">
        <v>65</v>
      </c>
      <c r="P351">
        <v>3</v>
      </c>
      <c r="Q351">
        <v>0</v>
      </c>
      <c r="R351">
        <v>1</v>
      </c>
      <c r="S351">
        <v>0</v>
      </c>
      <c r="T351">
        <v>0</v>
      </c>
      <c r="U351">
        <v>0</v>
      </c>
      <c r="V351">
        <v>0</v>
      </c>
      <c r="W351" s="9" t="s">
        <v>58</v>
      </c>
      <c r="X351">
        <v>0</v>
      </c>
      <c r="Y351">
        <v>88</v>
      </c>
    </row>
    <row r="352" spans="1:25" x14ac:dyDescent="0.35">
      <c r="A352" s="9" t="s">
        <v>777</v>
      </c>
      <c r="B352" s="9" t="s">
        <v>778</v>
      </c>
      <c r="C352" s="9" t="s">
        <v>134</v>
      </c>
      <c r="D352" s="9" t="s">
        <v>55</v>
      </c>
      <c r="E352" s="9" t="s">
        <v>56</v>
      </c>
      <c r="F352" s="9" t="s">
        <v>57</v>
      </c>
      <c r="G352" s="9" t="s">
        <v>54</v>
      </c>
      <c r="H352" s="9" t="s">
        <v>135</v>
      </c>
      <c r="I352">
        <v>1</v>
      </c>
      <c r="J352">
        <v>2</v>
      </c>
      <c r="K352">
        <v>2</v>
      </c>
      <c r="L352">
        <v>2</v>
      </c>
      <c r="M352">
        <v>0</v>
      </c>
      <c r="N352">
        <v>88</v>
      </c>
      <c r="O352">
        <v>88</v>
      </c>
      <c r="P352">
        <v>1</v>
      </c>
      <c r="Q352">
        <v>0</v>
      </c>
      <c r="R352">
        <v>1</v>
      </c>
      <c r="S352">
        <v>1</v>
      </c>
      <c r="T352">
        <v>0</v>
      </c>
      <c r="U352">
        <v>0</v>
      </c>
      <c r="V352">
        <v>1</v>
      </c>
      <c r="W352" s="9" t="s">
        <v>51</v>
      </c>
      <c r="X352">
        <v>0</v>
      </c>
      <c r="Y352">
        <v>88</v>
      </c>
    </row>
    <row r="353" spans="1:25" x14ac:dyDescent="0.35">
      <c r="A353" s="9" t="s">
        <v>779</v>
      </c>
      <c r="B353" s="9" t="s">
        <v>780</v>
      </c>
      <c r="C353" s="9" t="s">
        <v>68</v>
      </c>
      <c r="D353" s="9" t="s">
        <v>62</v>
      </c>
      <c r="E353" s="9" t="s">
        <v>80</v>
      </c>
      <c r="F353" s="9" t="s">
        <v>81</v>
      </c>
      <c r="G353" s="9" t="s">
        <v>82</v>
      </c>
      <c r="H353" s="9" t="s">
        <v>65</v>
      </c>
      <c r="I353">
        <v>0</v>
      </c>
      <c r="J353">
        <v>2</v>
      </c>
      <c r="K353">
        <v>2</v>
      </c>
      <c r="L353">
        <v>1</v>
      </c>
      <c r="M353">
        <v>0</v>
      </c>
      <c r="N353">
        <v>88</v>
      </c>
      <c r="P353">
        <v>1</v>
      </c>
      <c r="Q353">
        <v>0</v>
      </c>
      <c r="R353">
        <v>1</v>
      </c>
      <c r="S353">
        <v>0</v>
      </c>
      <c r="T353">
        <v>0</v>
      </c>
      <c r="U353">
        <v>0</v>
      </c>
      <c r="V353">
        <v>0</v>
      </c>
      <c r="W353" s="9" t="s">
        <v>58</v>
      </c>
      <c r="X353">
        <v>0</v>
      </c>
      <c r="Y353">
        <v>88</v>
      </c>
    </row>
    <row r="354" spans="1:25" x14ac:dyDescent="0.35">
      <c r="A354" s="9" t="s">
        <v>781</v>
      </c>
      <c r="B354" s="9" t="s">
        <v>782</v>
      </c>
      <c r="C354" s="9" t="s">
        <v>61</v>
      </c>
      <c r="D354" s="9" t="s">
        <v>55</v>
      </c>
      <c r="E354" s="9" t="s">
        <v>63</v>
      </c>
      <c r="F354" s="9" t="s">
        <v>64</v>
      </c>
      <c r="G354" s="9" t="s">
        <v>49</v>
      </c>
      <c r="H354" s="9" t="s">
        <v>65</v>
      </c>
      <c r="I354">
        <v>0</v>
      </c>
      <c r="J354">
        <v>2</v>
      </c>
      <c r="K354">
        <v>2</v>
      </c>
      <c r="L354">
        <v>2</v>
      </c>
      <c r="M354">
        <v>0</v>
      </c>
      <c r="N354">
        <v>88</v>
      </c>
      <c r="O354">
        <v>54</v>
      </c>
      <c r="P354">
        <v>1</v>
      </c>
      <c r="Q354">
        <v>0</v>
      </c>
      <c r="R354">
        <v>1</v>
      </c>
      <c r="S354">
        <v>1</v>
      </c>
      <c r="T354">
        <v>1</v>
      </c>
      <c r="U354">
        <v>0</v>
      </c>
      <c r="V354">
        <v>0</v>
      </c>
      <c r="W354" s="9" t="s">
        <v>95</v>
      </c>
      <c r="X354">
        <v>5</v>
      </c>
      <c r="Y354">
        <v>88</v>
      </c>
    </row>
    <row r="355" spans="1:25" x14ac:dyDescent="0.35">
      <c r="A355" s="9" t="s">
        <v>783</v>
      </c>
      <c r="B355" s="9" t="s">
        <v>784</v>
      </c>
      <c r="C355" s="9" t="s">
        <v>134</v>
      </c>
      <c r="D355" s="9" t="s">
        <v>46</v>
      </c>
      <c r="E355" s="9" t="s">
        <v>112</v>
      </c>
      <c r="F355" s="9" t="s">
        <v>113</v>
      </c>
      <c r="G355" s="9" t="s">
        <v>54</v>
      </c>
      <c r="H355" s="9" t="s">
        <v>135</v>
      </c>
      <c r="I355">
        <v>1</v>
      </c>
      <c r="J355">
        <v>4</v>
      </c>
      <c r="K355">
        <v>4</v>
      </c>
      <c r="L355">
        <v>3</v>
      </c>
      <c r="M355">
        <v>1</v>
      </c>
      <c r="N355">
        <v>63</v>
      </c>
      <c r="P355">
        <v>3</v>
      </c>
      <c r="Q355">
        <v>0</v>
      </c>
      <c r="R355">
        <v>1</v>
      </c>
      <c r="S355">
        <v>0</v>
      </c>
      <c r="T355">
        <v>0</v>
      </c>
      <c r="U355">
        <v>0</v>
      </c>
      <c r="V355">
        <v>0</v>
      </c>
      <c r="W355" s="9" t="s">
        <v>58</v>
      </c>
      <c r="X355">
        <v>0</v>
      </c>
      <c r="Y355">
        <v>88</v>
      </c>
    </row>
    <row r="356" spans="1:25" x14ac:dyDescent="0.35">
      <c r="A356" s="9" t="s">
        <v>785</v>
      </c>
      <c r="B356" s="9" t="s">
        <v>786</v>
      </c>
      <c r="C356" s="9" t="s">
        <v>68</v>
      </c>
      <c r="D356" s="9" t="s">
        <v>46</v>
      </c>
      <c r="E356" s="9" t="s">
        <v>112</v>
      </c>
      <c r="F356" s="9" t="s">
        <v>113</v>
      </c>
      <c r="G356" s="9" t="s">
        <v>54</v>
      </c>
      <c r="H356" s="9" t="s">
        <v>65</v>
      </c>
      <c r="I356">
        <v>0</v>
      </c>
      <c r="J356">
        <v>2</v>
      </c>
      <c r="K356">
        <v>2</v>
      </c>
      <c r="L356">
        <v>2</v>
      </c>
      <c r="M356">
        <v>0</v>
      </c>
      <c r="N356">
        <v>88</v>
      </c>
      <c r="O356">
        <v>88</v>
      </c>
      <c r="P356">
        <v>0</v>
      </c>
      <c r="Q356">
        <v>0</v>
      </c>
      <c r="R356">
        <v>1</v>
      </c>
      <c r="S356">
        <v>1</v>
      </c>
      <c r="T356">
        <v>0</v>
      </c>
      <c r="U356">
        <v>0</v>
      </c>
      <c r="V356">
        <v>1</v>
      </c>
      <c r="W356" s="9" t="s">
        <v>51</v>
      </c>
      <c r="X356">
        <v>0</v>
      </c>
      <c r="Y356">
        <v>88</v>
      </c>
    </row>
    <row r="357" spans="1:25" x14ac:dyDescent="0.35">
      <c r="A357" s="9" t="s">
        <v>787</v>
      </c>
      <c r="B357" s="9" t="s">
        <v>788</v>
      </c>
      <c r="C357" s="9" t="s">
        <v>68</v>
      </c>
      <c r="D357" s="9" t="s">
        <v>46</v>
      </c>
      <c r="E357" s="9" t="s">
        <v>47</v>
      </c>
      <c r="F357" s="9" t="s">
        <v>48</v>
      </c>
      <c r="G357" s="9" t="s">
        <v>49</v>
      </c>
      <c r="H357" s="9" t="s">
        <v>65</v>
      </c>
      <c r="I357">
        <v>0</v>
      </c>
      <c r="J357">
        <v>2</v>
      </c>
      <c r="K357">
        <v>2</v>
      </c>
      <c r="L357">
        <v>2</v>
      </c>
      <c r="M357">
        <v>0</v>
      </c>
      <c r="N357">
        <v>88</v>
      </c>
      <c r="O357">
        <v>88</v>
      </c>
      <c r="P357">
        <v>1</v>
      </c>
      <c r="Q357">
        <v>0</v>
      </c>
      <c r="R357">
        <v>1</v>
      </c>
      <c r="S357">
        <v>1</v>
      </c>
      <c r="T357">
        <v>0</v>
      </c>
      <c r="U357">
        <v>0</v>
      </c>
      <c r="V357">
        <v>1</v>
      </c>
      <c r="W357" s="9" t="s">
        <v>51</v>
      </c>
      <c r="X357">
        <v>0</v>
      </c>
      <c r="Y357">
        <v>88</v>
      </c>
    </row>
    <row r="358" spans="1:25" x14ac:dyDescent="0.35">
      <c r="A358" s="9" t="s">
        <v>789</v>
      </c>
      <c r="B358" s="9" t="s">
        <v>790</v>
      </c>
      <c r="C358" s="9" t="s">
        <v>61</v>
      </c>
      <c r="D358" s="9" t="s">
        <v>55</v>
      </c>
      <c r="E358" s="9" t="s">
        <v>47</v>
      </c>
      <c r="F358" s="9" t="s">
        <v>48</v>
      </c>
      <c r="G358" s="9" t="s">
        <v>49</v>
      </c>
      <c r="H358" s="9" t="s">
        <v>65</v>
      </c>
      <c r="I358">
        <v>0</v>
      </c>
      <c r="J358">
        <v>4</v>
      </c>
      <c r="K358">
        <v>4</v>
      </c>
      <c r="L358">
        <v>4</v>
      </c>
      <c r="M358">
        <v>0</v>
      </c>
      <c r="N358">
        <v>88</v>
      </c>
      <c r="O358">
        <v>88</v>
      </c>
      <c r="P358">
        <v>1</v>
      </c>
      <c r="Q358">
        <v>0</v>
      </c>
      <c r="R358">
        <v>1</v>
      </c>
      <c r="S358">
        <v>1</v>
      </c>
      <c r="T358">
        <v>0</v>
      </c>
      <c r="U358">
        <v>0</v>
      </c>
      <c r="V358">
        <v>1</v>
      </c>
      <c r="W358" s="9" t="s">
        <v>51</v>
      </c>
      <c r="X358">
        <v>0</v>
      </c>
      <c r="Y358">
        <v>88</v>
      </c>
    </row>
    <row r="359" spans="1:25" x14ac:dyDescent="0.35">
      <c r="A359" s="9" t="s">
        <v>791</v>
      </c>
      <c r="B359" s="9" t="s">
        <v>792</v>
      </c>
      <c r="C359" s="9" t="s">
        <v>54</v>
      </c>
      <c r="D359" s="9" t="s">
        <v>46</v>
      </c>
      <c r="E359" s="9" t="s">
        <v>112</v>
      </c>
      <c r="F359" s="9" t="s">
        <v>113</v>
      </c>
      <c r="G359" s="9" t="s">
        <v>54</v>
      </c>
      <c r="H359" s="9" t="s">
        <v>50</v>
      </c>
      <c r="I359">
        <v>1</v>
      </c>
      <c r="J359">
        <v>4</v>
      </c>
      <c r="K359">
        <v>4</v>
      </c>
      <c r="L359">
        <v>4</v>
      </c>
      <c r="M359">
        <v>0</v>
      </c>
      <c r="N359">
        <v>88</v>
      </c>
      <c r="O359">
        <v>29</v>
      </c>
      <c r="P359">
        <v>3</v>
      </c>
      <c r="Q359">
        <v>1</v>
      </c>
      <c r="R359">
        <v>1</v>
      </c>
      <c r="S359">
        <v>1</v>
      </c>
      <c r="T359">
        <v>1</v>
      </c>
      <c r="U359">
        <v>0</v>
      </c>
      <c r="V359">
        <v>0</v>
      </c>
      <c r="W359" s="9" t="s">
        <v>95</v>
      </c>
      <c r="X359">
        <v>33</v>
      </c>
      <c r="Y359">
        <v>88</v>
      </c>
    </row>
    <row r="360" spans="1:25" x14ac:dyDescent="0.35">
      <c r="A360" s="9" t="s">
        <v>793</v>
      </c>
      <c r="B360" s="9" t="s">
        <v>794</v>
      </c>
      <c r="C360" s="9" t="s">
        <v>68</v>
      </c>
      <c r="D360" s="9" t="s">
        <v>55</v>
      </c>
      <c r="E360" s="9" t="s">
        <v>47</v>
      </c>
      <c r="F360" s="9" t="s">
        <v>48</v>
      </c>
      <c r="G360" s="9" t="s">
        <v>49</v>
      </c>
      <c r="H360" s="9" t="s">
        <v>65</v>
      </c>
      <c r="I360">
        <v>0</v>
      </c>
      <c r="J360">
        <v>1</v>
      </c>
      <c r="K360">
        <v>1</v>
      </c>
      <c r="L360">
        <v>1</v>
      </c>
      <c r="M360">
        <v>0</v>
      </c>
      <c r="N360">
        <v>88</v>
      </c>
      <c r="P360">
        <v>1</v>
      </c>
      <c r="Q360">
        <v>0</v>
      </c>
      <c r="R360">
        <v>1</v>
      </c>
      <c r="S360">
        <v>0</v>
      </c>
      <c r="T360">
        <v>0</v>
      </c>
      <c r="U360">
        <v>0</v>
      </c>
      <c r="V360">
        <v>0</v>
      </c>
      <c r="W360" s="9" t="s">
        <v>58</v>
      </c>
      <c r="X360">
        <v>0</v>
      </c>
      <c r="Y360">
        <v>88</v>
      </c>
    </row>
    <row r="361" spans="1:25" x14ac:dyDescent="0.35">
      <c r="A361" s="9" t="s">
        <v>795</v>
      </c>
      <c r="B361" s="9" t="s">
        <v>796</v>
      </c>
      <c r="C361" s="9" t="s">
        <v>61</v>
      </c>
      <c r="D361" s="9" t="s">
        <v>55</v>
      </c>
      <c r="E361" s="9" t="s">
        <v>63</v>
      </c>
      <c r="F361" s="9" t="s">
        <v>64</v>
      </c>
      <c r="G361" s="9" t="s">
        <v>49</v>
      </c>
      <c r="H361" s="9" t="s">
        <v>65</v>
      </c>
      <c r="I361">
        <v>0</v>
      </c>
      <c r="J361">
        <v>4</v>
      </c>
      <c r="K361">
        <v>4</v>
      </c>
      <c r="L361">
        <v>4</v>
      </c>
      <c r="M361">
        <v>0</v>
      </c>
      <c r="N361">
        <v>88</v>
      </c>
      <c r="O361">
        <v>88</v>
      </c>
      <c r="P361">
        <v>0</v>
      </c>
      <c r="Q361">
        <v>0</v>
      </c>
      <c r="R361">
        <v>1</v>
      </c>
      <c r="S361">
        <v>1</v>
      </c>
      <c r="T361">
        <v>0</v>
      </c>
      <c r="U361">
        <v>0</v>
      </c>
      <c r="V361">
        <v>1</v>
      </c>
      <c r="W361" s="9" t="s">
        <v>51</v>
      </c>
      <c r="X361">
        <v>0</v>
      </c>
      <c r="Y361">
        <v>88</v>
      </c>
    </row>
    <row r="362" spans="1:25" x14ac:dyDescent="0.35">
      <c r="A362" s="9" t="s">
        <v>797</v>
      </c>
      <c r="B362" s="9" t="s">
        <v>798</v>
      </c>
      <c r="C362" s="9" t="s">
        <v>61</v>
      </c>
      <c r="D362" s="9" t="s">
        <v>46</v>
      </c>
      <c r="E362" s="9" t="s">
        <v>112</v>
      </c>
      <c r="F362" s="9" t="s">
        <v>113</v>
      </c>
      <c r="G362" s="9" t="s">
        <v>54</v>
      </c>
      <c r="H362" s="9" t="s">
        <v>65</v>
      </c>
      <c r="I362">
        <v>0</v>
      </c>
      <c r="J362">
        <v>1</v>
      </c>
      <c r="K362">
        <v>1</v>
      </c>
      <c r="L362">
        <v>1</v>
      </c>
      <c r="M362">
        <v>0</v>
      </c>
      <c r="N362">
        <v>88</v>
      </c>
      <c r="O362">
        <v>88</v>
      </c>
      <c r="P362">
        <v>0</v>
      </c>
      <c r="Q362">
        <v>0</v>
      </c>
      <c r="R362">
        <v>1</v>
      </c>
      <c r="S362">
        <v>1</v>
      </c>
      <c r="T362">
        <v>0</v>
      </c>
      <c r="U362">
        <v>0</v>
      </c>
      <c r="V362">
        <v>1</v>
      </c>
      <c r="W362" s="9" t="s">
        <v>51</v>
      </c>
      <c r="X362">
        <v>0</v>
      </c>
      <c r="Y362">
        <v>88</v>
      </c>
    </row>
    <row r="363" spans="1:25" x14ac:dyDescent="0.35">
      <c r="A363" s="9" t="s">
        <v>799</v>
      </c>
      <c r="B363" s="9" t="s">
        <v>800</v>
      </c>
      <c r="C363" s="9" t="s">
        <v>134</v>
      </c>
      <c r="D363" s="9" t="s">
        <v>55</v>
      </c>
      <c r="E363" s="9" t="s">
        <v>56</v>
      </c>
      <c r="F363" s="9" t="s">
        <v>57</v>
      </c>
      <c r="G363" s="9" t="s">
        <v>54</v>
      </c>
      <c r="H363" s="9" t="s">
        <v>135</v>
      </c>
      <c r="I363">
        <v>1</v>
      </c>
      <c r="J363">
        <v>2</v>
      </c>
      <c r="K363">
        <v>2</v>
      </c>
      <c r="L363">
        <v>2</v>
      </c>
      <c r="M363">
        <v>0</v>
      </c>
      <c r="N363">
        <v>71</v>
      </c>
      <c r="O363">
        <v>44</v>
      </c>
      <c r="P363">
        <v>1</v>
      </c>
      <c r="Q363">
        <v>0</v>
      </c>
      <c r="R363">
        <v>1</v>
      </c>
      <c r="S363">
        <v>1</v>
      </c>
      <c r="T363">
        <v>1</v>
      </c>
      <c r="U363">
        <v>0</v>
      </c>
      <c r="V363">
        <v>0</v>
      </c>
      <c r="W363" s="9" t="s">
        <v>95</v>
      </c>
      <c r="X363">
        <v>24</v>
      </c>
      <c r="Y363">
        <v>88</v>
      </c>
    </row>
    <row r="364" spans="1:25" x14ac:dyDescent="0.35">
      <c r="A364" s="9" t="s">
        <v>801</v>
      </c>
      <c r="B364" s="9" t="s">
        <v>802</v>
      </c>
      <c r="C364" s="9" t="s">
        <v>54</v>
      </c>
      <c r="D364" s="9" t="s">
        <v>55</v>
      </c>
      <c r="E364" s="9" t="s">
        <v>112</v>
      </c>
      <c r="F364" s="9" t="s">
        <v>113</v>
      </c>
      <c r="G364" s="9" t="s">
        <v>54</v>
      </c>
      <c r="H364" s="9" t="s">
        <v>50</v>
      </c>
      <c r="I364">
        <v>1</v>
      </c>
      <c r="J364">
        <v>3</v>
      </c>
      <c r="K364">
        <v>3</v>
      </c>
      <c r="L364">
        <v>3</v>
      </c>
      <c r="M364">
        <v>0</v>
      </c>
      <c r="N364">
        <v>61</v>
      </c>
      <c r="O364">
        <v>57</v>
      </c>
      <c r="P364">
        <v>0</v>
      </c>
      <c r="Q364">
        <v>1</v>
      </c>
      <c r="R364">
        <v>1</v>
      </c>
      <c r="S364">
        <v>1</v>
      </c>
      <c r="T364">
        <v>1</v>
      </c>
      <c r="U364">
        <v>0</v>
      </c>
      <c r="V364">
        <v>0</v>
      </c>
      <c r="W364" s="9" t="s">
        <v>95</v>
      </c>
      <c r="X364">
        <v>22</v>
      </c>
      <c r="Y364">
        <v>88</v>
      </c>
    </row>
    <row r="365" spans="1:25" x14ac:dyDescent="0.35">
      <c r="A365" s="9" t="s">
        <v>803</v>
      </c>
      <c r="B365" s="9" t="s">
        <v>804</v>
      </c>
      <c r="C365" s="9" t="s">
        <v>54</v>
      </c>
      <c r="D365" s="9" t="s">
        <v>46</v>
      </c>
      <c r="E365" s="9" t="s">
        <v>69</v>
      </c>
      <c r="F365" s="9" t="s">
        <v>70</v>
      </c>
      <c r="G365" s="9" t="s">
        <v>49</v>
      </c>
      <c r="H365" s="9" t="s">
        <v>50</v>
      </c>
      <c r="I365">
        <v>1</v>
      </c>
      <c r="J365">
        <v>1</v>
      </c>
      <c r="K365">
        <v>1</v>
      </c>
      <c r="L365">
        <v>1</v>
      </c>
      <c r="M365">
        <v>0</v>
      </c>
      <c r="N365">
        <v>88</v>
      </c>
      <c r="P365">
        <v>1</v>
      </c>
      <c r="Q365">
        <v>0</v>
      </c>
      <c r="R365">
        <v>1</v>
      </c>
      <c r="S365">
        <v>0</v>
      </c>
      <c r="T365">
        <v>0</v>
      </c>
      <c r="U365">
        <v>0</v>
      </c>
      <c r="V365">
        <v>0</v>
      </c>
      <c r="W365" s="9" t="s">
        <v>58</v>
      </c>
      <c r="X365">
        <v>0</v>
      </c>
      <c r="Y365">
        <v>88</v>
      </c>
    </row>
    <row r="366" spans="1:25" x14ac:dyDescent="0.35">
      <c r="A366" s="9" t="s">
        <v>805</v>
      </c>
      <c r="B366" s="9" t="s">
        <v>806</v>
      </c>
      <c r="C366" s="9" t="s">
        <v>68</v>
      </c>
      <c r="D366" s="9" t="s">
        <v>55</v>
      </c>
      <c r="E366" s="9" t="s">
        <v>76</v>
      </c>
      <c r="F366" s="9" t="s">
        <v>77</v>
      </c>
      <c r="G366" s="9" t="s">
        <v>54</v>
      </c>
      <c r="H366" s="9" t="s">
        <v>65</v>
      </c>
      <c r="I366">
        <v>0</v>
      </c>
      <c r="J366">
        <v>1</v>
      </c>
      <c r="K366">
        <v>1</v>
      </c>
      <c r="L366">
        <v>1</v>
      </c>
      <c r="M366">
        <v>0</v>
      </c>
      <c r="N366">
        <v>88</v>
      </c>
      <c r="O366">
        <v>88</v>
      </c>
      <c r="P366">
        <v>0</v>
      </c>
      <c r="Q366">
        <v>0</v>
      </c>
      <c r="R366">
        <v>1</v>
      </c>
      <c r="S366">
        <v>1</v>
      </c>
      <c r="T366">
        <v>0</v>
      </c>
      <c r="U366">
        <v>0</v>
      </c>
      <c r="V366">
        <v>1</v>
      </c>
      <c r="W366" s="9" t="s">
        <v>51</v>
      </c>
      <c r="X366">
        <v>0</v>
      </c>
      <c r="Y366">
        <v>88</v>
      </c>
    </row>
    <row r="367" spans="1:25" x14ac:dyDescent="0.35">
      <c r="A367" s="9" t="s">
        <v>807</v>
      </c>
      <c r="B367" s="9" t="s">
        <v>808</v>
      </c>
      <c r="C367" s="9" t="s">
        <v>45</v>
      </c>
      <c r="D367" s="9" t="s">
        <v>55</v>
      </c>
      <c r="E367" s="9" t="s">
        <v>56</v>
      </c>
      <c r="F367" s="9" t="s">
        <v>57</v>
      </c>
      <c r="G367" s="9" t="s">
        <v>54</v>
      </c>
      <c r="H367" s="9" t="s">
        <v>50</v>
      </c>
      <c r="I367">
        <v>0</v>
      </c>
      <c r="J367">
        <v>1</v>
      </c>
      <c r="K367">
        <v>1</v>
      </c>
      <c r="L367">
        <v>1</v>
      </c>
      <c r="M367">
        <v>0</v>
      </c>
      <c r="N367">
        <v>45</v>
      </c>
      <c r="P367">
        <v>1</v>
      </c>
      <c r="Q367">
        <v>0</v>
      </c>
      <c r="R367">
        <v>1</v>
      </c>
      <c r="S367">
        <v>0</v>
      </c>
      <c r="T367">
        <v>0</v>
      </c>
      <c r="U367">
        <v>0</v>
      </c>
      <c r="V367">
        <v>0</v>
      </c>
      <c r="W367" s="9" t="s">
        <v>58</v>
      </c>
      <c r="X367">
        <v>0</v>
      </c>
      <c r="Y367">
        <v>88</v>
      </c>
    </row>
    <row r="368" spans="1:25" x14ac:dyDescent="0.35">
      <c r="A368" s="9" t="s">
        <v>809</v>
      </c>
      <c r="B368" s="9" t="s">
        <v>810</v>
      </c>
      <c r="C368" s="9" t="s">
        <v>54</v>
      </c>
      <c r="D368" s="9" t="s">
        <v>46</v>
      </c>
      <c r="E368" s="9" t="s">
        <v>112</v>
      </c>
      <c r="F368" s="9" t="s">
        <v>113</v>
      </c>
      <c r="G368" s="9" t="s">
        <v>54</v>
      </c>
      <c r="H368" s="9" t="s">
        <v>50</v>
      </c>
      <c r="I368">
        <v>1</v>
      </c>
      <c r="J368">
        <v>3</v>
      </c>
      <c r="K368">
        <v>3</v>
      </c>
      <c r="L368">
        <v>2</v>
      </c>
      <c r="M368">
        <v>1</v>
      </c>
      <c r="N368">
        <v>88</v>
      </c>
      <c r="P368">
        <v>2</v>
      </c>
      <c r="Q368">
        <v>0</v>
      </c>
      <c r="R368">
        <v>1</v>
      </c>
      <c r="S368">
        <v>0</v>
      </c>
      <c r="T368">
        <v>0</v>
      </c>
      <c r="U368">
        <v>0</v>
      </c>
      <c r="V368">
        <v>0</v>
      </c>
      <c r="W368" s="9" t="s">
        <v>58</v>
      </c>
      <c r="X368">
        <v>0</v>
      </c>
      <c r="Y368">
        <v>88</v>
      </c>
    </row>
    <row r="369" spans="1:25" x14ac:dyDescent="0.35">
      <c r="A369" s="9" t="s">
        <v>811</v>
      </c>
      <c r="B369" s="9" t="s">
        <v>812</v>
      </c>
      <c r="C369" s="9" t="s">
        <v>68</v>
      </c>
      <c r="D369" s="9" t="s">
        <v>55</v>
      </c>
      <c r="E369" s="9" t="s">
        <v>80</v>
      </c>
      <c r="F369" s="9" t="s">
        <v>81</v>
      </c>
      <c r="G369" s="9" t="s">
        <v>82</v>
      </c>
      <c r="H369" s="9" t="s">
        <v>65</v>
      </c>
      <c r="I369">
        <v>0</v>
      </c>
      <c r="J369">
        <v>2</v>
      </c>
      <c r="K369">
        <v>2</v>
      </c>
      <c r="L369">
        <v>2</v>
      </c>
      <c r="M369">
        <v>0</v>
      </c>
      <c r="N369">
        <v>88</v>
      </c>
      <c r="O369">
        <v>30</v>
      </c>
      <c r="P369">
        <v>1</v>
      </c>
      <c r="Q369">
        <v>0</v>
      </c>
      <c r="R369">
        <v>1</v>
      </c>
      <c r="S369">
        <v>1</v>
      </c>
      <c r="T369">
        <v>1</v>
      </c>
      <c r="U369">
        <v>1</v>
      </c>
      <c r="V369">
        <v>0</v>
      </c>
      <c r="W369" s="9" t="s">
        <v>560</v>
      </c>
      <c r="X369">
        <v>11</v>
      </c>
      <c r="Y369">
        <v>88</v>
      </c>
    </row>
    <row r="370" spans="1:25" x14ac:dyDescent="0.35">
      <c r="A370" s="9" t="s">
        <v>813</v>
      </c>
      <c r="B370" s="9" t="s">
        <v>814</v>
      </c>
      <c r="C370" s="9" t="s">
        <v>45</v>
      </c>
      <c r="D370" s="9" t="s">
        <v>46</v>
      </c>
      <c r="E370" s="9" t="s">
        <v>47</v>
      </c>
      <c r="F370" s="9" t="s">
        <v>48</v>
      </c>
      <c r="G370" s="9" t="s">
        <v>49</v>
      </c>
      <c r="H370" s="9" t="s">
        <v>50</v>
      </c>
      <c r="I370">
        <v>0</v>
      </c>
      <c r="J370">
        <v>4</v>
      </c>
      <c r="K370">
        <v>4</v>
      </c>
      <c r="L370">
        <v>4</v>
      </c>
      <c r="M370">
        <v>0</v>
      </c>
      <c r="N370">
        <v>88</v>
      </c>
      <c r="O370">
        <v>88</v>
      </c>
      <c r="P370">
        <v>0</v>
      </c>
      <c r="Q370">
        <v>0</v>
      </c>
      <c r="R370">
        <v>1</v>
      </c>
      <c r="S370">
        <v>1</v>
      </c>
      <c r="T370">
        <v>0</v>
      </c>
      <c r="U370">
        <v>0</v>
      </c>
      <c r="V370">
        <v>1</v>
      </c>
      <c r="W370" s="9" t="s">
        <v>51</v>
      </c>
      <c r="X370">
        <v>0</v>
      </c>
      <c r="Y370">
        <v>88</v>
      </c>
    </row>
    <row r="371" spans="1:25" x14ac:dyDescent="0.35">
      <c r="A371" s="9" t="s">
        <v>815</v>
      </c>
      <c r="B371" s="9" t="s">
        <v>816</v>
      </c>
      <c r="C371" s="9" t="s">
        <v>68</v>
      </c>
      <c r="D371" s="9" t="s">
        <v>62</v>
      </c>
      <c r="E371" s="9" t="s">
        <v>63</v>
      </c>
      <c r="F371" s="9" t="s">
        <v>64</v>
      </c>
      <c r="G371" s="9" t="s">
        <v>49</v>
      </c>
      <c r="H371" s="9" t="s">
        <v>65</v>
      </c>
      <c r="I371">
        <v>0</v>
      </c>
      <c r="J371">
        <v>3</v>
      </c>
      <c r="K371">
        <v>3</v>
      </c>
      <c r="L371">
        <v>2</v>
      </c>
      <c r="M371">
        <v>0</v>
      </c>
      <c r="N371">
        <v>88</v>
      </c>
      <c r="O371">
        <v>88</v>
      </c>
      <c r="P371">
        <v>0</v>
      </c>
      <c r="Q371">
        <v>0</v>
      </c>
      <c r="R371">
        <v>1</v>
      </c>
      <c r="S371">
        <v>1</v>
      </c>
      <c r="T371">
        <v>0</v>
      </c>
      <c r="U371">
        <v>0</v>
      </c>
      <c r="V371">
        <v>1</v>
      </c>
      <c r="W371" s="9" t="s">
        <v>51</v>
      </c>
      <c r="X371">
        <v>0</v>
      </c>
      <c r="Y371">
        <v>88</v>
      </c>
    </row>
    <row r="372" spans="1:25" x14ac:dyDescent="0.35">
      <c r="A372" s="9" t="s">
        <v>817</v>
      </c>
      <c r="B372" s="9" t="s">
        <v>818</v>
      </c>
      <c r="C372" s="9" t="s">
        <v>68</v>
      </c>
      <c r="D372" s="9" t="s">
        <v>62</v>
      </c>
      <c r="E372" s="9" t="s">
        <v>63</v>
      </c>
      <c r="F372" s="9" t="s">
        <v>64</v>
      </c>
      <c r="G372" s="9" t="s">
        <v>49</v>
      </c>
      <c r="H372" s="9" t="s">
        <v>65</v>
      </c>
      <c r="I372">
        <v>0</v>
      </c>
      <c r="J372">
        <v>2</v>
      </c>
      <c r="K372">
        <v>2</v>
      </c>
      <c r="L372">
        <v>2</v>
      </c>
      <c r="M372">
        <v>0</v>
      </c>
      <c r="N372">
        <v>88</v>
      </c>
      <c r="O372">
        <v>88</v>
      </c>
      <c r="P372">
        <v>0</v>
      </c>
      <c r="Q372">
        <v>0</v>
      </c>
      <c r="R372">
        <v>1</v>
      </c>
      <c r="S372">
        <v>1</v>
      </c>
      <c r="T372">
        <v>0</v>
      </c>
      <c r="U372">
        <v>0</v>
      </c>
      <c r="V372">
        <v>1</v>
      </c>
      <c r="W372" s="9" t="s">
        <v>51</v>
      </c>
      <c r="X372">
        <v>0</v>
      </c>
      <c r="Y372">
        <v>88</v>
      </c>
    </row>
    <row r="373" spans="1:25" x14ac:dyDescent="0.35">
      <c r="A373" s="9" t="s">
        <v>819</v>
      </c>
      <c r="B373" s="9" t="s">
        <v>820</v>
      </c>
      <c r="C373" s="9" t="s">
        <v>45</v>
      </c>
      <c r="D373" s="9" t="s">
        <v>46</v>
      </c>
      <c r="E373" s="9" t="s">
        <v>93</v>
      </c>
      <c r="F373" s="9" t="s">
        <v>94</v>
      </c>
      <c r="G373" s="9" t="s">
        <v>82</v>
      </c>
      <c r="H373" s="9" t="s">
        <v>50</v>
      </c>
      <c r="I373">
        <v>0</v>
      </c>
      <c r="J373">
        <v>2</v>
      </c>
      <c r="K373">
        <v>2</v>
      </c>
      <c r="L373">
        <v>2</v>
      </c>
      <c r="M373">
        <v>0</v>
      </c>
      <c r="N373">
        <v>88</v>
      </c>
      <c r="O373">
        <v>88</v>
      </c>
      <c r="P373">
        <v>1</v>
      </c>
      <c r="Q373">
        <v>0</v>
      </c>
      <c r="R373">
        <v>1</v>
      </c>
      <c r="S373">
        <v>1</v>
      </c>
      <c r="T373">
        <v>0</v>
      </c>
      <c r="U373">
        <v>0</v>
      </c>
      <c r="V373">
        <v>1</v>
      </c>
      <c r="W373" s="9" t="s">
        <v>51</v>
      </c>
      <c r="X373">
        <v>0</v>
      </c>
      <c r="Y373">
        <v>88</v>
      </c>
    </row>
    <row r="374" spans="1:25" x14ac:dyDescent="0.35">
      <c r="A374" s="9" t="s">
        <v>821</v>
      </c>
      <c r="B374" s="9" t="s">
        <v>822</v>
      </c>
      <c r="C374" s="9" t="s">
        <v>68</v>
      </c>
      <c r="D374" s="9" t="s">
        <v>46</v>
      </c>
      <c r="E374" s="9" t="s">
        <v>80</v>
      </c>
      <c r="F374" s="9" t="s">
        <v>81</v>
      </c>
      <c r="G374" s="9" t="s">
        <v>82</v>
      </c>
      <c r="H374" s="9" t="s">
        <v>65</v>
      </c>
      <c r="I374">
        <v>0</v>
      </c>
      <c r="J374">
        <v>2</v>
      </c>
      <c r="K374">
        <v>2</v>
      </c>
      <c r="L374">
        <v>2</v>
      </c>
      <c r="M374">
        <v>0</v>
      </c>
      <c r="N374">
        <v>88</v>
      </c>
      <c r="O374">
        <v>88</v>
      </c>
      <c r="P374">
        <v>0</v>
      </c>
      <c r="Q374">
        <v>0</v>
      </c>
      <c r="R374">
        <v>1</v>
      </c>
      <c r="S374">
        <v>1</v>
      </c>
      <c r="T374">
        <v>0</v>
      </c>
      <c r="U374">
        <v>0</v>
      </c>
      <c r="V374">
        <v>1</v>
      </c>
      <c r="W374" s="9" t="s">
        <v>51</v>
      </c>
      <c r="X374">
        <v>0</v>
      </c>
      <c r="Y374">
        <v>88</v>
      </c>
    </row>
    <row r="375" spans="1:25" x14ac:dyDescent="0.35">
      <c r="A375" s="9" t="s">
        <v>823</v>
      </c>
      <c r="B375" s="9" t="s">
        <v>824</v>
      </c>
      <c r="C375" s="9" t="s">
        <v>61</v>
      </c>
      <c r="D375" s="9" t="s">
        <v>46</v>
      </c>
      <c r="E375" s="9" t="s">
        <v>47</v>
      </c>
      <c r="F375" s="9" t="s">
        <v>48</v>
      </c>
      <c r="G375" s="9" t="s">
        <v>49</v>
      </c>
      <c r="H375" s="9" t="s">
        <v>65</v>
      </c>
      <c r="I375">
        <v>0</v>
      </c>
      <c r="J375">
        <v>3</v>
      </c>
      <c r="K375">
        <v>3</v>
      </c>
      <c r="L375">
        <v>3</v>
      </c>
      <c r="M375">
        <v>0</v>
      </c>
      <c r="N375">
        <v>88</v>
      </c>
      <c r="O375">
        <v>88</v>
      </c>
      <c r="P375">
        <v>1</v>
      </c>
      <c r="Q375">
        <v>0</v>
      </c>
      <c r="R375">
        <v>1</v>
      </c>
      <c r="S375">
        <v>1</v>
      </c>
      <c r="T375">
        <v>0</v>
      </c>
      <c r="U375">
        <v>0</v>
      </c>
      <c r="V375">
        <v>1</v>
      </c>
      <c r="W375" s="9" t="s">
        <v>51</v>
      </c>
      <c r="X375">
        <v>0</v>
      </c>
      <c r="Y375">
        <v>88</v>
      </c>
    </row>
    <row r="376" spans="1:25" x14ac:dyDescent="0.35">
      <c r="A376" s="9" t="s">
        <v>825</v>
      </c>
      <c r="B376" s="9" t="s">
        <v>826</v>
      </c>
      <c r="C376" s="9" t="s">
        <v>68</v>
      </c>
      <c r="D376" s="9" t="s">
        <v>46</v>
      </c>
      <c r="E376" s="9" t="s">
        <v>69</v>
      </c>
      <c r="F376" s="9" t="s">
        <v>70</v>
      </c>
      <c r="G376" s="9" t="s">
        <v>49</v>
      </c>
      <c r="H376" s="9" t="s">
        <v>65</v>
      </c>
      <c r="I376">
        <v>0</v>
      </c>
      <c r="J376">
        <v>4</v>
      </c>
      <c r="K376">
        <v>4</v>
      </c>
      <c r="L376">
        <v>4</v>
      </c>
      <c r="M376">
        <v>0</v>
      </c>
      <c r="N376">
        <v>88</v>
      </c>
      <c r="O376">
        <v>88</v>
      </c>
      <c r="P376">
        <v>0</v>
      </c>
      <c r="Q376">
        <v>0</v>
      </c>
      <c r="R376">
        <v>1</v>
      </c>
      <c r="S376">
        <v>1</v>
      </c>
      <c r="T376">
        <v>0</v>
      </c>
      <c r="U376">
        <v>0</v>
      </c>
      <c r="V376">
        <v>1</v>
      </c>
      <c r="W376" s="9" t="s">
        <v>51</v>
      </c>
      <c r="X376">
        <v>0</v>
      </c>
      <c r="Y376">
        <v>88</v>
      </c>
    </row>
    <row r="377" spans="1:25" x14ac:dyDescent="0.35">
      <c r="A377" s="9" t="s">
        <v>827</v>
      </c>
      <c r="B377" s="9" t="s">
        <v>828</v>
      </c>
      <c r="C377" s="9" t="s">
        <v>134</v>
      </c>
      <c r="D377" s="9" t="s">
        <v>46</v>
      </c>
      <c r="E377" s="9" t="s">
        <v>112</v>
      </c>
      <c r="F377" s="9" t="s">
        <v>113</v>
      </c>
      <c r="G377" s="9" t="s">
        <v>54</v>
      </c>
      <c r="H377" s="9" t="s">
        <v>135</v>
      </c>
      <c r="I377">
        <v>1</v>
      </c>
      <c r="J377">
        <v>2</v>
      </c>
      <c r="K377">
        <v>2</v>
      </c>
      <c r="L377">
        <v>2</v>
      </c>
      <c r="M377">
        <v>0</v>
      </c>
      <c r="N377">
        <v>88</v>
      </c>
      <c r="P377">
        <v>2</v>
      </c>
      <c r="Q377">
        <v>0</v>
      </c>
      <c r="R377">
        <v>1</v>
      </c>
      <c r="S377">
        <v>0</v>
      </c>
      <c r="T377">
        <v>0</v>
      </c>
      <c r="U377">
        <v>0</v>
      </c>
      <c r="V377">
        <v>0</v>
      </c>
      <c r="W377" s="9" t="s">
        <v>58</v>
      </c>
      <c r="X377">
        <v>0</v>
      </c>
      <c r="Y377">
        <v>88</v>
      </c>
    </row>
    <row r="378" spans="1:25" x14ac:dyDescent="0.35">
      <c r="A378" s="9" t="s">
        <v>829</v>
      </c>
      <c r="B378" s="9" t="s">
        <v>830</v>
      </c>
      <c r="C378" s="9" t="s">
        <v>68</v>
      </c>
      <c r="D378" s="9" t="s">
        <v>62</v>
      </c>
      <c r="E378" s="9" t="s">
        <v>56</v>
      </c>
      <c r="F378" s="9" t="s">
        <v>57</v>
      </c>
      <c r="G378" s="9" t="s">
        <v>54</v>
      </c>
      <c r="H378" s="9" t="s">
        <v>65</v>
      </c>
      <c r="I378">
        <v>0</v>
      </c>
      <c r="J378">
        <v>2</v>
      </c>
      <c r="K378">
        <v>2</v>
      </c>
      <c r="L378">
        <v>2</v>
      </c>
      <c r="M378">
        <v>0</v>
      </c>
      <c r="N378">
        <v>88</v>
      </c>
      <c r="O378">
        <v>88</v>
      </c>
      <c r="P378">
        <v>0</v>
      </c>
      <c r="Q378">
        <v>0</v>
      </c>
      <c r="R378">
        <v>1</v>
      </c>
      <c r="S378">
        <v>1</v>
      </c>
      <c r="T378">
        <v>0</v>
      </c>
      <c r="U378">
        <v>0</v>
      </c>
      <c r="V378">
        <v>1</v>
      </c>
      <c r="W378" s="9" t="s">
        <v>51</v>
      </c>
      <c r="X378">
        <v>0</v>
      </c>
      <c r="Y378">
        <v>88</v>
      </c>
    </row>
    <row r="379" spans="1:25" x14ac:dyDescent="0.35">
      <c r="A379" s="9" t="s">
        <v>831</v>
      </c>
      <c r="B379" s="9" t="s">
        <v>832</v>
      </c>
      <c r="C379" s="9" t="s">
        <v>134</v>
      </c>
      <c r="D379" s="9" t="s">
        <v>46</v>
      </c>
      <c r="E379" s="9" t="s">
        <v>63</v>
      </c>
      <c r="F379" s="9" t="s">
        <v>64</v>
      </c>
      <c r="G379" s="9" t="s">
        <v>49</v>
      </c>
      <c r="H379" s="9" t="s">
        <v>135</v>
      </c>
      <c r="I379">
        <v>1</v>
      </c>
      <c r="J379">
        <v>3</v>
      </c>
      <c r="K379">
        <v>3</v>
      </c>
      <c r="L379">
        <v>3</v>
      </c>
      <c r="M379">
        <v>0</v>
      </c>
      <c r="N379">
        <v>88</v>
      </c>
      <c r="P379">
        <v>3</v>
      </c>
      <c r="Q379">
        <v>0</v>
      </c>
      <c r="R379">
        <v>1</v>
      </c>
      <c r="S379">
        <v>0</v>
      </c>
      <c r="T379">
        <v>0</v>
      </c>
      <c r="U379">
        <v>0</v>
      </c>
      <c r="V379">
        <v>0</v>
      </c>
      <c r="W379" s="9" t="s">
        <v>58</v>
      </c>
      <c r="X379">
        <v>0</v>
      </c>
      <c r="Y379">
        <v>88</v>
      </c>
    </row>
    <row r="380" spans="1:25" x14ac:dyDescent="0.35">
      <c r="A380" s="9" t="s">
        <v>833</v>
      </c>
      <c r="B380" s="9" t="s">
        <v>834</v>
      </c>
      <c r="C380" s="9" t="s">
        <v>45</v>
      </c>
      <c r="D380" s="9" t="s">
        <v>55</v>
      </c>
      <c r="E380" s="9" t="s">
        <v>69</v>
      </c>
      <c r="F380" s="9" t="s">
        <v>70</v>
      </c>
      <c r="G380" s="9" t="s">
        <v>49</v>
      </c>
      <c r="H380" s="9" t="s">
        <v>50</v>
      </c>
      <c r="I380">
        <v>0</v>
      </c>
      <c r="J380">
        <v>3</v>
      </c>
      <c r="K380">
        <v>3</v>
      </c>
      <c r="L380">
        <v>3</v>
      </c>
      <c r="M380">
        <v>0</v>
      </c>
      <c r="N380">
        <v>88</v>
      </c>
      <c r="O380">
        <v>88</v>
      </c>
      <c r="P380">
        <v>0</v>
      </c>
      <c r="Q380">
        <v>0</v>
      </c>
      <c r="R380">
        <v>1</v>
      </c>
      <c r="S380">
        <v>1</v>
      </c>
      <c r="T380">
        <v>0</v>
      </c>
      <c r="U380">
        <v>0</v>
      </c>
      <c r="V380">
        <v>1</v>
      </c>
      <c r="W380" s="9" t="s">
        <v>51</v>
      </c>
      <c r="X380">
        <v>0</v>
      </c>
      <c r="Y380">
        <v>88</v>
      </c>
    </row>
    <row r="381" spans="1:25" x14ac:dyDescent="0.35">
      <c r="A381" s="9" t="s">
        <v>835</v>
      </c>
      <c r="B381" s="9" t="s">
        <v>836</v>
      </c>
      <c r="C381" s="9" t="s">
        <v>45</v>
      </c>
      <c r="D381" s="9" t="s">
        <v>62</v>
      </c>
      <c r="E381" s="9" t="s">
        <v>56</v>
      </c>
      <c r="F381" s="9" t="s">
        <v>57</v>
      </c>
      <c r="G381" s="9" t="s">
        <v>54</v>
      </c>
      <c r="H381" s="9" t="s">
        <v>50</v>
      </c>
      <c r="I381">
        <v>0</v>
      </c>
      <c r="J381">
        <v>2</v>
      </c>
      <c r="K381">
        <v>2</v>
      </c>
      <c r="L381">
        <v>2</v>
      </c>
      <c r="M381">
        <v>0</v>
      </c>
      <c r="N381">
        <v>71</v>
      </c>
      <c r="O381">
        <v>71</v>
      </c>
      <c r="P381">
        <v>0</v>
      </c>
      <c r="Q381">
        <v>0</v>
      </c>
      <c r="R381">
        <v>1</v>
      </c>
      <c r="S381">
        <v>1</v>
      </c>
      <c r="T381">
        <v>1</v>
      </c>
      <c r="U381">
        <v>0</v>
      </c>
      <c r="V381">
        <v>0</v>
      </c>
      <c r="W381" s="9" t="s">
        <v>95</v>
      </c>
      <c r="X381">
        <v>12</v>
      </c>
      <c r="Y381">
        <v>88</v>
      </c>
    </row>
    <row r="382" spans="1:25" x14ac:dyDescent="0.35">
      <c r="A382" s="9" t="s">
        <v>837</v>
      </c>
      <c r="B382" s="9" t="s">
        <v>838</v>
      </c>
      <c r="C382" s="9" t="s">
        <v>68</v>
      </c>
      <c r="D382" s="9" t="s">
        <v>46</v>
      </c>
      <c r="E382" s="9" t="s">
        <v>56</v>
      </c>
      <c r="F382" s="9" t="s">
        <v>57</v>
      </c>
      <c r="G382" s="9" t="s">
        <v>54</v>
      </c>
      <c r="H382" s="9" t="s">
        <v>65</v>
      </c>
      <c r="I382">
        <v>0</v>
      </c>
      <c r="J382">
        <v>1</v>
      </c>
      <c r="K382">
        <v>1</v>
      </c>
      <c r="L382">
        <v>1</v>
      </c>
      <c r="M382">
        <v>0</v>
      </c>
      <c r="N382">
        <v>34</v>
      </c>
      <c r="O382">
        <v>34</v>
      </c>
      <c r="P382">
        <v>0</v>
      </c>
      <c r="Q382">
        <v>0</v>
      </c>
      <c r="R382">
        <v>1</v>
      </c>
      <c r="S382">
        <v>1</v>
      </c>
      <c r="T382">
        <v>1</v>
      </c>
      <c r="U382">
        <v>1</v>
      </c>
      <c r="V382">
        <v>0</v>
      </c>
      <c r="W382" s="9" t="s">
        <v>560</v>
      </c>
      <c r="X382">
        <v>28</v>
      </c>
      <c r="Y382">
        <v>88</v>
      </c>
    </row>
    <row r="383" spans="1:25" x14ac:dyDescent="0.35">
      <c r="A383" s="9" t="s">
        <v>839</v>
      </c>
      <c r="B383" s="9" t="s">
        <v>840</v>
      </c>
      <c r="C383" s="9" t="s">
        <v>45</v>
      </c>
      <c r="D383" s="9" t="s">
        <v>46</v>
      </c>
      <c r="E383" s="9" t="s">
        <v>47</v>
      </c>
      <c r="F383" s="9" t="s">
        <v>48</v>
      </c>
      <c r="G383" s="9" t="s">
        <v>49</v>
      </c>
      <c r="H383" s="9" t="s">
        <v>50</v>
      </c>
      <c r="I383">
        <v>0</v>
      </c>
      <c r="J383">
        <v>1</v>
      </c>
      <c r="K383">
        <v>1</v>
      </c>
      <c r="L383">
        <v>0</v>
      </c>
      <c r="M383">
        <v>1</v>
      </c>
      <c r="P383">
        <v>0</v>
      </c>
      <c r="Q383">
        <v>0</v>
      </c>
      <c r="R383">
        <v>0</v>
      </c>
      <c r="S383">
        <v>0</v>
      </c>
      <c r="T383">
        <v>0</v>
      </c>
      <c r="U383">
        <v>0</v>
      </c>
      <c r="V383">
        <v>0</v>
      </c>
      <c r="W383" s="9" t="s">
        <v>73</v>
      </c>
      <c r="X383">
        <v>0</v>
      </c>
      <c r="Y383">
        <v>88</v>
      </c>
    </row>
    <row r="384" spans="1:25" x14ac:dyDescent="0.35">
      <c r="A384" s="9" t="s">
        <v>841</v>
      </c>
      <c r="B384" s="9" t="s">
        <v>842</v>
      </c>
      <c r="C384" s="9" t="s">
        <v>68</v>
      </c>
      <c r="D384" s="9" t="s">
        <v>62</v>
      </c>
      <c r="E384" s="9" t="s">
        <v>93</v>
      </c>
      <c r="F384" s="9" t="s">
        <v>94</v>
      </c>
      <c r="G384" s="9" t="s">
        <v>82</v>
      </c>
      <c r="H384" s="9" t="s">
        <v>65</v>
      </c>
      <c r="I384">
        <v>0</v>
      </c>
      <c r="J384">
        <v>4</v>
      </c>
      <c r="K384">
        <v>4</v>
      </c>
      <c r="L384">
        <v>4</v>
      </c>
      <c r="M384">
        <v>0</v>
      </c>
      <c r="N384">
        <v>88</v>
      </c>
      <c r="O384">
        <v>88</v>
      </c>
      <c r="P384">
        <v>2</v>
      </c>
      <c r="Q384">
        <v>0</v>
      </c>
      <c r="R384">
        <v>1</v>
      </c>
      <c r="S384">
        <v>1</v>
      </c>
      <c r="T384">
        <v>0</v>
      </c>
      <c r="U384">
        <v>0</v>
      </c>
      <c r="V384">
        <v>1</v>
      </c>
      <c r="W384" s="9" t="s">
        <v>51</v>
      </c>
      <c r="X384">
        <v>0</v>
      </c>
      <c r="Y384">
        <v>88</v>
      </c>
    </row>
    <row r="385" spans="1:25" x14ac:dyDescent="0.35">
      <c r="A385" s="9" t="s">
        <v>843</v>
      </c>
      <c r="B385" s="9" t="s">
        <v>844</v>
      </c>
      <c r="C385" s="9" t="s">
        <v>45</v>
      </c>
      <c r="D385" s="9" t="s">
        <v>62</v>
      </c>
      <c r="E385" s="9" t="s">
        <v>69</v>
      </c>
      <c r="F385" s="9" t="s">
        <v>70</v>
      </c>
      <c r="G385" s="9" t="s">
        <v>49</v>
      </c>
      <c r="H385" s="9" t="s">
        <v>50</v>
      </c>
      <c r="I385">
        <v>0</v>
      </c>
      <c r="J385">
        <v>3</v>
      </c>
      <c r="K385">
        <v>3</v>
      </c>
      <c r="L385">
        <v>3</v>
      </c>
      <c r="M385">
        <v>0</v>
      </c>
      <c r="N385">
        <v>88</v>
      </c>
      <c r="O385">
        <v>88</v>
      </c>
      <c r="P385">
        <v>2</v>
      </c>
      <c r="Q385">
        <v>0</v>
      </c>
      <c r="R385">
        <v>1</v>
      </c>
      <c r="S385">
        <v>1</v>
      </c>
      <c r="T385">
        <v>0</v>
      </c>
      <c r="U385">
        <v>0</v>
      </c>
      <c r="V385">
        <v>1</v>
      </c>
      <c r="W385" s="9" t="s">
        <v>51</v>
      </c>
      <c r="X385">
        <v>0</v>
      </c>
      <c r="Y385">
        <v>88</v>
      </c>
    </row>
    <row r="386" spans="1:25" x14ac:dyDescent="0.35">
      <c r="A386" s="9" t="s">
        <v>845</v>
      </c>
      <c r="B386" s="9" t="s">
        <v>846</v>
      </c>
      <c r="C386" s="9" t="s">
        <v>61</v>
      </c>
      <c r="D386" s="9" t="s">
        <v>46</v>
      </c>
      <c r="E386" s="9" t="s">
        <v>56</v>
      </c>
      <c r="F386" s="9" t="s">
        <v>57</v>
      </c>
      <c r="G386" s="9" t="s">
        <v>54</v>
      </c>
      <c r="H386" s="9" t="s">
        <v>65</v>
      </c>
      <c r="I386">
        <v>0</v>
      </c>
      <c r="J386">
        <v>1</v>
      </c>
      <c r="K386">
        <v>1</v>
      </c>
      <c r="L386">
        <v>1</v>
      </c>
      <c r="M386">
        <v>0</v>
      </c>
      <c r="N386">
        <v>41</v>
      </c>
      <c r="O386">
        <v>41</v>
      </c>
      <c r="P386">
        <v>0</v>
      </c>
      <c r="Q386">
        <v>0</v>
      </c>
      <c r="R386">
        <v>1</v>
      </c>
      <c r="S386">
        <v>1</v>
      </c>
      <c r="T386">
        <v>1</v>
      </c>
      <c r="U386">
        <v>0</v>
      </c>
      <c r="V386">
        <v>0</v>
      </c>
      <c r="W386" s="9" t="s">
        <v>95</v>
      </c>
      <c r="X386">
        <v>25</v>
      </c>
      <c r="Y386">
        <v>88</v>
      </c>
    </row>
    <row r="387" spans="1:25" x14ac:dyDescent="0.35">
      <c r="A387" s="9" t="s">
        <v>847</v>
      </c>
      <c r="B387" s="9" t="s">
        <v>848</v>
      </c>
      <c r="C387" s="9" t="s">
        <v>68</v>
      </c>
      <c r="D387" s="9" t="s">
        <v>46</v>
      </c>
      <c r="E387" s="9" t="s">
        <v>80</v>
      </c>
      <c r="F387" s="9" t="s">
        <v>81</v>
      </c>
      <c r="G387" s="9" t="s">
        <v>82</v>
      </c>
      <c r="H387" s="9" t="s">
        <v>65</v>
      </c>
      <c r="I387">
        <v>0</v>
      </c>
      <c r="J387">
        <v>4</v>
      </c>
      <c r="K387">
        <v>4</v>
      </c>
      <c r="L387">
        <v>3</v>
      </c>
      <c r="M387">
        <v>0</v>
      </c>
      <c r="N387">
        <v>88</v>
      </c>
      <c r="P387">
        <v>3</v>
      </c>
      <c r="Q387">
        <v>0</v>
      </c>
      <c r="R387">
        <v>1</v>
      </c>
      <c r="S387">
        <v>0</v>
      </c>
      <c r="T387">
        <v>0</v>
      </c>
      <c r="U387">
        <v>0</v>
      </c>
      <c r="V387">
        <v>0</v>
      </c>
      <c r="W387" s="9" t="s">
        <v>58</v>
      </c>
      <c r="X387">
        <v>0</v>
      </c>
      <c r="Y387">
        <v>88</v>
      </c>
    </row>
    <row r="388" spans="1:25" x14ac:dyDescent="0.35">
      <c r="A388" s="9" t="s">
        <v>849</v>
      </c>
      <c r="B388" s="9" t="s">
        <v>850</v>
      </c>
      <c r="C388" s="9" t="s">
        <v>68</v>
      </c>
      <c r="D388" s="9" t="s">
        <v>62</v>
      </c>
      <c r="E388" s="9" t="s">
        <v>93</v>
      </c>
      <c r="F388" s="9" t="s">
        <v>94</v>
      </c>
      <c r="G388" s="9" t="s">
        <v>82</v>
      </c>
      <c r="H388" s="9" t="s">
        <v>65</v>
      </c>
      <c r="I388">
        <v>0</v>
      </c>
      <c r="J388">
        <v>3</v>
      </c>
      <c r="K388">
        <v>3</v>
      </c>
      <c r="L388">
        <v>3</v>
      </c>
      <c r="M388">
        <v>0</v>
      </c>
      <c r="N388">
        <v>88</v>
      </c>
      <c r="O388">
        <v>88</v>
      </c>
      <c r="P388">
        <v>0</v>
      </c>
      <c r="Q388">
        <v>0</v>
      </c>
      <c r="R388">
        <v>1</v>
      </c>
      <c r="S388">
        <v>1</v>
      </c>
      <c r="T388">
        <v>0</v>
      </c>
      <c r="U388">
        <v>0</v>
      </c>
      <c r="V388">
        <v>1</v>
      </c>
      <c r="W388" s="9" t="s">
        <v>51</v>
      </c>
      <c r="X388">
        <v>0</v>
      </c>
      <c r="Y388">
        <v>88</v>
      </c>
    </row>
    <row r="389" spans="1:25" x14ac:dyDescent="0.35">
      <c r="A389" s="9" t="s">
        <v>851</v>
      </c>
      <c r="B389" s="9" t="s">
        <v>852</v>
      </c>
      <c r="C389" s="9" t="s">
        <v>134</v>
      </c>
      <c r="D389" s="9" t="s">
        <v>55</v>
      </c>
      <c r="E389" s="9" t="s">
        <v>69</v>
      </c>
      <c r="F389" s="9" t="s">
        <v>70</v>
      </c>
      <c r="G389" s="9" t="s">
        <v>49</v>
      </c>
      <c r="H389" s="9" t="s">
        <v>135</v>
      </c>
      <c r="I389">
        <v>1</v>
      </c>
      <c r="J389">
        <v>2</v>
      </c>
      <c r="K389">
        <v>2</v>
      </c>
      <c r="L389">
        <v>2</v>
      </c>
      <c r="M389">
        <v>0</v>
      </c>
      <c r="N389">
        <v>88</v>
      </c>
      <c r="O389">
        <v>88</v>
      </c>
      <c r="P389">
        <v>0</v>
      </c>
      <c r="Q389">
        <v>0</v>
      </c>
      <c r="R389">
        <v>1</v>
      </c>
      <c r="S389">
        <v>1</v>
      </c>
      <c r="T389">
        <v>0</v>
      </c>
      <c r="U389">
        <v>0</v>
      </c>
      <c r="V389">
        <v>1</v>
      </c>
      <c r="W389" s="9" t="s">
        <v>51</v>
      </c>
      <c r="X389">
        <v>0</v>
      </c>
      <c r="Y389">
        <v>88</v>
      </c>
    </row>
    <row r="390" spans="1:25" x14ac:dyDescent="0.35">
      <c r="A390" s="9" t="s">
        <v>853</v>
      </c>
      <c r="B390" s="9" t="s">
        <v>854</v>
      </c>
      <c r="C390" s="9" t="s">
        <v>45</v>
      </c>
      <c r="D390" s="9" t="s">
        <v>46</v>
      </c>
      <c r="E390" s="9" t="s">
        <v>93</v>
      </c>
      <c r="F390" s="9" t="s">
        <v>94</v>
      </c>
      <c r="G390" s="9" t="s">
        <v>82</v>
      </c>
      <c r="H390" s="9" t="s">
        <v>50</v>
      </c>
      <c r="I390">
        <v>0</v>
      </c>
      <c r="J390">
        <v>1</v>
      </c>
      <c r="K390">
        <v>1</v>
      </c>
      <c r="L390">
        <v>1</v>
      </c>
      <c r="M390">
        <v>0</v>
      </c>
      <c r="N390">
        <v>88</v>
      </c>
      <c r="O390">
        <v>88</v>
      </c>
      <c r="P390">
        <v>0</v>
      </c>
      <c r="Q390">
        <v>0</v>
      </c>
      <c r="R390">
        <v>1</v>
      </c>
      <c r="S390">
        <v>1</v>
      </c>
      <c r="T390">
        <v>0</v>
      </c>
      <c r="U390">
        <v>0</v>
      </c>
      <c r="V390">
        <v>1</v>
      </c>
      <c r="W390" s="9" t="s">
        <v>51</v>
      </c>
      <c r="X390">
        <v>0</v>
      </c>
      <c r="Y390">
        <v>88</v>
      </c>
    </row>
    <row r="391" spans="1:25" x14ac:dyDescent="0.35">
      <c r="A391" s="9" t="s">
        <v>855</v>
      </c>
      <c r="B391" s="9" t="s">
        <v>856</v>
      </c>
      <c r="C391" s="9" t="s">
        <v>45</v>
      </c>
      <c r="D391" s="9" t="s">
        <v>55</v>
      </c>
      <c r="E391" s="9" t="s">
        <v>56</v>
      </c>
      <c r="F391" s="9" t="s">
        <v>57</v>
      </c>
      <c r="G391" s="9" t="s">
        <v>54</v>
      </c>
      <c r="H391" s="9" t="s">
        <v>50</v>
      </c>
      <c r="I391">
        <v>0</v>
      </c>
      <c r="J391">
        <v>1</v>
      </c>
      <c r="K391">
        <v>1</v>
      </c>
      <c r="L391">
        <v>1</v>
      </c>
      <c r="M391">
        <v>0</v>
      </c>
      <c r="N391">
        <v>38</v>
      </c>
      <c r="O391">
        <v>38</v>
      </c>
      <c r="P391">
        <v>0</v>
      </c>
      <c r="Q391">
        <v>0</v>
      </c>
      <c r="R391">
        <v>1</v>
      </c>
      <c r="S391">
        <v>1</v>
      </c>
      <c r="T391">
        <v>1</v>
      </c>
      <c r="U391">
        <v>0</v>
      </c>
      <c r="V391">
        <v>0</v>
      </c>
      <c r="W391" s="9" t="s">
        <v>95</v>
      </c>
      <c r="X391">
        <v>27</v>
      </c>
      <c r="Y391">
        <v>88</v>
      </c>
    </row>
    <row r="392" spans="1:25" x14ac:dyDescent="0.35">
      <c r="A392" s="9" t="s">
        <v>857</v>
      </c>
      <c r="B392" s="9" t="s">
        <v>858</v>
      </c>
      <c r="C392" s="9" t="s">
        <v>61</v>
      </c>
      <c r="D392" s="9" t="s">
        <v>55</v>
      </c>
      <c r="E392" s="9" t="s">
        <v>112</v>
      </c>
      <c r="F392" s="9" t="s">
        <v>113</v>
      </c>
      <c r="G392" s="9" t="s">
        <v>54</v>
      </c>
      <c r="H392" s="9" t="s">
        <v>65</v>
      </c>
      <c r="I392">
        <v>0</v>
      </c>
      <c r="J392">
        <v>4</v>
      </c>
      <c r="K392">
        <v>4</v>
      </c>
      <c r="L392">
        <v>4</v>
      </c>
      <c r="M392">
        <v>0</v>
      </c>
      <c r="N392">
        <v>57</v>
      </c>
      <c r="O392">
        <v>57</v>
      </c>
      <c r="P392">
        <v>0</v>
      </c>
      <c r="Q392">
        <v>0</v>
      </c>
      <c r="R392">
        <v>1</v>
      </c>
      <c r="S392">
        <v>1</v>
      </c>
      <c r="T392">
        <v>1</v>
      </c>
      <c r="U392">
        <v>0</v>
      </c>
      <c r="V392">
        <v>0</v>
      </c>
      <c r="W392" s="9" t="s">
        <v>95</v>
      </c>
      <c r="X392">
        <v>22</v>
      </c>
      <c r="Y392">
        <v>88</v>
      </c>
    </row>
    <row r="393" spans="1:25" x14ac:dyDescent="0.35">
      <c r="A393" s="9" t="s">
        <v>859</v>
      </c>
      <c r="B393" s="9" t="s">
        <v>860</v>
      </c>
      <c r="C393" s="9" t="s">
        <v>68</v>
      </c>
      <c r="D393" s="9" t="s">
        <v>62</v>
      </c>
      <c r="E393" s="9" t="s">
        <v>63</v>
      </c>
      <c r="F393" s="9" t="s">
        <v>64</v>
      </c>
      <c r="G393" s="9" t="s">
        <v>49</v>
      </c>
      <c r="H393" s="9" t="s">
        <v>65</v>
      </c>
      <c r="I393">
        <v>0</v>
      </c>
      <c r="J393">
        <v>4</v>
      </c>
      <c r="K393">
        <v>4</v>
      </c>
      <c r="L393">
        <v>3</v>
      </c>
      <c r="M393">
        <v>1</v>
      </c>
      <c r="N393">
        <v>88</v>
      </c>
      <c r="O393">
        <v>88</v>
      </c>
      <c r="P393">
        <v>1</v>
      </c>
      <c r="Q393">
        <v>0</v>
      </c>
      <c r="R393">
        <v>1</v>
      </c>
      <c r="S393">
        <v>1</v>
      </c>
      <c r="T393">
        <v>0</v>
      </c>
      <c r="U393">
        <v>0</v>
      </c>
      <c r="V393">
        <v>1</v>
      </c>
      <c r="W393" s="9" t="s">
        <v>51</v>
      </c>
      <c r="X393">
        <v>0</v>
      </c>
      <c r="Y393">
        <v>88</v>
      </c>
    </row>
    <row r="394" spans="1:25" x14ac:dyDescent="0.35">
      <c r="A394" s="9" t="s">
        <v>861</v>
      </c>
      <c r="B394" s="9" t="s">
        <v>862</v>
      </c>
      <c r="C394" s="9" t="s">
        <v>68</v>
      </c>
      <c r="D394" s="9" t="s">
        <v>46</v>
      </c>
      <c r="E394" s="9" t="s">
        <v>47</v>
      </c>
      <c r="F394" s="9" t="s">
        <v>48</v>
      </c>
      <c r="G394" s="9" t="s">
        <v>49</v>
      </c>
      <c r="H394" s="9" t="s">
        <v>65</v>
      </c>
      <c r="I394">
        <v>0</v>
      </c>
      <c r="J394">
        <v>4</v>
      </c>
      <c r="K394">
        <v>4</v>
      </c>
      <c r="L394">
        <v>4</v>
      </c>
      <c r="M394">
        <v>0</v>
      </c>
      <c r="N394">
        <v>88</v>
      </c>
      <c r="O394">
        <v>88</v>
      </c>
      <c r="P394">
        <v>2</v>
      </c>
      <c r="Q394">
        <v>0</v>
      </c>
      <c r="R394">
        <v>1</v>
      </c>
      <c r="S394">
        <v>1</v>
      </c>
      <c r="T394">
        <v>0</v>
      </c>
      <c r="U394">
        <v>0</v>
      </c>
      <c r="V394">
        <v>1</v>
      </c>
      <c r="W394" s="9" t="s">
        <v>51</v>
      </c>
      <c r="X394">
        <v>0</v>
      </c>
      <c r="Y394">
        <v>88</v>
      </c>
    </row>
    <row r="395" spans="1:25" x14ac:dyDescent="0.35">
      <c r="A395" s="9" t="s">
        <v>863</v>
      </c>
      <c r="B395" s="9" t="s">
        <v>864</v>
      </c>
      <c r="C395" s="9" t="s">
        <v>68</v>
      </c>
      <c r="D395" s="9" t="s">
        <v>46</v>
      </c>
      <c r="E395" s="9" t="s">
        <v>47</v>
      </c>
      <c r="F395" s="9" t="s">
        <v>48</v>
      </c>
      <c r="G395" s="9" t="s">
        <v>49</v>
      </c>
      <c r="H395" s="9" t="s">
        <v>65</v>
      </c>
      <c r="I395">
        <v>0</v>
      </c>
      <c r="J395">
        <v>2</v>
      </c>
      <c r="K395">
        <v>2</v>
      </c>
      <c r="L395">
        <v>2</v>
      </c>
      <c r="M395">
        <v>0</v>
      </c>
      <c r="N395">
        <v>88</v>
      </c>
      <c r="O395">
        <v>88</v>
      </c>
      <c r="P395">
        <v>0</v>
      </c>
      <c r="Q395">
        <v>0</v>
      </c>
      <c r="R395">
        <v>1</v>
      </c>
      <c r="S395">
        <v>1</v>
      </c>
      <c r="T395">
        <v>0</v>
      </c>
      <c r="U395">
        <v>0</v>
      </c>
      <c r="V395">
        <v>1</v>
      </c>
      <c r="W395" s="9" t="s">
        <v>51</v>
      </c>
      <c r="X395">
        <v>0</v>
      </c>
      <c r="Y395">
        <v>88</v>
      </c>
    </row>
    <row r="396" spans="1:25" x14ac:dyDescent="0.35">
      <c r="A396" s="9" t="s">
        <v>865</v>
      </c>
      <c r="B396" s="9" t="s">
        <v>866</v>
      </c>
      <c r="C396" s="9" t="s">
        <v>61</v>
      </c>
      <c r="D396" s="9" t="s">
        <v>46</v>
      </c>
      <c r="E396" s="9" t="s">
        <v>47</v>
      </c>
      <c r="F396" s="9" t="s">
        <v>48</v>
      </c>
      <c r="G396" s="9" t="s">
        <v>49</v>
      </c>
      <c r="H396" s="9" t="s">
        <v>65</v>
      </c>
      <c r="I396">
        <v>0</v>
      </c>
      <c r="J396">
        <v>4</v>
      </c>
      <c r="K396">
        <v>4</v>
      </c>
      <c r="L396">
        <v>4</v>
      </c>
      <c r="M396">
        <v>0</v>
      </c>
      <c r="N396">
        <v>88</v>
      </c>
      <c r="O396">
        <v>88</v>
      </c>
      <c r="P396">
        <v>3</v>
      </c>
      <c r="Q396">
        <v>0</v>
      </c>
      <c r="R396">
        <v>1</v>
      </c>
      <c r="S396">
        <v>1</v>
      </c>
      <c r="T396">
        <v>0</v>
      </c>
      <c r="U396">
        <v>0</v>
      </c>
      <c r="V396">
        <v>1</v>
      </c>
      <c r="W396" s="9" t="s">
        <v>51</v>
      </c>
      <c r="X396">
        <v>0</v>
      </c>
      <c r="Y396">
        <v>88</v>
      </c>
    </row>
    <row r="397" spans="1:25" x14ac:dyDescent="0.35">
      <c r="A397" s="9" t="s">
        <v>867</v>
      </c>
      <c r="B397" s="9" t="s">
        <v>868</v>
      </c>
      <c r="C397" s="9" t="s">
        <v>134</v>
      </c>
      <c r="D397" s="9" t="s">
        <v>46</v>
      </c>
      <c r="E397" s="9" t="s">
        <v>56</v>
      </c>
      <c r="F397" s="9" t="s">
        <v>57</v>
      </c>
      <c r="G397" s="9" t="s">
        <v>54</v>
      </c>
      <c r="H397" s="9" t="s">
        <v>135</v>
      </c>
      <c r="I397">
        <v>1</v>
      </c>
      <c r="J397">
        <v>2</v>
      </c>
      <c r="K397">
        <v>2</v>
      </c>
      <c r="L397">
        <v>2</v>
      </c>
      <c r="M397">
        <v>0</v>
      </c>
      <c r="N397">
        <v>66</v>
      </c>
      <c r="P397">
        <v>2</v>
      </c>
      <c r="Q397">
        <v>0</v>
      </c>
      <c r="R397">
        <v>1</v>
      </c>
      <c r="S397">
        <v>0</v>
      </c>
      <c r="T397">
        <v>0</v>
      </c>
      <c r="U397">
        <v>0</v>
      </c>
      <c r="V397">
        <v>0</v>
      </c>
      <c r="W397" s="9" t="s">
        <v>58</v>
      </c>
      <c r="X397">
        <v>0</v>
      </c>
      <c r="Y397">
        <v>88</v>
      </c>
    </row>
    <row r="398" spans="1:25" x14ac:dyDescent="0.35">
      <c r="A398" s="9" t="s">
        <v>869</v>
      </c>
      <c r="B398" s="9" t="s">
        <v>870</v>
      </c>
      <c r="C398" s="9" t="s">
        <v>61</v>
      </c>
      <c r="D398" s="9" t="s">
        <v>46</v>
      </c>
      <c r="E398" s="9" t="s">
        <v>47</v>
      </c>
      <c r="F398" s="9" t="s">
        <v>48</v>
      </c>
      <c r="G398" s="9" t="s">
        <v>49</v>
      </c>
      <c r="H398" s="9" t="s">
        <v>65</v>
      </c>
      <c r="I398">
        <v>0</v>
      </c>
      <c r="J398">
        <v>2</v>
      </c>
      <c r="K398">
        <v>2</v>
      </c>
      <c r="L398">
        <v>2</v>
      </c>
      <c r="M398">
        <v>0</v>
      </c>
      <c r="N398">
        <v>88</v>
      </c>
      <c r="O398">
        <v>88</v>
      </c>
      <c r="P398">
        <v>1</v>
      </c>
      <c r="Q398">
        <v>0</v>
      </c>
      <c r="R398">
        <v>1</v>
      </c>
      <c r="S398">
        <v>1</v>
      </c>
      <c r="T398">
        <v>0</v>
      </c>
      <c r="U398">
        <v>0</v>
      </c>
      <c r="V398">
        <v>1</v>
      </c>
      <c r="W398" s="9" t="s">
        <v>51</v>
      </c>
      <c r="X398">
        <v>0</v>
      </c>
      <c r="Y398">
        <v>88</v>
      </c>
    </row>
    <row r="399" spans="1:25" x14ac:dyDescent="0.35">
      <c r="A399" s="9" t="s">
        <v>871</v>
      </c>
      <c r="B399" s="9" t="s">
        <v>872</v>
      </c>
      <c r="C399" s="9" t="s">
        <v>61</v>
      </c>
      <c r="D399" s="9" t="s">
        <v>62</v>
      </c>
      <c r="E399" s="9" t="s">
        <v>47</v>
      </c>
      <c r="F399" s="9" t="s">
        <v>48</v>
      </c>
      <c r="G399" s="9" t="s">
        <v>49</v>
      </c>
      <c r="H399" s="9" t="s">
        <v>65</v>
      </c>
      <c r="I399">
        <v>0</v>
      </c>
      <c r="J399">
        <v>3</v>
      </c>
      <c r="K399">
        <v>3</v>
      </c>
      <c r="L399">
        <v>2</v>
      </c>
      <c r="M399">
        <v>0</v>
      </c>
      <c r="N399">
        <v>88</v>
      </c>
      <c r="O399">
        <v>88</v>
      </c>
      <c r="P399">
        <v>0</v>
      </c>
      <c r="Q399">
        <v>0</v>
      </c>
      <c r="R399">
        <v>1</v>
      </c>
      <c r="S399">
        <v>1</v>
      </c>
      <c r="T399">
        <v>0</v>
      </c>
      <c r="U399">
        <v>0</v>
      </c>
      <c r="V399">
        <v>1</v>
      </c>
      <c r="W399" s="9" t="s">
        <v>51</v>
      </c>
      <c r="X399">
        <v>0</v>
      </c>
      <c r="Y399">
        <v>88</v>
      </c>
    </row>
    <row r="400" spans="1:25" x14ac:dyDescent="0.35">
      <c r="A400" s="9" t="s">
        <v>873</v>
      </c>
      <c r="B400" s="9" t="s">
        <v>874</v>
      </c>
      <c r="C400" s="9" t="s">
        <v>61</v>
      </c>
      <c r="D400" s="9" t="s">
        <v>46</v>
      </c>
      <c r="E400" s="9" t="s">
        <v>76</v>
      </c>
      <c r="F400" s="9" t="s">
        <v>77</v>
      </c>
      <c r="G400" s="9" t="s">
        <v>54</v>
      </c>
      <c r="H400" s="9" t="s">
        <v>65</v>
      </c>
      <c r="I400">
        <v>0</v>
      </c>
      <c r="J400">
        <v>2</v>
      </c>
      <c r="K400">
        <v>2</v>
      </c>
      <c r="L400">
        <v>2</v>
      </c>
      <c r="M400">
        <v>0</v>
      </c>
      <c r="N400">
        <v>88</v>
      </c>
      <c r="O400">
        <v>88</v>
      </c>
      <c r="P400">
        <v>1</v>
      </c>
      <c r="Q400">
        <v>0</v>
      </c>
      <c r="R400">
        <v>1</v>
      </c>
      <c r="S400">
        <v>1</v>
      </c>
      <c r="T400">
        <v>0</v>
      </c>
      <c r="U400">
        <v>0</v>
      </c>
      <c r="V400">
        <v>1</v>
      </c>
      <c r="W400" s="9" t="s">
        <v>51</v>
      </c>
      <c r="X400">
        <v>0</v>
      </c>
      <c r="Y400">
        <v>88</v>
      </c>
    </row>
    <row r="401" spans="1:25" x14ac:dyDescent="0.35">
      <c r="A401" s="9" t="s">
        <v>875</v>
      </c>
      <c r="B401" s="9" t="s">
        <v>876</v>
      </c>
      <c r="C401" s="9" t="s">
        <v>54</v>
      </c>
      <c r="D401" s="9" t="s">
        <v>46</v>
      </c>
      <c r="E401" s="9" t="s">
        <v>47</v>
      </c>
      <c r="F401" s="9" t="s">
        <v>48</v>
      </c>
      <c r="G401" s="9" t="s">
        <v>49</v>
      </c>
      <c r="H401" s="9" t="s">
        <v>50</v>
      </c>
      <c r="I401">
        <v>1</v>
      </c>
      <c r="J401">
        <v>3</v>
      </c>
      <c r="K401">
        <v>3</v>
      </c>
      <c r="L401">
        <v>2</v>
      </c>
      <c r="M401">
        <v>1</v>
      </c>
      <c r="N401">
        <v>38</v>
      </c>
      <c r="O401">
        <v>30</v>
      </c>
      <c r="P401">
        <v>1</v>
      </c>
      <c r="Q401">
        <v>1</v>
      </c>
      <c r="R401">
        <v>1</v>
      </c>
      <c r="S401">
        <v>1</v>
      </c>
      <c r="T401">
        <v>1</v>
      </c>
      <c r="U401">
        <v>0</v>
      </c>
      <c r="V401">
        <v>0</v>
      </c>
      <c r="W401" s="9" t="s">
        <v>95</v>
      </c>
      <c r="X401">
        <v>14</v>
      </c>
      <c r="Y401">
        <v>88</v>
      </c>
    </row>
    <row r="402" spans="1:25" x14ac:dyDescent="0.35">
      <c r="A402" s="9" t="s">
        <v>877</v>
      </c>
      <c r="B402" s="9" t="s">
        <v>878</v>
      </c>
      <c r="C402" s="9" t="s">
        <v>134</v>
      </c>
      <c r="D402" s="9" t="s">
        <v>46</v>
      </c>
      <c r="E402" s="9" t="s">
        <v>112</v>
      </c>
      <c r="F402" s="9" t="s">
        <v>113</v>
      </c>
      <c r="G402" s="9" t="s">
        <v>54</v>
      </c>
      <c r="H402" s="9" t="s">
        <v>135</v>
      </c>
      <c r="I402">
        <v>1</v>
      </c>
      <c r="J402">
        <v>3</v>
      </c>
      <c r="K402">
        <v>3</v>
      </c>
      <c r="L402">
        <v>3</v>
      </c>
      <c r="M402">
        <v>0</v>
      </c>
      <c r="N402">
        <v>68</v>
      </c>
      <c r="O402">
        <v>54</v>
      </c>
      <c r="P402">
        <v>2</v>
      </c>
      <c r="Q402">
        <v>0</v>
      </c>
      <c r="R402">
        <v>1</v>
      </c>
      <c r="S402">
        <v>1</v>
      </c>
      <c r="T402">
        <v>1</v>
      </c>
      <c r="U402">
        <v>0</v>
      </c>
      <c r="V402">
        <v>0</v>
      </c>
      <c r="W402" s="9" t="s">
        <v>95</v>
      </c>
      <c r="X402">
        <v>22</v>
      </c>
      <c r="Y402">
        <v>88</v>
      </c>
    </row>
    <row r="403" spans="1:25" x14ac:dyDescent="0.35">
      <c r="A403" s="9" t="s">
        <v>879</v>
      </c>
      <c r="B403" s="9" t="s">
        <v>880</v>
      </c>
      <c r="C403" s="9" t="s">
        <v>68</v>
      </c>
      <c r="D403" s="9" t="s">
        <v>55</v>
      </c>
      <c r="E403" s="9" t="s">
        <v>93</v>
      </c>
      <c r="F403" s="9" t="s">
        <v>94</v>
      </c>
      <c r="G403" s="9" t="s">
        <v>82</v>
      </c>
      <c r="H403" s="9" t="s">
        <v>65</v>
      </c>
      <c r="I403">
        <v>0</v>
      </c>
      <c r="J403">
        <v>1</v>
      </c>
      <c r="K403">
        <v>1</v>
      </c>
      <c r="L403">
        <v>1</v>
      </c>
      <c r="M403">
        <v>0</v>
      </c>
      <c r="N403">
        <v>88</v>
      </c>
      <c r="O403">
        <v>88</v>
      </c>
      <c r="P403">
        <v>0</v>
      </c>
      <c r="Q403">
        <v>0</v>
      </c>
      <c r="R403">
        <v>1</v>
      </c>
      <c r="S403">
        <v>1</v>
      </c>
      <c r="T403">
        <v>0</v>
      </c>
      <c r="U403">
        <v>0</v>
      </c>
      <c r="V403">
        <v>1</v>
      </c>
      <c r="W403" s="9" t="s">
        <v>51</v>
      </c>
      <c r="X403">
        <v>0</v>
      </c>
      <c r="Y403">
        <v>88</v>
      </c>
    </row>
    <row r="404" spans="1:25" x14ac:dyDescent="0.35">
      <c r="A404" s="9" t="s">
        <v>881</v>
      </c>
      <c r="B404" s="9" t="s">
        <v>882</v>
      </c>
      <c r="C404" s="9" t="s">
        <v>61</v>
      </c>
      <c r="D404" s="9" t="s">
        <v>46</v>
      </c>
      <c r="E404" s="9" t="s">
        <v>93</v>
      </c>
      <c r="F404" s="9" t="s">
        <v>94</v>
      </c>
      <c r="G404" s="9" t="s">
        <v>82</v>
      </c>
      <c r="H404" s="9" t="s">
        <v>65</v>
      </c>
      <c r="I404">
        <v>0</v>
      </c>
      <c r="J404">
        <v>4</v>
      </c>
      <c r="K404">
        <v>4</v>
      </c>
      <c r="L404">
        <v>3</v>
      </c>
      <c r="M404">
        <v>0</v>
      </c>
      <c r="N404">
        <v>88</v>
      </c>
      <c r="O404">
        <v>88</v>
      </c>
      <c r="P404">
        <v>1</v>
      </c>
      <c r="Q404">
        <v>0</v>
      </c>
      <c r="R404">
        <v>1</v>
      </c>
      <c r="S404">
        <v>1</v>
      </c>
      <c r="T404">
        <v>0</v>
      </c>
      <c r="U404">
        <v>0</v>
      </c>
      <c r="V404">
        <v>1</v>
      </c>
      <c r="W404" s="9" t="s">
        <v>51</v>
      </c>
      <c r="X404">
        <v>0</v>
      </c>
      <c r="Y404">
        <v>88</v>
      </c>
    </row>
    <row r="405" spans="1:25" x14ac:dyDescent="0.35">
      <c r="A405" s="9" t="s">
        <v>883</v>
      </c>
      <c r="B405" s="9" t="s">
        <v>884</v>
      </c>
      <c r="C405" s="9" t="s">
        <v>61</v>
      </c>
      <c r="D405" s="9" t="s">
        <v>46</v>
      </c>
      <c r="E405" s="9" t="s">
        <v>69</v>
      </c>
      <c r="F405" s="9" t="s">
        <v>70</v>
      </c>
      <c r="G405" s="9" t="s">
        <v>49</v>
      </c>
      <c r="H405" s="9" t="s">
        <v>65</v>
      </c>
      <c r="I405">
        <v>0</v>
      </c>
      <c r="J405">
        <v>3</v>
      </c>
      <c r="K405">
        <v>3</v>
      </c>
      <c r="L405">
        <v>3</v>
      </c>
      <c r="M405">
        <v>0</v>
      </c>
      <c r="N405">
        <v>88</v>
      </c>
      <c r="O405">
        <v>88</v>
      </c>
      <c r="P405">
        <v>1</v>
      </c>
      <c r="Q405">
        <v>0</v>
      </c>
      <c r="R405">
        <v>1</v>
      </c>
      <c r="S405">
        <v>1</v>
      </c>
      <c r="T405">
        <v>0</v>
      </c>
      <c r="U405">
        <v>0</v>
      </c>
      <c r="V405">
        <v>1</v>
      </c>
      <c r="W405" s="9" t="s">
        <v>51</v>
      </c>
      <c r="X405">
        <v>0</v>
      </c>
      <c r="Y405">
        <v>88</v>
      </c>
    </row>
    <row r="406" spans="1:25" x14ac:dyDescent="0.35">
      <c r="A406" s="9" t="s">
        <v>885</v>
      </c>
      <c r="B406" s="9" t="s">
        <v>886</v>
      </c>
      <c r="C406" s="9" t="s">
        <v>54</v>
      </c>
      <c r="D406" s="9" t="s">
        <v>46</v>
      </c>
      <c r="E406" s="9" t="s">
        <v>63</v>
      </c>
      <c r="F406" s="9" t="s">
        <v>64</v>
      </c>
      <c r="G406" s="9" t="s">
        <v>49</v>
      </c>
      <c r="H406" s="9" t="s">
        <v>50</v>
      </c>
      <c r="I406">
        <v>1</v>
      </c>
      <c r="J406">
        <v>2</v>
      </c>
      <c r="K406">
        <v>2</v>
      </c>
      <c r="L406">
        <v>2</v>
      </c>
      <c r="M406">
        <v>0</v>
      </c>
      <c r="N406">
        <v>88</v>
      </c>
      <c r="O406">
        <v>88</v>
      </c>
      <c r="P406">
        <v>1</v>
      </c>
      <c r="Q406">
        <v>0</v>
      </c>
      <c r="R406">
        <v>1</v>
      </c>
      <c r="S406">
        <v>1</v>
      </c>
      <c r="T406">
        <v>0</v>
      </c>
      <c r="U406">
        <v>0</v>
      </c>
      <c r="V406">
        <v>1</v>
      </c>
      <c r="W406" s="9" t="s">
        <v>51</v>
      </c>
      <c r="X406">
        <v>0</v>
      </c>
      <c r="Y406">
        <v>88</v>
      </c>
    </row>
    <row r="407" spans="1:25" x14ac:dyDescent="0.35">
      <c r="A407" s="9" t="s">
        <v>887</v>
      </c>
      <c r="B407" s="9" t="s">
        <v>888</v>
      </c>
      <c r="C407" s="9" t="s">
        <v>54</v>
      </c>
      <c r="D407" s="9" t="s">
        <v>46</v>
      </c>
      <c r="E407" s="9" t="s">
        <v>112</v>
      </c>
      <c r="F407" s="9" t="s">
        <v>113</v>
      </c>
      <c r="G407" s="9" t="s">
        <v>54</v>
      </c>
      <c r="H407" s="9" t="s">
        <v>50</v>
      </c>
      <c r="I407">
        <v>1</v>
      </c>
      <c r="J407">
        <v>3</v>
      </c>
      <c r="K407">
        <v>3</v>
      </c>
      <c r="L407">
        <v>3</v>
      </c>
      <c r="M407">
        <v>0</v>
      </c>
      <c r="N407">
        <v>88</v>
      </c>
      <c r="O407">
        <v>88</v>
      </c>
      <c r="P407">
        <v>0</v>
      </c>
      <c r="Q407">
        <v>0</v>
      </c>
      <c r="R407">
        <v>1</v>
      </c>
      <c r="S407">
        <v>1</v>
      </c>
      <c r="T407">
        <v>0</v>
      </c>
      <c r="U407">
        <v>0</v>
      </c>
      <c r="V407">
        <v>1</v>
      </c>
      <c r="W407" s="9" t="s">
        <v>51</v>
      </c>
      <c r="X407">
        <v>0</v>
      </c>
      <c r="Y407">
        <v>88</v>
      </c>
    </row>
    <row r="408" spans="1:25" x14ac:dyDescent="0.35">
      <c r="A408" s="9" t="s">
        <v>889</v>
      </c>
      <c r="B408" s="9" t="s">
        <v>890</v>
      </c>
      <c r="C408" s="9" t="s">
        <v>54</v>
      </c>
      <c r="D408" s="9" t="s">
        <v>46</v>
      </c>
      <c r="E408" s="9" t="s">
        <v>76</v>
      </c>
      <c r="F408" s="9" t="s">
        <v>77</v>
      </c>
      <c r="G408" s="9" t="s">
        <v>54</v>
      </c>
      <c r="H408" s="9" t="s">
        <v>50</v>
      </c>
      <c r="I408">
        <v>1</v>
      </c>
      <c r="J408">
        <v>4</v>
      </c>
      <c r="K408">
        <v>4</v>
      </c>
      <c r="L408">
        <v>4</v>
      </c>
      <c r="M408">
        <v>0</v>
      </c>
      <c r="N408">
        <v>88</v>
      </c>
      <c r="O408">
        <v>88</v>
      </c>
      <c r="P408">
        <v>1</v>
      </c>
      <c r="Q408">
        <v>1</v>
      </c>
      <c r="R408">
        <v>1</v>
      </c>
      <c r="S408">
        <v>1</v>
      </c>
      <c r="T408">
        <v>0</v>
      </c>
      <c r="U408">
        <v>0</v>
      </c>
      <c r="V408">
        <v>1</v>
      </c>
      <c r="W408" s="9" t="s">
        <v>51</v>
      </c>
      <c r="X408">
        <v>0</v>
      </c>
      <c r="Y408">
        <v>88</v>
      </c>
    </row>
    <row r="409" spans="1:25" x14ac:dyDescent="0.35">
      <c r="A409" s="9" t="s">
        <v>891</v>
      </c>
      <c r="B409" s="9" t="s">
        <v>892</v>
      </c>
      <c r="C409" s="9" t="s">
        <v>45</v>
      </c>
      <c r="D409" s="9" t="s">
        <v>46</v>
      </c>
      <c r="E409" s="9" t="s">
        <v>47</v>
      </c>
      <c r="F409" s="9" t="s">
        <v>48</v>
      </c>
      <c r="G409" s="9" t="s">
        <v>49</v>
      </c>
      <c r="H409" s="9" t="s">
        <v>50</v>
      </c>
      <c r="I409">
        <v>0</v>
      </c>
      <c r="J409">
        <v>4</v>
      </c>
      <c r="K409">
        <v>4</v>
      </c>
      <c r="L409">
        <v>2</v>
      </c>
      <c r="M409">
        <v>2</v>
      </c>
      <c r="N409">
        <v>88</v>
      </c>
      <c r="O409">
        <v>88</v>
      </c>
      <c r="P409">
        <v>0</v>
      </c>
      <c r="Q409">
        <v>0</v>
      </c>
      <c r="R409">
        <v>1</v>
      </c>
      <c r="S409">
        <v>1</v>
      </c>
      <c r="T409">
        <v>0</v>
      </c>
      <c r="U409">
        <v>0</v>
      </c>
      <c r="V409">
        <v>1</v>
      </c>
      <c r="W409" s="9" t="s">
        <v>51</v>
      </c>
      <c r="X409">
        <v>0</v>
      </c>
      <c r="Y409">
        <v>88</v>
      </c>
    </row>
    <row r="410" spans="1:25" x14ac:dyDescent="0.35">
      <c r="A410" s="9" t="s">
        <v>893</v>
      </c>
      <c r="B410" s="9" t="s">
        <v>894</v>
      </c>
      <c r="C410" s="9" t="s">
        <v>134</v>
      </c>
      <c r="D410" s="9" t="s">
        <v>46</v>
      </c>
      <c r="E410" s="9" t="s">
        <v>76</v>
      </c>
      <c r="F410" s="9" t="s">
        <v>77</v>
      </c>
      <c r="G410" s="9" t="s">
        <v>54</v>
      </c>
      <c r="H410" s="9" t="s">
        <v>135</v>
      </c>
      <c r="I410">
        <v>1</v>
      </c>
      <c r="J410">
        <v>4</v>
      </c>
      <c r="K410">
        <v>4</v>
      </c>
      <c r="L410">
        <v>4</v>
      </c>
      <c r="M410">
        <v>0</v>
      </c>
      <c r="N410">
        <v>88</v>
      </c>
      <c r="O410">
        <v>88</v>
      </c>
      <c r="P410">
        <v>3</v>
      </c>
      <c r="Q410">
        <v>0</v>
      </c>
      <c r="R410">
        <v>1</v>
      </c>
      <c r="S410">
        <v>1</v>
      </c>
      <c r="T410">
        <v>0</v>
      </c>
      <c r="U410">
        <v>0</v>
      </c>
      <c r="V410">
        <v>1</v>
      </c>
      <c r="W410" s="9" t="s">
        <v>51</v>
      </c>
      <c r="X410">
        <v>0</v>
      </c>
      <c r="Y410">
        <v>88</v>
      </c>
    </row>
    <row r="411" spans="1:25" x14ac:dyDescent="0.35">
      <c r="A411" s="9" t="s">
        <v>895</v>
      </c>
      <c r="B411" s="9" t="s">
        <v>896</v>
      </c>
      <c r="C411" s="9" t="s">
        <v>54</v>
      </c>
      <c r="D411" s="9" t="s">
        <v>46</v>
      </c>
      <c r="E411" s="9" t="s">
        <v>112</v>
      </c>
      <c r="F411" s="9" t="s">
        <v>113</v>
      </c>
      <c r="G411" s="9" t="s">
        <v>54</v>
      </c>
      <c r="H411" s="9" t="s">
        <v>50</v>
      </c>
      <c r="I411">
        <v>1</v>
      </c>
      <c r="J411">
        <v>2</v>
      </c>
      <c r="K411">
        <v>2</v>
      </c>
      <c r="L411">
        <v>2</v>
      </c>
      <c r="M411">
        <v>0</v>
      </c>
      <c r="N411">
        <v>45</v>
      </c>
      <c r="P411">
        <v>1</v>
      </c>
      <c r="Q411">
        <v>1</v>
      </c>
      <c r="R411">
        <v>1</v>
      </c>
      <c r="S411">
        <v>0</v>
      </c>
      <c r="T411">
        <v>0</v>
      </c>
      <c r="U411">
        <v>0</v>
      </c>
      <c r="V411">
        <v>0</v>
      </c>
      <c r="W411" s="9" t="s">
        <v>58</v>
      </c>
      <c r="X411">
        <v>0</v>
      </c>
      <c r="Y411">
        <v>88</v>
      </c>
    </row>
    <row r="412" spans="1:25" x14ac:dyDescent="0.35">
      <c r="A412" s="9" t="s">
        <v>897</v>
      </c>
      <c r="B412" s="9" t="s">
        <v>898</v>
      </c>
      <c r="C412" s="9" t="s">
        <v>61</v>
      </c>
      <c r="D412" s="9" t="s">
        <v>46</v>
      </c>
      <c r="E412" s="9" t="s">
        <v>80</v>
      </c>
      <c r="F412" s="9" t="s">
        <v>81</v>
      </c>
      <c r="G412" s="9" t="s">
        <v>82</v>
      </c>
      <c r="H412" s="9" t="s">
        <v>65</v>
      </c>
      <c r="I412">
        <v>0</v>
      </c>
      <c r="J412">
        <v>1</v>
      </c>
      <c r="K412">
        <v>1</v>
      </c>
      <c r="L412">
        <v>1</v>
      </c>
      <c r="M412">
        <v>0</v>
      </c>
      <c r="N412">
        <v>88</v>
      </c>
      <c r="P412">
        <v>1</v>
      </c>
      <c r="Q412">
        <v>0</v>
      </c>
      <c r="R412">
        <v>1</v>
      </c>
      <c r="S412">
        <v>0</v>
      </c>
      <c r="T412">
        <v>0</v>
      </c>
      <c r="U412">
        <v>0</v>
      </c>
      <c r="V412">
        <v>0</v>
      </c>
      <c r="W412" s="9" t="s">
        <v>58</v>
      </c>
      <c r="X412">
        <v>0</v>
      </c>
      <c r="Y412">
        <v>88</v>
      </c>
    </row>
    <row r="413" spans="1:25" x14ac:dyDescent="0.35">
      <c r="A413" s="9" t="s">
        <v>899</v>
      </c>
      <c r="B413" s="9" t="s">
        <v>900</v>
      </c>
      <c r="C413" s="9" t="s">
        <v>54</v>
      </c>
      <c r="D413" s="9" t="s">
        <v>46</v>
      </c>
      <c r="E413" s="9" t="s">
        <v>56</v>
      </c>
      <c r="F413" s="9" t="s">
        <v>57</v>
      </c>
      <c r="G413" s="9" t="s">
        <v>54</v>
      </c>
      <c r="H413" s="9" t="s">
        <v>50</v>
      </c>
      <c r="I413">
        <v>1</v>
      </c>
      <c r="J413">
        <v>1</v>
      </c>
      <c r="K413">
        <v>1</v>
      </c>
      <c r="L413">
        <v>1</v>
      </c>
      <c r="M413">
        <v>0</v>
      </c>
      <c r="N413">
        <v>41</v>
      </c>
      <c r="O413">
        <v>41</v>
      </c>
      <c r="P413">
        <v>0</v>
      </c>
      <c r="Q413">
        <v>0</v>
      </c>
      <c r="R413">
        <v>1</v>
      </c>
      <c r="S413">
        <v>1</v>
      </c>
      <c r="T413">
        <v>1</v>
      </c>
      <c r="U413">
        <v>0</v>
      </c>
      <c r="V413">
        <v>0</v>
      </c>
      <c r="W413" s="9" t="s">
        <v>95</v>
      </c>
      <c r="X413">
        <v>25</v>
      </c>
      <c r="Y413">
        <v>88</v>
      </c>
    </row>
    <row r="414" spans="1:25" x14ac:dyDescent="0.35">
      <c r="A414" s="9" t="s">
        <v>901</v>
      </c>
      <c r="B414" s="9" t="s">
        <v>902</v>
      </c>
      <c r="C414" s="9" t="s">
        <v>45</v>
      </c>
      <c r="D414" s="9" t="s">
        <v>55</v>
      </c>
      <c r="E414" s="9" t="s">
        <v>47</v>
      </c>
      <c r="F414" s="9" t="s">
        <v>48</v>
      </c>
      <c r="G414" s="9" t="s">
        <v>49</v>
      </c>
      <c r="H414" s="9" t="s">
        <v>50</v>
      </c>
      <c r="I414">
        <v>0</v>
      </c>
      <c r="J414">
        <v>4</v>
      </c>
      <c r="K414">
        <v>4</v>
      </c>
      <c r="L414">
        <v>3</v>
      </c>
      <c r="M414">
        <v>1</v>
      </c>
      <c r="N414">
        <v>88</v>
      </c>
      <c r="O414">
        <v>88</v>
      </c>
      <c r="P414">
        <v>0</v>
      </c>
      <c r="Q414">
        <v>0</v>
      </c>
      <c r="R414">
        <v>1</v>
      </c>
      <c r="S414">
        <v>1</v>
      </c>
      <c r="T414">
        <v>0</v>
      </c>
      <c r="U414">
        <v>0</v>
      </c>
      <c r="V414">
        <v>1</v>
      </c>
      <c r="W414" s="9" t="s">
        <v>51</v>
      </c>
      <c r="X414">
        <v>0</v>
      </c>
      <c r="Y414">
        <v>88</v>
      </c>
    </row>
    <row r="415" spans="1:25" x14ac:dyDescent="0.35">
      <c r="A415" s="9" t="s">
        <v>903</v>
      </c>
      <c r="B415" s="9" t="s">
        <v>904</v>
      </c>
      <c r="C415" s="9" t="s">
        <v>68</v>
      </c>
      <c r="D415" s="9" t="s">
        <v>55</v>
      </c>
      <c r="E415" s="9" t="s">
        <v>93</v>
      </c>
      <c r="F415" s="9" t="s">
        <v>94</v>
      </c>
      <c r="G415" s="9" t="s">
        <v>82</v>
      </c>
      <c r="H415" s="9" t="s">
        <v>65</v>
      </c>
      <c r="I415">
        <v>0</v>
      </c>
      <c r="J415">
        <v>4</v>
      </c>
      <c r="K415">
        <v>4</v>
      </c>
      <c r="L415">
        <v>3</v>
      </c>
      <c r="M415">
        <v>0</v>
      </c>
      <c r="N415">
        <v>88</v>
      </c>
      <c r="O415">
        <v>88</v>
      </c>
      <c r="P415">
        <v>2</v>
      </c>
      <c r="Q415">
        <v>0</v>
      </c>
      <c r="R415">
        <v>1</v>
      </c>
      <c r="S415">
        <v>1</v>
      </c>
      <c r="T415">
        <v>0</v>
      </c>
      <c r="U415">
        <v>0</v>
      </c>
      <c r="V415">
        <v>1</v>
      </c>
      <c r="W415" s="9" t="s">
        <v>51</v>
      </c>
      <c r="X415">
        <v>0</v>
      </c>
      <c r="Y415">
        <v>88</v>
      </c>
    </row>
    <row r="416" spans="1:25" x14ac:dyDescent="0.35">
      <c r="A416" s="9" t="s">
        <v>905</v>
      </c>
      <c r="B416" s="9" t="s">
        <v>906</v>
      </c>
      <c r="C416" s="9" t="s">
        <v>61</v>
      </c>
      <c r="D416" s="9" t="s">
        <v>46</v>
      </c>
      <c r="E416" s="9" t="s">
        <v>69</v>
      </c>
      <c r="F416" s="9" t="s">
        <v>70</v>
      </c>
      <c r="G416" s="9" t="s">
        <v>49</v>
      </c>
      <c r="H416" s="9" t="s">
        <v>65</v>
      </c>
      <c r="I416">
        <v>0</v>
      </c>
      <c r="J416">
        <v>3</v>
      </c>
      <c r="K416">
        <v>3</v>
      </c>
      <c r="L416">
        <v>3</v>
      </c>
      <c r="M416">
        <v>0</v>
      </c>
      <c r="N416">
        <v>88</v>
      </c>
      <c r="P416">
        <v>3</v>
      </c>
      <c r="Q416">
        <v>0</v>
      </c>
      <c r="R416">
        <v>1</v>
      </c>
      <c r="S416">
        <v>0</v>
      </c>
      <c r="T416">
        <v>0</v>
      </c>
      <c r="U416">
        <v>0</v>
      </c>
      <c r="V416">
        <v>0</v>
      </c>
      <c r="W416" s="9" t="s">
        <v>58</v>
      </c>
      <c r="X416">
        <v>0</v>
      </c>
      <c r="Y416">
        <v>88</v>
      </c>
    </row>
    <row r="417" spans="1:25" x14ac:dyDescent="0.35">
      <c r="A417" s="9" t="s">
        <v>907</v>
      </c>
      <c r="B417" s="9" t="s">
        <v>908</v>
      </c>
      <c r="C417" s="9" t="s">
        <v>54</v>
      </c>
      <c r="D417" s="9" t="s">
        <v>46</v>
      </c>
      <c r="E417" s="9" t="s">
        <v>76</v>
      </c>
      <c r="F417" s="9" t="s">
        <v>77</v>
      </c>
      <c r="G417" s="9" t="s">
        <v>54</v>
      </c>
      <c r="H417" s="9" t="s">
        <v>50</v>
      </c>
      <c r="I417">
        <v>1</v>
      </c>
      <c r="J417">
        <v>2</v>
      </c>
      <c r="K417">
        <v>2</v>
      </c>
      <c r="L417">
        <v>2</v>
      </c>
      <c r="M417">
        <v>0</v>
      </c>
      <c r="N417">
        <v>88</v>
      </c>
      <c r="O417">
        <v>60</v>
      </c>
      <c r="P417">
        <v>1</v>
      </c>
      <c r="Q417">
        <v>0</v>
      </c>
      <c r="R417">
        <v>1</v>
      </c>
      <c r="S417">
        <v>1</v>
      </c>
      <c r="T417">
        <v>1</v>
      </c>
      <c r="U417">
        <v>0</v>
      </c>
      <c r="V417">
        <v>0</v>
      </c>
      <c r="W417" s="9" t="s">
        <v>95</v>
      </c>
      <c r="X417">
        <v>2</v>
      </c>
      <c r="Y417">
        <v>88</v>
      </c>
    </row>
    <row r="418" spans="1:25" x14ac:dyDescent="0.35">
      <c r="A418" s="9" t="s">
        <v>909</v>
      </c>
      <c r="B418" s="9" t="s">
        <v>910</v>
      </c>
      <c r="C418" s="9" t="s">
        <v>134</v>
      </c>
      <c r="D418" s="9" t="s">
        <v>46</v>
      </c>
      <c r="E418" s="9" t="s">
        <v>69</v>
      </c>
      <c r="F418" s="9" t="s">
        <v>70</v>
      </c>
      <c r="G418" s="9" t="s">
        <v>49</v>
      </c>
      <c r="H418" s="9" t="s">
        <v>135</v>
      </c>
      <c r="I418">
        <v>1</v>
      </c>
      <c r="J418">
        <v>1</v>
      </c>
      <c r="K418">
        <v>1</v>
      </c>
      <c r="L418">
        <v>1</v>
      </c>
      <c r="M418">
        <v>0</v>
      </c>
      <c r="N418">
        <v>42</v>
      </c>
      <c r="O418">
        <v>42</v>
      </c>
      <c r="P418">
        <v>0</v>
      </c>
      <c r="Q418">
        <v>0</v>
      </c>
      <c r="R418">
        <v>1</v>
      </c>
      <c r="S418">
        <v>1</v>
      </c>
      <c r="T418">
        <v>1</v>
      </c>
      <c r="U418">
        <v>0</v>
      </c>
      <c r="V418">
        <v>0</v>
      </c>
      <c r="W418" s="9" t="s">
        <v>95</v>
      </c>
      <c r="X418">
        <v>4</v>
      </c>
      <c r="Y418">
        <v>88</v>
      </c>
    </row>
    <row r="419" spans="1:25" x14ac:dyDescent="0.35">
      <c r="A419" s="9" t="s">
        <v>911</v>
      </c>
      <c r="B419" s="9" t="s">
        <v>912</v>
      </c>
      <c r="C419" s="9" t="s">
        <v>61</v>
      </c>
      <c r="D419" s="9" t="s">
        <v>55</v>
      </c>
      <c r="E419" s="9" t="s">
        <v>69</v>
      </c>
      <c r="F419" s="9" t="s">
        <v>70</v>
      </c>
      <c r="G419" s="9" t="s">
        <v>49</v>
      </c>
      <c r="H419" s="9" t="s">
        <v>65</v>
      </c>
      <c r="I419">
        <v>0</v>
      </c>
      <c r="J419">
        <v>2</v>
      </c>
      <c r="K419">
        <v>2</v>
      </c>
      <c r="L419">
        <v>2</v>
      </c>
      <c r="M419">
        <v>0</v>
      </c>
      <c r="N419">
        <v>88</v>
      </c>
      <c r="O419">
        <v>88</v>
      </c>
      <c r="P419">
        <v>0</v>
      </c>
      <c r="Q419">
        <v>0</v>
      </c>
      <c r="R419">
        <v>1</v>
      </c>
      <c r="S419">
        <v>1</v>
      </c>
      <c r="T419">
        <v>0</v>
      </c>
      <c r="U419">
        <v>0</v>
      </c>
      <c r="V419">
        <v>1</v>
      </c>
      <c r="W419" s="9" t="s">
        <v>51</v>
      </c>
      <c r="X419">
        <v>0</v>
      </c>
      <c r="Y419">
        <v>88</v>
      </c>
    </row>
    <row r="420" spans="1:25" x14ac:dyDescent="0.35">
      <c r="A420" s="9" t="s">
        <v>913</v>
      </c>
      <c r="B420" s="9" t="s">
        <v>914</v>
      </c>
      <c r="C420" s="9" t="s">
        <v>45</v>
      </c>
      <c r="D420" s="9" t="s">
        <v>55</v>
      </c>
      <c r="E420" s="9" t="s">
        <v>69</v>
      </c>
      <c r="F420" s="9" t="s">
        <v>70</v>
      </c>
      <c r="G420" s="9" t="s">
        <v>49</v>
      </c>
      <c r="H420" s="9" t="s">
        <v>50</v>
      </c>
      <c r="I420">
        <v>0</v>
      </c>
      <c r="J420">
        <v>1</v>
      </c>
      <c r="K420">
        <v>1</v>
      </c>
      <c r="L420">
        <v>1</v>
      </c>
      <c r="M420">
        <v>0</v>
      </c>
      <c r="N420">
        <v>88</v>
      </c>
      <c r="P420">
        <v>1</v>
      </c>
      <c r="Q420">
        <v>0</v>
      </c>
      <c r="R420">
        <v>1</v>
      </c>
      <c r="S420">
        <v>0</v>
      </c>
      <c r="T420">
        <v>0</v>
      </c>
      <c r="U420">
        <v>0</v>
      </c>
      <c r="V420">
        <v>0</v>
      </c>
      <c r="W420" s="9" t="s">
        <v>58</v>
      </c>
      <c r="X420">
        <v>0</v>
      </c>
      <c r="Y420">
        <v>88</v>
      </c>
    </row>
    <row r="421" spans="1:25" x14ac:dyDescent="0.35">
      <c r="A421" s="9" t="s">
        <v>915</v>
      </c>
      <c r="B421" s="9" t="s">
        <v>916</v>
      </c>
      <c r="C421" s="9" t="s">
        <v>68</v>
      </c>
      <c r="D421" s="9" t="s">
        <v>46</v>
      </c>
      <c r="E421" s="9" t="s">
        <v>112</v>
      </c>
      <c r="F421" s="9" t="s">
        <v>113</v>
      </c>
      <c r="G421" s="9" t="s">
        <v>54</v>
      </c>
      <c r="H421" s="9" t="s">
        <v>65</v>
      </c>
      <c r="I421">
        <v>0</v>
      </c>
      <c r="J421">
        <v>1</v>
      </c>
      <c r="K421">
        <v>1</v>
      </c>
      <c r="L421">
        <v>1</v>
      </c>
      <c r="M421">
        <v>0</v>
      </c>
      <c r="N421">
        <v>88</v>
      </c>
      <c r="P421">
        <v>1</v>
      </c>
      <c r="Q421">
        <v>0</v>
      </c>
      <c r="R421">
        <v>1</v>
      </c>
      <c r="S421">
        <v>0</v>
      </c>
      <c r="T421">
        <v>0</v>
      </c>
      <c r="U421">
        <v>0</v>
      </c>
      <c r="V421">
        <v>0</v>
      </c>
      <c r="W421" s="9" t="s">
        <v>58</v>
      </c>
      <c r="X421">
        <v>0</v>
      </c>
      <c r="Y421">
        <v>88</v>
      </c>
    </row>
    <row r="422" spans="1:25" x14ac:dyDescent="0.35">
      <c r="A422" s="9" t="s">
        <v>917</v>
      </c>
      <c r="B422" s="9" t="s">
        <v>918</v>
      </c>
      <c r="C422" s="9" t="s">
        <v>54</v>
      </c>
      <c r="D422" s="9" t="s">
        <v>46</v>
      </c>
      <c r="E422" s="9" t="s">
        <v>56</v>
      </c>
      <c r="F422" s="9" t="s">
        <v>57</v>
      </c>
      <c r="G422" s="9" t="s">
        <v>54</v>
      </c>
      <c r="H422" s="9" t="s">
        <v>50</v>
      </c>
      <c r="I422">
        <v>1</v>
      </c>
      <c r="J422">
        <v>3</v>
      </c>
      <c r="K422">
        <v>3</v>
      </c>
      <c r="L422">
        <v>2</v>
      </c>
      <c r="M422">
        <v>1</v>
      </c>
      <c r="N422">
        <v>53</v>
      </c>
      <c r="O422">
        <v>51</v>
      </c>
      <c r="P422">
        <v>1</v>
      </c>
      <c r="Q422">
        <v>0</v>
      </c>
      <c r="R422">
        <v>1</v>
      </c>
      <c r="S422">
        <v>1</v>
      </c>
      <c r="T422">
        <v>1</v>
      </c>
      <c r="U422">
        <v>0</v>
      </c>
      <c r="V422">
        <v>0</v>
      </c>
      <c r="W422" s="9" t="s">
        <v>95</v>
      </c>
      <c r="X422">
        <v>22</v>
      </c>
      <c r="Y422">
        <v>88</v>
      </c>
    </row>
    <row r="423" spans="1:25" x14ac:dyDescent="0.35">
      <c r="A423" s="9" t="s">
        <v>919</v>
      </c>
      <c r="B423" s="9" t="s">
        <v>920</v>
      </c>
      <c r="C423" s="9" t="s">
        <v>45</v>
      </c>
      <c r="D423" s="9" t="s">
        <v>46</v>
      </c>
      <c r="E423" s="9" t="s">
        <v>63</v>
      </c>
      <c r="F423" s="9" t="s">
        <v>64</v>
      </c>
      <c r="G423" s="9" t="s">
        <v>49</v>
      </c>
      <c r="H423" s="9" t="s">
        <v>50</v>
      </c>
      <c r="I423">
        <v>0</v>
      </c>
      <c r="J423">
        <v>1</v>
      </c>
      <c r="K423">
        <v>1</v>
      </c>
      <c r="L423">
        <v>1</v>
      </c>
      <c r="M423">
        <v>0</v>
      </c>
      <c r="N423">
        <v>88</v>
      </c>
      <c r="O423">
        <v>88</v>
      </c>
      <c r="P423">
        <v>0</v>
      </c>
      <c r="Q423">
        <v>0</v>
      </c>
      <c r="R423">
        <v>1</v>
      </c>
      <c r="S423">
        <v>1</v>
      </c>
      <c r="T423">
        <v>0</v>
      </c>
      <c r="U423">
        <v>0</v>
      </c>
      <c r="V423">
        <v>1</v>
      </c>
      <c r="W423" s="9" t="s">
        <v>51</v>
      </c>
      <c r="X423">
        <v>0</v>
      </c>
      <c r="Y423">
        <v>88</v>
      </c>
    </row>
    <row r="424" spans="1:25" x14ac:dyDescent="0.35">
      <c r="A424" s="9" t="s">
        <v>921</v>
      </c>
      <c r="B424" s="9" t="s">
        <v>922</v>
      </c>
      <c r="C424" s="9" t="s">
        <v>68</v>
      </c>
      <c r="D424" s="9" t="s">
        <v>46</v>
      </c>
      <c r="E424" s="9" t="s">
        <v>69</v>
      </c>
      <c r="F424" s="9" t="s">
        <v>70</v>
      </c>
      <c r="G424" s="9" t="s">
        <v>49</v>
      </c>
      <c r="H424" s="9" t="s">
        <v>65</v>
      </c>
      <c r="I424">
        <v>0</v>
      </c>
      <c r="J424">
        <v>1</v>
      </c>
      <c r="K424">
        <v>1</v>
      </c>
      <c r="L424">
        <v>1</v>
      </c>
      <c r="M424">
        <v>0</v>
      </c>
      <c r="N424">
        <v>88</v>
      </c>
      <c r="O424">
        <v>88</v>
      </c>
      <c r="P424">
        <v>0</v>
      </c>
      <c r="Q424">
        <v>0</v>
      </c>
      <c r="R424">
        <v>1</v>
      </c>
      <c r="S424">
        <v>1</v>
      </c>
      <c r="T424">
        <v>0</v>
      </c>
      <c r="U424">
        <v>0</v>
      </c>
      <c r="V424">
        <v>1</v>
      </c>
      <c r="W424" s="9" t="s">
        <v>51</v>
      </c>
      <c r="X424">
        <v>0</v>
      </c>
      <c r="Y424">
        <v>88</v>
      </c>
    </row>
    <row r="425" spans="1:25" x14ac:dyDescent="0.35">
      <c r="A425" s="9" t="s">
        <v>923</v>
      </c>
      <c r="B425" s="9" t="s">
        <v>924</v>
      </c>
      <c r="C425" s="9" t="s">
        <v>54</v>
      </c>
      <c r="D425" s="9" t="s">
        <v>55</v>
      </c>
      <c r="E425" s="9" t="s">
        <v>56</v>
      </c>
      <c r="F425" s="9" t="s">
        <v>57</v>
      </c>
      <c r="G425" s="9" t="s">
        <v>54</v>
      </c>
      <c r="H425" s="9" t="s">
        <v>50</v>
      </c>
      <c r="I425">
        <v>1</v>
      </c>
      <c r="J425">
        <v>3</v>
      </c>
      <c r="K425">
        <v>3</v>
      </c>
      <c r="L425">
        <v>3</v>
      </c>
      <c r="M425">
        <v>0</v>
      </c>
      <c r="N425">
        <v>88</v>
      </c>
      <c r="O425">
        <v>88</v>
      </c>
      <c r="P425">
        <v>0</v>
      </c>
      <c r="Q425">
        <v>1</v>
      </c>
      <c r="R425">
        <v>1</v>
      </c>
      <c r="S425">
        <v>1</v>
      </c>
      <c r="T425">
        <v>0</v>
      </c>
      <c r="U425">
        <v>0</v>
      </c>
      <c r="V425">
        <v>1</v>
      </c>
      <c r="W425" s="9" t="s">
        <v>51</v>
      </c>
      <c r="X425">
        <v>0</v>
      </c>
      <c r="Y425">
        <v>88</v>
      </c>
    </row>
    <row r="426" spans="1:25" x14ac:dyDescent="0.35">
      <c r="A426" s="9" t="s">
        <v>925</v>
      </c>
      <c r="B426" s="9" t="s">
        <v>926</v>
      </c>
      <c r="C426" s="9" t="s">
        <v>68</v>
      </c>
      <c r="D426" s="9" t="s">
        <v>46</v>
      </c>
      <c r="E426" s="9" t="s">
        <v>47</v>
      </c>
      <c r="F426" s="9" t="s">
        <v>48</v>
      </c>
      <c r="G426" s="9" t="s">
        <v>49</v>
      </c>
      <c r="H426" s="9" t="s">
        <v>65</v>
      </c>
      <c r="I426">
        <v>0</v>
      </c>
      <c r="J426">
        <v>3</v>
      </c>
      <c r="K426">
        <v>3</v>
      </c>
      <c r="L426">
        <v>2</v>
      </c>
      <c r="M426">
        <v>0</v>
      </c>
      <c r="N426">
        <v>88</v>
      </c>
      <c r="O426">
        <v>41</v>
      </c>
      <c r="P426">
        <v>1</v>
      </c>
      <c r="Q426">
        <v>0</v>
      </c>
      <c r="R426">
        <v>1</v>
      </c>
      <c r="S426">
        <v>1</v>
      </c>
      <c r="T426">
        <v>1</v>
      </c>
      <c r="U426">
        <v>0</v>
      </c>
      <c r="V426">
        <v>0</v>
      </c>
      <c r="W426" s="9" t="s">
        <v>95</v>
      </c>
      <c r="X426">
        <v>10</v>
      </c>
      <c r="Y426">
        <v>88</v>
      </c>
    </row>
    <row r="427" spans="1:25" x14ac:dyDescent="0.35">
      <c r="A427" s="9" t="s">
        <v>927</v>
      </c>
      <c r="B427" s="9" t="s">
        <v>928</v>
      </c>
      <c r="C427" s="9" t="s">
        <v>54</v>
      </c>
      <c r="D427" s="9" t="s">
        <v>46</v>
      </c>
      <c r="E427" s="9" t="s">
        <v>63</v>
      </c>
      <c r="F427" s="9" t="s">
        <v>64</v>
      </c>
      <c r="G427" s="9" t="s">
        <v>49</v>
      </c>
      <c r="H427" s="9" t="s">
        <v>50</v>
      </c>
      <c r="I427">
        <v>1</v>
      </c>
      <c r="J427">
        <v>1</v>
      </c>
      <c r="K427">
        <v>1</v>
      </c>
      <c r="L427">
        <v>0</v>
      </c>
      <c r="M427">
        <v>0</v>
      </c>
      <c r="P427">
        <v>0</v>
      </c>
      <c r="Q427">
        <v>0</v>
      </c>
      <c r="R427">
        <v>0</v>
      </c>
      <c r="S427">
        <v>0</v>
      </c>
      <c r="T427">
        <v>0</v>
      </c>
      <c r="U427">
        <v>0</v>
      </c>
      <c r="V427">
        <v>0</v>
      </c>
      <c r="W427" s="9" t="s">
        <v>73</v>
      </c>
      <c r="X427">
        <v>0</v>
      </c>
      <c r="Y427">
        <v>88</v>
      </c>
    </row>
    <row r="428" spans="1:25" x14ac:dyDescent="0.35">
      <c r="A428" s="9" t="s">
        <v>929</v>
      </c>
      <c r="B428" s="9" t="s">
        <v>930</v>
      </c>
      <c r="C428" s="9" t="s">
        <v>68</v>
      </c>
      <c r="D428" s="9" t="s">
        <v>46</v>
      </c>
      <c r="E428" s="9" t="s">
        <v>69</v>
      </c>
      <c r="F428" s="9" t="s">
        <v>70</v>
      </c>
      <c r="G428" s="9" t="s">
        <v>49</v>
      </c>
      <c r="H428" s="9" t="s">
        <v>65</v>
      </c>
      <c r="I428">
        <v>0</v>
      </c>
      <c r="J428">
        <v>2</v>
      </c>
      <c r="K428">
        <v>2</v>
      </c>
      <c r="L428">
        <v>2</v>
      </c>
      <c r="M428">
        <v>0</v>
      </c>
      <c r="N428">
        <v>88</v>
      </c>
      <c r="O428">
        <v>88</v>
      </c>
      <c r="P428">
        <v>1</v>
      </c>
      <c r="Q428">
        <v>0</v>
      </c>
      <c r="R428">
        <v>1</v>
      </c>
      <c r="S428">
        <v>1</v>
      </c>
      <c r="T428">
        <v>0</v>
      </c>
      <c r="U428">
        <v>0</v>
      </c>
      <c r="V428">
        <v>1</v>
      </c>
      <c r="W428" s="9" t="s">
        <v>51</v>
      </c>
      <c r="X428">
        <v>0</v>
      </c>
      <c r="Y428">
        <v>88</v>
      </c>
    </row>
    <row r="429" spans="1:25" x14ac:dyDescent="0.35">
      <c r="A429" s="9" t="s">
        <v>931</v>
      </c>
      <c r="B429" s="9" t="s">
        <v>932</v>
      </c>
      <c r="C429" s="9" t="s">
        <v>61</v>
      </c>
      <c r="D429" s="9" t="s">
        <v>55</v>
      </c>
      <c r="E429" s="9" t="s">
        <v>56</v>
      </c>
      <c r="F429" s="9" t="s">
        <v>57</v>
      </c>
      <c r="G429" s="9" t="s">
        <v>54</v>
      </c>
      <c r="H429" s="9" t="s">
        <v>65</v>
      </c>
      <c r="I429">
        <v>0</v>
      </c>
      <c r="J429">
        <v>1</v>
      </c>
      <c r="K429">
        <v>1</v>
      </c>
      <c r="L429">
        <v>1</v>
      </c>
      <c r="M429">
        <v>0</v>
      </c>
      <c r="N429">
        <v>39</v>
      </c>
      <c r="P429">
        <v>1</v>
      </c>
      <c r="Q429">
        <v>0</v>
      </c>
      <c r="R429">
        <v>1</v>
      </c>
      <c r="S429">
        <v>0</v>
      </c>
      <c r="T429">
        <v>0</v>
      </c>
      <c r="U429">
        <v>0</v>
      </c>
      <c r="V429">
        <v>0</v>
      </c>
      <c r="W429" s="9" t="s">
        <v>58</v>
      </c>
      <c r="X429">
        <v>0</v>
      </c>
      <c r="Y429">
        <v>88</v>
      </c>
    </row>
    <row r="430" spans="1:25" x14ac:dyDescent="0.35">
      <c r="A430" s="9" t="s">
        <v>933</v>
      </c>
      <c r="B430" s="9" t="s">
        <v>934</v>
      </c>
      <c r="C430" s="9" t="s">
        <v>61</v>
      </c>
      <c r="D430" s="9" t="s">
        <v>55</v>
      </c>
      <c r="E430" s="9" t="s">
        <v>63</v>
      </c>
      <c r="F430" s="9" t="s">
        <v>64</v>
      </c>
      <c r="G430" s="9" t="s">
        <v>49</v>
      </c>
      <c r="H430" s="9" t="s">
        <v>65</v>
      </c>
      <c r="I430">
        <v>0</v>
      </c>
      <c r="J430">
        <v>2</v>
      </c>
      <c r="K430">
        <v>2</v>
      </c>
      <c r="L430">
        <v>1</v>
      </c>
      <c r="M430">
        <v>0</v>
      </c>
      <c r="N430">
        <v>88</v>
      </c>
      <c r="O430">
        <v>88</v>
      </c>
      <c r="P430">
        <v>0</v>
      </c>
      <c r="Q430">
        <v>0</v>
      </c>
      <c r="R430">
        <v>1</v>
      </c>
      <c r="S430">
        <v>1</v>
      </c>
      <c r="T430">
        <v>0</v>
      </c>
      <c r="U430">
        <v>0</v>
      </c>
      <c r="V430">
        <v>1</v>
      </c>
      <c r="W430" s="9" t="s">
        <v>51</v>
      </c>
      <c r="X430">
        <v>0</v>
      </c>
      <c r="Y430">
        <v>88</v>
      </c>
    </row>
    <row r="431" spans="1:25" x14ac:dyDescent="0.35">
      <c r="A431" s="9" t="s">
        <v>935</v>
      </c>
      <c r="B431" s="9" t="s">
        <v>936</v>
      </c>
      <c r="C431" s="9" t="s">
        <v>45</v>
      </c>
      <c r="D431" s="9" t="s">
        <v>62</v>
      </c>
      <c r="E431" s="9" t="s">
        <v>69</v>
      </c>
      <c r="F431" s="9" t="s">
        <v>70</v>
      </c>
      <c r="G431" s="9" t="s">
        <v>49</v>
      </c>
      <c r="H431" s="9" t="s">
        <v>50</v>
      </c>
      <c r="I431">
        <v>0</v>
      </c>
      <c r="J431">
        <v>1</v>
      </c>
      <c r="K431">
        <v>1</v>
      </c>
      <c r="L431">
        <v>0</v>
      </c>
      <c r="M431">
        <v>1</v>
      </c>
      <c r="P431">
        <v>0</v>
      </c>
      <c r="Q431">
        <v>0</v>
      </c>
      <c r="R431">
        <v>0</v>
      </c>
      <c r="S431">
        <v>0</v>
      </c>
      <c r="T431">
        <v>0</v>
      </c>
      <c r="U431">
        <v>0</v>
      </c>
      <c r="V431">
        <v>0</v>
      </c>
      <c r="W431" s="9" t="s">
        <v>73</v>
      </c>
      <c r="X431">
        <v>0</v>
      </c>
      <c r="Y431">
        <v>88</v>
      </c>
    </row>
    <row r="432" spans="1:25" x14ac:dyDescent="0.35">
      <c r="A432" s="9" t="s">
        <v>937</v>
      </c>
      <c r="B432" s="9" t="s">
        <v>938</v>
      </c>
      <c r="C432" s="9" t="s">
        <v>54</v>
      </c>
      <c r="D432" s="9" t="s">
        <v>46</v>
      </c>
      <c r="E432" s="9" t="s">
        <v>56</v>
      </c>
      <c r="F432" s="9" t="s">
        <v>57</v>
      </c>
      <c r="G432" s="9" t="s">
        <v>54</v>
      </c>
      <c r="H432" s="9" t="s">
        <v>50</v>
      </c>
      <c r="I432">
        <v>1</v>
      </c>
      <c r="J432">
        <v>2</v>
      </c>
      <c r="K432">
        <v>2</v>
      </c>
      <c r="L432">
        <v>0</v>
      </c>
      <c r="M432">
        <v>2</v>
      </c>
      <c r="P432">
        <v>0</v>
      </c>
      <c r="Q432">
        <v>0</v>
      </c>
      <c r="R432">
        <v>0</v>
      </c>
      <c r="S432">
        <v>0</v>
      </c>
      <c r="T432">
        <v>0</v>
      </c>
      <c r="U432">
        <v>0</v>
      </c>
      <c r="V432">
        <v>0</v>
      </c>
      <c r="W432" s="9" t="s">
        <v>73</v>
      </c>
      <c r="X432">
        <v>0</v>
      </c>
      <c r="Y432">
        <v>88</v>
      </c>
    </row>
    <row r="433" spans="1:25" x14ac:dyDescent="0.35">
      <c r="A433" s="9" t="s">
        <v>939</v>
      </c>
      <c r="B433" s="9" t="s">
        <v>940</v>
      </c>
      <c r="C433" s="9" t="s">
        <v>68</v>
      </c>
      <c r="D433" s="9" t="s">
        <v>62</v>
      </c>
      <c r="E433" s="9" t="s">
        <v>93</v>
      </c>
      <c r="F433" s="9" t="s">
        <v>94</v>
      </c>
      <c r="G433" s="9" t="s">
        <v>82</v>
      </c>
      <c r="H433" s="9" t="s">
        <v>65</v>
      </c>
      <c r="I433">
        <v>0</v>
      </c>
      <c r="J433">
        <v>3</v>
      </c>
      <c r="K433">
        <v>3</v>
      </c>
      <c r="L433">
        <v>3</v>
      </c>
      <c r="M433">
        <v>0</v>
      </c>
      <c r="N433">
        <v>88</v>
      </c>
      <c r="O433">
        <v>88</v>
      </c>
      <c r="P433">
        <v>0</v>
      </c>
      <c r="Q433">
        <v>0</v>
      </c>
      <c r="R433">
        <v>1</v>
      </c>
      <c r="S433">
        <v>1</v>
      </c>
      <c r="T433">
        <v>0</v>
      </c>
      <c r="U433">
        <v>0</v>
      </c>
      <c r="V433">
        <v>1</v>
      </c>
      <c r="W433" s="9" t="s">
        <v>51</v>
      </c>
      <c r="X433">
        <v>0</v>
      </c>
      <c r="Y433">
        <v>88</v>
      </c>
    </row>
    <row r="434" spans="1:25" x14ac:dyDescent="0.35">
      <c r="A434" s="9" t="s">
        <v>941</v>
      </c>
      <c r="B434" s="9" t="s">
        <v>942</v>
      </c>
      <c r="C434" s="9" t="s">
        <v>68</v>
      </c>
      <c r="D434" s="9" t="s">
        <v>46</v>
      </c>
      <c r="E434" s="9" t="s">
        <v>93</v>
      </c>
      <c r="F434" s="9" t="s">
        <v>94</v>
      </c>
      <c r="G434" s="9" t="s">
        <v>82</v>
      </c>
      <c r="H434" s="9" t="s">
        <v>65</v>
      </c>
      <c r="I434">
        <v>0</v>
      </c>
      <c r="J434">
        <v>2</v>
      </c>
      <c r="K434">
        <v>2</v>
      </c>
      <c r="L434">
        <v>2</v>
      </c>
      <c r="M434">
        <v>0</v>
      </c>
      <c r="N434">
        <v>88</v>
      </c>
      <c r="O434">
        <v>88</v>
      </c>
      <c r="P434">
        <v>0</v>
      </c>
      <c r="Q434">
        <v>0</v>
      </c>
      <c r="R434">
        <v>1</v>
      </c>
      <c r="S434">
        <v>1</v>
      </c>
      <c r="T434">
        <v>0</v>
      </c>
      <c r="U434">
        <v>0</v>
      </c>
      <c r="V434">
        <v>1</v>
      </c>
      <c r="W434" s="9" t="s">
        <v>51</v>
      </c>
      <c r="X434">
        <v>0</v>
      </c>
      <c r="Y434">
        <v>88</v>
      </c>
    </row>
    <row r="435" spans="1:25" x14ac:dyDescent="0.35">
      <c r="A435" s="9" t="s">
        <v>943</v>
      </c>
      <c r="B435" s="9" t="s">
        <v>944</v>
      </c>
      <c r="C435" s="9" t="s">
        <v>134</v>
      </c>
      <c r="D435" s="9" t="s">
        <v>46</v>
      </c>
      <c r="E435" s="9" t="s">
        <v>69</v>
      </c>
      <c r="F435" s="9" t="s">
        <v>70</v>
      </c>
      <c r="G435" s="9" t="s">
        <v>49</v>
      </c>
      <c r="H435" s="9" t="s">
        <v>135</v>
      </c>
      <c r="I435">
        <v>1</v>
      </c>
      <c r="J435">
        <v>3</v>
      </c>
      <c r="K435">
        <v>3</v>
      </c>
      <c r="L435">
        <v>2</v>
      </c>
      <c r="M435">
        <v>1</v>
      </c>
      <c r="N435">
        <v>88</v>
      </c>
      <c r="O435">
        <v>88</v>
      </c>
      <c r="P435">
        <v>0</v>
      </c>
      <c r="Q435">
        <v>0</v>
      </c>
      <c r="R435">
        <v>1</v>
      </c>
      <c r="S435">
        <v>1</v>
      </c>
      <c r="T435">
        <v>0</v>
      </c>
      <c r="U435">
        <v>0</v>
      </c>
      <c r="V435">
        <v>1</v>
      </c>
      <c r="W435" s="9" t="s">
        <v>51</v>
      </c>
      <c r="X435">
        <v>0</v>
      </c>
      <c r="Y435">
        <v>88</v>
      </c>
    </row>
    <row r="436" spans="1:25" x14ac:dyDescent="0.35">
      <c r="A436" s="9" t="s">
        <v>945</v>
      </c>
      <c r="B436" s="9" t="s">
        <v>946</v>
      </c>
      <c r="C436" s="9" t="s">
        <v>68</v>
      </c>
      <c r="D436" s="9" t="s">
        <v>55</v>
      </c>
      <c r="E436" s="9" t="s">
        <v>69</v>
      </c>
      <c r="F436" s="9" t="s">
        <v>70</v>
      </c>
      <c r="G436" s="9" t="s">
        <v>49</v>
      </c>
      <c r="H436" s="9" t="s">
        <v>65</v>
      </c>
      <c r="I436">
        <v>0</v>
      </c>
      <c r="J436">
        <v>2</v>
      </c>
      <c r="K436">
        <v>2</v>
      </c>
      <c r="L436">
        <v>2</v>
      </c>
      <c r="M436">
        <v>0</v>
      </c>
      <c r="N436">
        <v>88</v>
      </c>
      <c r="O436">
        <v>32</v>
      </c>
      <c r="P436">
        <v>1</v>
      </c>
      <c r="Q436">
        <v>0</v>
      </c>
      <c r="R436">
        <v>1</v>
      </c>
      <c r="S436">
        <v>1</v>
      </c>
      <c r="T436">
        <v>1</v>
      </c>
      <c r="U436">
        <v>0</v>
      </c>
      <c r="V436">
        <v>0</v>
      </c>
      <c r="W436" s="9" t="s">
        <v>95</v>
      </c>
      <c r="X436">
        <v>4</v>
      </c>
      <c r="Y436">
        <v>88</v>
      </c>
    </row>
    <row r="437" spans="1:25" x14ac:dyDescent="0.35">
      <c r="A437" s="9" t="s">
        <v>947</v>
      </c>
      <c r="B437" s="9" t="s">
        <v>948</v>
      </c>
      <c r="C437" s="9" t="s">
        <v>61</v>
      </c>
      <c r="D437" s="9" t="s">
        <v>62</v>
      </c>
      <c r="E437" s="9" t="s">
        <v>56</v>
      </c>
      <c r="F437" s="9" t="s">
        <v>57</v>
      </c>
      <c r="G437" s="9" t="s">
        <v>54</v>
      </c>
      <c r="H437" s="9" t="s">
        <v>65</v>
      </c>
      <c r="I437">
        <v>0</v>
      </c>
      <c r="J437">
        <v>2</v>
      </c>
      <c r="K437">
        <v>2</v>
      </c>
      <c r="L437">
        <v>2</v>
      </c>
      <c r="M437">
        <v>0</v>
      </c>
      <c r="N437">
        <v>88</v>
      </c>
      <c r="O437">
        <v>34</v>
      </c>
      <c r="P437">
        <v>1</v>
      </c>
      <c r="Q437">
        <v>0</v>
      </c>
      <c r="R437">
        <v>1</v>
      </c>
      <c r="S437">
        <v>1</v>
      </c>
      <c r="T437">
        <v>1</v>
      </c>
      <c r="U437">
        <v>0</v>
      </c>
      <c r="V437">
        <v>0</v>
      </c>
      <c r="W437" s="9" t="s">
        <v>95</v>
      </c>
      <c r="X437">
        <v>28</v>
      </c>
      <c r="Y437">
        <v>88</v>
      </c>
    </row>
    <row r="438" spans="1:25" x14ac:dyDescent="0.35">
      <c r="A438" s="9" t="s">
        <v>949</v>
      </c>
      <c r="B438" s="9" t="s">
        <v>950</v>
      </c>
      <c r="C438" s="9" t="s">
        <v>45</v>
      </c>
      <c r="D438" s="9" t="s">
        <v>46</v>
      </c>
      <c r="E438" s="9" t="s">
        <v>47</v>
      </c>
      <c r="F438" s="9" t="s">
        <v>48</v>
      </c>
      <c r="G438" s="9" t="s">
        <v>49</v>
      </c>
      <c r="H438" s="9" t="s">
        <v>50</v>
      </c>
      <c r="I438">
        <v>0</v>
      </c>
      <c r="J438">
        <v>4</v>
      </c>
      <c r="K438">
        <v>4</v>
      </c>
      <c r="L438">
        <v>4</v>
      </c>
      <c r="M438">
        <v>0</v>
      </c>
      <c r="N438">
        <v>88</v>
      </c>
      <c r="O438">
        <v>88</v>
      </c>
      <c r="P438">
        <v>1</v>
      </c>
      <c r="Q438">
        <v>0</v>
      </c>
      <c r="R438">
        <v>1</v>
      </c>
      <c r="S438">
        <v>1</v>
      </c>
      <c r="T438">
        <v>0</v>
      </c>
      <c r="U438">
        <v>0</v>
      </c>
      <c r="V438">
        <v>1</v>
      </c>
      <c r="W438" s="9" t="s">
        <v>51</v>
      </c>
      <c r="X438">
        <v>0</v>
      </c>
      <c r="Y438">
        <v>88</v>
      </c>
    </row>
    <row r="439" spans="1:25" x14ac:dyDescent="0.35">
      <c r="A439" s="9" t="s">
        <v>951</v>
      </c>
      <c r="B439" s="9" t="s">
        <v>952</v>
      </c>
      <c r="C439" s="9" t="s">
        <v>45</v>
      </c>
      <c r="D439" s="9" t="s">
        <v>46</v>
      </c>
      <c r="E439" s="9" t="s">
        <v>47</v>
      </c>
      <c r="F439" s="9" t="s">
        <v>48</v>
      </c>
      <c r="G439" s="9" t="s">
        <v>49</v>
      </c>
      <c r="H439" s="9" t="s">
        <v>50</v>
      </c>
      <c r="I439">
        <v>0</v>
      </c>
      <c r="J439">
        <v>1</v>
      </c>
      <c r="K439">
        <v>1</v>
      </c>
      <c r="L439">
        <v>1</v>
      </c>
      <c r="M439">
        <v>0</v>
      </c>
      <c r="N439">
        <v>88</v>
      </c>
      <c r="O439">
        <v>88</v>
      </c>
      <c r="P439">
        <v>0</v>
      </c>
      <c r="Q439">
        <v>0</v>
      </c>
      <c r="R439">
        <v>1</v>
      </c>
      <c r="S439">
        <v>1</v>
      </c>
      <c r="T439">
        <v>0</v>
      </c>
      <c r="U439">
        <v>0</v>
      </c>
      <c r="V439">
        <v>1</v>
      </c>
      <c r="W439" s="9" t="s">
        <v>51</v>
      </c>
      <c r="X439">
        <v>0</v>
      </c>
      <c r="Y439">
        <v>88</v>
      </c>
    </row>
    <row r="440" spans="1:25" x14ac:dyDescent="0.35">
      <c r="A440" s="9" t="s">
        <v>953</v>
      </c>
      <c r="B440" s="9" t="s">
        <v>954</v>
      </c>
      <c r="C440" s="9" t="s">
        <v>134</v>
      </c>
      <c r="D440" s="9" t="s">
        <v>46</v>
      </c>
      <c r="E440" s="9" t="s">
        <v>69</v>
      </c>
      <c r="F440" s="9" t="s">
        <v>70</v>
      </c>
      <c r="G440" s="9" t="s">
        <v>49</v>
      </c>
      <c r="H440" s="9" t="s">
        <v>135</v>
      </c>
      <c r="I440">
        <v>1</v>
      </c>
      <c r="J440">
        <v>1</v>
      </c>
      <c r="K440">
        <v>1</v>
      </c>
      <c r="L440">
        <v>1</v>
      </c>
      <c r="M440">
        <v>0</v>
      </c>
      <c r="N440">
        <v>88</v>
      </c>
      <c r="P440">
        <v>1</v>
      </c>
      <c r="Q440">
        <v>0</v>
      </c>
      <c r="R440">
        <v>1</v>
      </c>
      <c r="S440">
        <v>0</v>
      </c>
      <c r="T440">
        <v>0</v>
      </c>
      <c r="U440">
        <v>0</v>
      </c>
      <c r="V440">
        <v>0</v>
      </c>
      <c r="W440" s="9" t="s">
        <v>58</v>
      </c>
      <c r="X440">
        <v>0</v>
      </c>
      <c r="Y440">
        <v>88</v>
      </c>
    </row>
    <row r="441" spans="1:25" x14ac:dyDescent="0.35">
      <c r="A441" s="9" t="s">
        <v>955</v>
      </c>
      <c r="B441" s="9" t="s">
        <v>956</v>
      </c>
      <c r="C441" s="9" t="s">
        <v>68</v>
      </c>
      <c r="D441" s="9" t="s">
        <v>46</v>
      </c>
      <c r="E441" s="9" t="s">
        <v>63</v>
      </c>
      <c r="F441" s="9" t="s">
        <v>64</v>
      </c>
      <c r="G441" s="9" t="s">
        <v>49</v>
      </c>
      <c r="H441" s="9" t="s">
        <v>65</v>
      </c>
      <c r="I441">
        <v>0</v>
      </c>
      <c r="J441">
        <v>3</v>
      </c>
      <c r="K441">
        <v>3</v>
      </c>
      <c r="L441">
        <v>3</v>
      </c>
      <c r="M441">
        <v>0</v>
      </c>
      <c r="N441">
        <v>88</v>
      </c>
      <c r="O441">
        <v>88</v>
      </c>
      <c r="P441">
        <v>2</v>
      </c>
      <c r="Q441">
        <v>0</v>
      </c>
      <c r="R441">
        <v>1</v>
      </c>
      <c r="S441">
        <v>1</v>
      </c>
      <c r="T441">
        <v>0</v>
      </c>
      <c r="U441">
        <v>0</v>
      </c>
      <c r="V441">
        <v>1</v>
      </c>
      <c r="W441" s="9" t="s">
        <v>51</v>
      </c>
      <c r="X441">
        <v>0</v>
      </c>
      <c r="Y441">
        <v>88</v>
      </c>
    </row>
    <row r="442" spans="1:25" x14ac:dyDescent="0.35">
      <c r="A442" s="9" t="s">
        <v>957</v>
      </c>
      <c r="B442" s="9" t="s">
        <v>958</v>
      </c>
      <c r="C442" s="9" t="s">
        <v>68</v>
      </c>
      <c r="D442" s="9" t="s">
        <v>46</v>
      </c>
      <c r="E442" s="9" t="s">
        <v>69</v>
      </c>
      <c r="F442" s="9" t="s">
        <v>70</v>
      </c>
      <c r="G442" s="9" t="s">
        <v>49</v>
      </c>
      <c r="H442" s="9" t="s">
        <v>65</v>
      </c>
      <c r="I442">
        <v>0</v>
      </c>
      <c r="J442">
        <v>2</v>
      </c>
      <c r="K442">
        <v>2</v>
      </c>
      <c r="L442">
        <v>2</v>
      </c>
      <c r="M442">
        <v>0</v>
      </c>
      <c r="N442">
        <v>88</v>
      </c>
      <c r="P442">
        <v>2</v>
      </c>
      <c r="Q442">
        <v>0</v>
      </c>
      <c r="R442">
        <v>1</v>
      </c>
      <c r="S442">
        <v>0</v>
      </c>
      <c r="T442">
        <v>0</v>
      </c>
      <c r="U442">
        <v>0</v>
      </c>
      <c r="V442">
        <v>0</v>
      </c>
      <c r="W442" s="9" t="s">
        <v>58</v>
      </c>
      <c r="X442">
        <v>0</v>
      </c>
      <c r="Y442">
        <v>88</v>
      </c>
    </row>
    <row r="443" spans="1:25" x14ac:dyDescent="0.35">
      <c r="A443" s="9" t="s">
        <v>959</v>
      </c>
      <c r="B443" s="9" t="s">
        <v>960</v>
      </c>
      <c r="C443" s="9" t="s">
        <v>45</v>
      </c>
      <c r="D443" s="9" t="s">
        <v>46</v>
      </c>
      <c r="E443" s="9" t="s">
        <v>63</v>
      </c>
      <c r="F443" s="9" t="s">
        <v>64</v>
      </c>
      <c r="G443" s="9" t="s">
        <v>49</v>
      </c>
      <c r="H443" s="9" t="s">
        <v>50</v>
      </c>
      <c r="I443">
        <v>0</v>
      </c>
      <c r="J443">
        <v>2</v>
      </c>
      <c r="K443">
        <v>2</v>
      </c>
      <c r="L443">
        <v>2</v>
      </c>
      <c r="M443">
        <v>0</v>
      </c>
      <c r="N443">
        <v>88</v>
      </c>
      <c r="O443">
        <v>88</v>
      </c>
      <c r="P443">
        <v>1</v>
      </c>
      <c r="Q443">
        <v>0</v>
      </c>
      <c r="R443">
        <v>1</v>
      </c>
      <c r="S443">
        <v>1</v>
      </c>
      <c r="T443">
        <v>0</v>
      </c>
      <c r="U443">
        <v>0</v>
      </c>
      <c r="V443">
        <v>1</v>
      </c>
      <c r="W443" s="9" t="s">
        <v>51</v>
      </c>
      <c r="X443">
        <v>0</v>
      </c>
      <c r="Y443">
        <v>88</v>
      </c>
    </row>
    <row r="444" spans="1:25" x14ac:dyDescent="0.35">
      <c r="A444" s="9" t="s">
        <v>961</v>
      </c>
      <c r="B444" s="9" t="s">
        <v>962</v>
      </c>
      <c r="C444" s="9" t="s">
        <v>68</v>
      </c>
      <c r="D444" s="9" t="s">
        <v>55</v>
      </c>
      <c r="E444" s="9" t="s">
        <v>69</v>
      </c>
      <c r="F444" s="9" t="s">
        <v>70</v>
      </c>
      <c r="G444" s="9" t="s">
        <v>49</v>
      </c>
      <c r="H444" s="9" t="s">
        <v>65</v>
      </c>
      <c r="I444">
        <v>0</v>
      </c>
      <c r="J444">
        <v>4</v>
      </c>
      <c r="K444">
        <v>4</v>
      </c>
      <c r="L444">
        <v>4</v>
      </c>
      <c r="M444">
        <v>0</v>
      </c>
      <c r="N444">
        <v>88</v>
      </c>
      <c r="O444">
        <v>88</v>
      </c>
      <c r="P444">
        <v>2</v>
      </c>
      <c r="Q444">
        <v>0</v>
      </c>
      <c r="R444">
        <v>1</v>
      </c>
      <c r="S444">
        <v>1</v>
      </c>
      <c r="T444">
        <v>0</v>
      </c>
      <c r="U444">
        <v>0</v>
      </c>
      <c r="V444">
        <v>1</v>
      </c>
      <c r="W444" s="9" t="s">
        <v>51</v>
      </c>
      <c r="X444">
        <v>0</v>
      </c>
      <c r="Y444">
        <v>88</v>
      </c>
    </row>
    <row r="445" spans="1:25" x14ac:dyDescent="0.35">
      <c r="A445" s="9" t="s">
        <v>963</v>
      </c>
      <c r="B445" s="9" t="s">
        <v>964</v>
      </c>
      <c r="C445" s="9" t="s">
        <v>45</v>
      </c>
      <c r="D445" s="9" t="s">
        <v>62</v>
      </c>
      <c r="E445" s="9" t="s">
        <v>47</v>
      </c>
      <c r="F445" s="9" t="s">
        <v>48</v>
      </c>
      <c r="G445" s="9" t="s">
        <v>49</v>
      </c>
      <c r="H445" s="9" t="s">
        <v>50</v>
      </c>
      <c r="I445">
        <v>0</v>
      </c>
      <c r="J445">
        <v>1</v>
      </c>
      <c r="K445">
        <v>1</v>
      </c>
      <c r="L445">
        <v>1</v>
      </c>
      <c r="M445">
        <v>0</v>
      </c>
      <c r="N445">
        <v>65</v>
      </c>
      <c r="P445">
        <v>1</v>
      </c>
      <c r="Q445">
        <v>0</v>
      </c>
      <c r="R445">
        <v>1</v>
      </c>
      <c r="S445">
        <v>0</v>
      </c>
      <c r="T445">
        <v>0</v>
      </c>
      <c r="U445">
        <v>0</v>
      </c>
      <c r="V445">
        <v>0</v>
      </c>
      <c r="W445" s="9" t="s">
        <v>58</v>
      </c>
      <c r="X445">
        <v>0</v>
      </c>
      <c r="Y445">
        <v>88</v>
      </c>
    </row>
    <row r="446" spans="1:25" x14ac:dyDescent="0.35">
      <c r="A446" s="9" t="s">
        <v>965</v>
      </c>
      <c r="B446" s="9" t="s">
        <v>966</v>
      </c>
      <c r="C446" s="9" t="s">
        <v>54</v>
      </c>
      <c r="D446" s="9" t="s">
        <v>55</v>
      </c>
      <c r="E446" s="9" t="s">
        <v>112</v>
      </c>
      <c r="F446" s="9" t="s">
        <v>113</v>
      </c>
      <c r="G446" s="9" t="s">
        <v>54</v>
      </c>
      <c r="H446" s="9" t="s">
        <v>50</v>
      </c>
      <c r="I446">
        <v>1</v>
      </c>
      <c r="J446">
        <v>4</v>
      </c>
      <c r="K446">
        <v>4</v>
      </c>
      <c r="L446">
        <v>2</v>
      </c>
      <c r="M446">
        <v>0</v>
      </c>
      <c r="N446">
        <v>88</v>
      </c>
      <c r="O446">
        <v>88</v>
      </c>
      <c r="P446">
        <v>1</v>
      </c>
      <c r="Q446">
        <v>0</v>
      </c>
      <c r="R446">
        <v>1</v>
      </c>
      <c r="S446">
        <v>1</v>
      </c>
      <c r="T446">
        <v>0</v>
      </c>
      <c r="U446">
        <v>0</v>
      </c>
      <c r="V446">
        <v>1</v>
      </c>
      <c r="W446" s="9" t="s">
        <v>51</v>
      </c>
      <c r="X446">
        <v>0</v>
      </c>
      <c r="Y446">
        <v>88</v>
      </c>
    </row>
    <row r="447" spans="1:25" x14ac:dyDescent="0.35">
      <c r="A447" s="9" t="s">
        <v>967</v>
      </c>
      <c r="B447" s="9" t="s">
        <v>968</v>
      </c>
      <c r="C447" s="9" t="s">
        <v>134</v>
      </c>
      <c r="D447" s="9" t="s">
        <v>46</v>
      </c>
      <c r="E447" s="9" t="s">
        <v>69</v>
      </c>
      <c r="F447" s="9" t="s">
        <v>70</v>
      </c>
      <c r="G447" s="9" t="s">
        <v>49</v>
      </c>
      <c r="H447" s="9" t="s">
        <v>135</v>
      </c>
      <c r="I447">
        <v>1</v>
      </c>
      <c r="J447">
        <v>1</v>
      </c>
      <c r="K447">
        <v>1</v>
      </c>
      <c r="L447">
        <v>1</v>
      </c>
      <c r="M447">
        <v>0</v>
      </c>
      <c r="N447">
        <v>88</v>
      </c>
      <c r="P447">
        <v>1</v>
      </c>
      <c r="Q447">
        <v>0</v>
      </c>
      <c r="R447">
        <v>1</v>
      </c>
      <c r="S447">
        <v>0</v>
      </c>
      <c r="T447">
        <v>0</v>
      </c>
      <c r="U447">
        <v>0</v>
      </c>
      <c r="V447">
        <v>0</v>
      </c>
      <c r="W447" s="9" t="s">
        <v>58</v>
      </c>
      <c r="X447">
        <v>0</v>
      </c>
      <c r="Y447">
        <v>88</v>
      </c>
    </row>
    <row r="448" spans="1:25" x14ac:dyDescent="0.35">
      <c r="A448" s="9" t="s">
        <v>969</v>
      </c>
      <c r="B448" s="9" t="s">
        <v>970</v>
      </c>
      <c r="C448" s="9" t="s">
        <v>68</v>
      </c>
      <c r="D448" s="9" t="s">
        <v>46</v>
      </c>
      <c r="E448" s="9" t="s">
        <v>63</v>
      </c>
      <c r="F448" s="9" t="s">
        <v>64</v>
      </c>
      <c r="G448" s="9" t="s">
        <v>49</v>
      </c>
      <c r="H448" s="9" t="s">
        <v>65</v>
      </c>
      <c r="I448">
        <v>0</v>
      </c>
      <c r="J448">
        <v>1</v>
      </c>
      <c r="K448">
        <v>1</v>
      </c>
      <c r="L448">
        <v>1</v>
      </c>
      <c r="M448">
        <v>0</v>
      </c>
      <c r="N448">
        <v>88</v>
      </c>
      <c r="O448">
        <v>88</v>
      </c>
      <c r="P448">
        <v>0</v>
      </c>
      <c r="Q448">
        <v>0</v>
      </c>
      <c r="R448">
        <v>1</v>
      </c>
      <c r="S448">
        <v>1</v>
      </c>
      <c r="T448">
        <v>0</v>
      </c>
      <c r="U448">
        <v>0</v>
      </c>
      <c r="V448">
        <v>1</v>
      </c>
      <c r="W448" s="9" t="s">
        <v>51</v>
      </c>
      <c r="X448">
        <v>0</v>
      </c>
      <c r="Y448">
        <v>88</v>
      </c>
    </row>
    <row r="449" spans="1:25" x14ac:dyDescent="0.35">
      <c r="A449" s="9" t="s">
        <v>971</v>
      </c>
      <c r="B449" s="9" t="s">
        <v>972</v>
      </c>
      <c r="C449" s="9" t="s">
        <v>68</v>
      </c>
      <c r="D449" s="9" t="s">
        <v>55</v>
      </c>
      <c r="E449" s="9" t="s">
        <v>56</v>
      </c>
      <c r="F449" s="9" t="s">
        <v>57</v>
      </c>
      <c r="G449" s="9" t="s">
        <v>54</v>
      </c>
      <c r="H449" s="9" t="s">
        <v>65</v>
      </c>
      <c r="I449">
        <v>0</v>
      </c>
      <c r="J449">
        <v>3</v>
      </c>
      <c r="K449">
        <v>3</v>
      </c>
      <c r="L449">
        <v>3</v>
      </c>
      <c r="M449">
        <v>0</v>
      </c>
      <c r="N449">
        <v>88</v>
      </c>
      <c r="O449">
        <v>88</v>
      </c>
      <c r="P449">
        <v>1</v>
      </c>
      <c r="Q449">
        <v>0</v>
      </c>
      <c r="R449">
        <v>1</v>
      </c>
      <c r="S449">
        <v>1</v>
      </c>
      <c r="T449">
        <v>0</v>
      </c>
      <c r="U449">
        <v>0</v>
      </c>
      <c r="V449">
        <v>1</v>
      </c>
      <c r="W449" s="9" t="s">
        <v>51</v>
      </c>
      <c r="X449">
        <v>0</v>
      </c>
      <c r="Y449">
        <v>88</v>
      </c>
    </row>
    <row r="450" spans="1:25" x14ac:dyDescent="0.35">
      <c r="A450" s="9" t="s">
        <v>973</v>
      </c>
      <c r="B450" s="9" t="s">
        <v>974</v>
      </c>
      <c r="C450" s="9" t="s">
        <v>134</v>
      </c>
      <c r="D450" s="9" t="s">
        <v>46</v>
      </c>
      <c r="E450" s="9" t="s">
        <v>112</v>
      </c>
      <c r="F450" s="9" t="s">
        <v>113</v>
      </c>
      <c r="G450" s="9" t="s">
        <v>54</v>
      </c>
      <c r="H450" s="9" t="s">
        <v>135</v>
      </c>
      <c r="I450">
        <v>1</v>
      </c>
      <c r="J450">
        <v>4</v>
      </c>
      <c r="K450">
        <v>4</v>
      </c>
      <c r="L450">
        <v>4</v>
      </c>
      <c r="M450">
        <v>0</v>
      </c>
      <c r="N450">
        <v>88</v>
      </c>
      <c r="O450">
        <v>34</v>
      </c>
      <c r="P450">
        <v>3</v>
      </c>
      <c r="Q450">
        <v>1</v>
      </c>
      <c r="R450">
        <v>1</v>
      </c>
      <c r="S450">
        <v>1</v>
      </c>
      <c r="T450">
        <v>1</v>
      </c>
      <c r="U450">
        <v>0</v>
      </c>
      <c r="V450">
        <v>0</v>
      </c>
      <c r="W450" s="9" t="s">
        <v>95</v>
      </c>
      <c r="X450">
        <v>31</v>
      </c>
      <c r="Y450">
        <v>88</v>
      </c>
    </row>
    <row r="451" spans="1:25" x14ac:dyDescent="0.35">
      <c r="A451" s="9" t="s">
        <v>975</v>
      </c>
      <c r="B451" s="9" t="s">
        <v>976</v>
      </c>
      <c r="C451" s="9" t="s">
        <v>68</v>
      </c>
      <c r="D451" s="9" t="s">
        <v>46</v>
      </c>
      <c r="E451" s="9" t="s">
        <v>80</v>
      </c>
      <c r="F451" s="9" t="s">
        <v>81</v>
      </c>
      <c r="G451" s="9" t="s">
        <v>82</v>
      </c>
      <c r="H451" s="9" t="s">
        <v>65</v>
      </c>
      <c r="I451">
        <v>0</v>
      </c>
      <c r="J451">
        <v>4</v>
      </c>
      <c r="K451">
        <v>4</v>
      </c>
      <c r="L451">
        <v>4</v>
      </c>
      <c r="M451">
        <v>0</v>
      </c>
      <c r="N451">
        <v>88</v>
      </c>
      <c r="O451">
        <v>88</v>
      </c>
      <c r="P451">
        <v>1</v>
      </c>
      <c r="Q451">
        <v>0</v>
      </c>
      <c r="R451">
        <v>1</v>
      </c>
      <c r="S451">
        <v>1</v>
      </c>
      <c r="T451">
        <v>0</v>
      </c>
      <c r="U451">
        <v>0</v>
      </c>
      <c r="V451">
        <v>1</v>
      </c>
      <c r="W451" s="9" t="s">
        <v>51</v>
      </c>
      <c r="X451">
        <v>0</v>
      </c>
      <c r="Y451">
        <v>88</v>
      </c>
    </row>
    <row r="452" spans="1:25" x14ac:dyDescent="0.35">
      <c r="A452" s="9" t="s">
        <v>977</v>
      </c>
      <c r="B452" s="9" t="s">
        <v>978</v>
      </c>
      <c r="C452" s="9" t="s">
        <v>54</v>
      </c>
      <c r="D452" s="9" t="s">
        <v>46</v>
      </c>
      <c r="E452" s="9" t="s">
        <v>56</v>
      </c>
      <c r="F452" s="9" t="s">
        <v>57</v>
      </c>
      <c r="G452" s="9" t="s">
        <v>54</v>
      </c>
      <c r="H452" s="9" t="s">
        <v>50</v>
      </c>
      <c r="I452">
        <v>1</v>
      </c>
      <c r="J452">
        <v>1</v>
      </c>
      <c r="K452">
        <v>1</v>
      </c>
      <c r="L452">
        <v>1</v>
      </c>
      <c r="M452">
        <v>0</v>
      </c>
      <c r="N452">
        <v>30</v>
      </c>
      <c r="P452">
        <v>1</v>
      </c>
      <c r="Q452">
        <v>0</v>
      </c>
      <c r="R452">
        <v>1</v>
      </c>
      <c r="S452">
        <v>0</v>
      </c>
      <c r="T452">
        <v>0</v>
      </c>
      <c r="U452">
        <v>0</v>
      </c>
      <c r="V452">
        <v>0</v>
      </c>
      <c r="W452" s="9" t="s">
        <v>58</v>
      </c>
      <c r="X452">
        <v>0</v>
      </c>
      <c r="Y452">
        <v>88</v>
      </c>
    </row>
    <row r="453" spans="1:25" x14ac:dyDescent="0.35">
      <c r="A453" s="9" t="s">
        <v>979</v>
      </c>
      <c r="B453" s="9" t="s">
        <v>980</v>
      </c>
      <c r="C453" s="9" t="s">
        <v>61</v>
      </c>
      <c r="D453" s="9" t="s">
        <v>62</v>
      </c>
      <c r="E453" s="9" t="s">
        <v>69</v>
      </c>
      <c r="F453" s="9" t="s">
        <v>70</v>
      </c>
      <c r="G453" s="9" t="s">
        <v>49</v>
      </c>
      <c r="H453" s="9" t="s">
        <v>65</v>
      </c>
      <c r="I453">
        <v>0</v>
      </c>
      <c r="J453">
        <v>4</v>
      </c>
      <c r="K453">
        <v>4</v>
      </c>
      <c r="L453">
        <v>4</v>
      </c>
      <c r="M453">
        <v>0</v>
      </c>
      <c r="N453">
        <v>88</v>
      </c>
      <c r="O453">
        <v>88</v>
      </c>
      <c r="P453">
        <v>0</v>
      </c>
      <c r="Q453">
        <v>0</v>
      </c>
      <c r="R453">
        <v>1</v>
      </c>
      <c r="S453">
        <v>1</v>
      </c>
      <c r="T453">
        <v>0</v>
      </c>
      <c r="U453">
        <v>0</v>
      </c>
      <c r="V453">
        <v>1</v>
      </c>
      <c r="W453" s="9" t="s">
        <v>51</v>
      </c>
      <c r="X453">
        <v>0</v>
      </c>
      <c r="Y453">
        <v>88</v>
      </c>
    </row>
    <row r="454" spans="1:25" x14ac:dyDescent="0.35">
      <c r="A454" s="9" t="s">
        <v>981</v>
      </c>
      <c r="B454" s="9" t="s">
        <v>982</v>
      </c>
      <c r="C454" s="9" t="s">
        <v>68</v>
      </c>
      <c r="D454" s="9" t="s">
        <v>46</v>
      </c>
      <c r="E454" s="9" t="s">
        <v>47</v>
      </c>
      <c r="F454" s="9" t="s">
        <v>48</v>
      </c>
      <c r="G454" s="9" t="s">
        <v>49</v>
      </c>
      <c r="H454" s="9" t="s">
        <v>65</v>
      </c>
      <c r="I454">
        <v>0</v>
      </c>
      <c r="J454">
        <v>4</v>
      </c>
      <c r="K454">
        <v>4</v>
      </c>
      <c r="L454">
        <v>4</v>
      </c>
      <c r="M454">
        <v>0</v>
      </c>
      <c r="N454">
        <v>88</v>
      </c>
      <c r="O454">
        <v>88</v>
      </c>
      <c r="P454">
        <v>1</v>
      </c>
      <c r="Q454">
        <v>0</v>
      </c>
      <c r="R454">
        <v>1</v>
      </c>
      <c r="S454">
        <v>1</v>
      </c>
      <c r="T454">
        <v>0</v>
      </c>
      <c r="U454">
        <v>0</v>
      </c>
      <c r="V454">
        <v>1</v>
      </c>
      <c r="W454" s="9" t="s">
        <v>51</v>
      </c>
      <c r="X454">
        <v>0</v>
      </c>
      <c r="Y454">
        <v>88</v>
      </c>
    </row>
    <row r="455" spans="1:25" x14ac:dyDescent="0.35">
      <c r="A455" s="9" t="s">
        <v>983</v>
      </c>
      <c r="B455" s="9" t="s">
        <v>984</v>
      </c>
      <c r="C455" s="9" t="s">
        <v>54</v>
      </c>
      <c r="D455" s="9" t="s">
        <v>46</v>
      </c>
      <c r="E455" s="9" t="s">
        <v>112</v>
      </c>
      <c r="F455" s="9" t="s">
        <v>113</v>
      </c>
      <c r="G455" s="9" t="s">
        <v>54</v>
      </c>
      <c r="H455" s="9" t="s">
        <v>50</v>
      </c>
      <c r="I455">
        <v>1</v>
      </c>
      <c r="J455">
        <v>3</v>
      </c>
      <c r="K455">
        <v>3</v>
      </c>
      <c r="L455">
        <v>3</v>
      </c>
      <c r="M455">
        <v>0</v>
      </c>
      <c r="N455">
        <v>88</v>
      </c>
      <c r="O455">
        <v>32</v>
      </c>
      <c r="P455">
        <v>2</v>
      </c>
      <c r="Q455">
        <v>0</v>
      </c>
      <c r="R455">
        <v>1</v>
      </c>
      <c r="S455">
        <v>1</v>
      </c>
      <c r="T455">
        <v>1</v>
      </c>
      <c r="U455">
        <v>0</v>
      </c>
      <c r="V455">
        <v>0</v>
      </c>
      <c r="W455" s="9" t="s">
        <v>95</v>
      </c>
      <c r="X455">
        <v>33</v>
      </c>
      <c r="Y455">
        <v>88</v>
      </c>
    </row>
    <row r="456" spans="1:25" x14ac:dyDescent="0.35">
      <c r="A456" s="9" t="s">
        <v>985</v>
      </c>
      <c r="B456" s="9" t="s">
        <v>986</v>
      </c>
      <c r="C456" s="9" t="s">
        <v>68</v>
      </c>
      <c r="D456" s="9" t="s">
        <v>46</v>
      </c>
      <c r="E456" s="9" t="s">
        <v>56</v>
      </c>
      <c r="F456" s="9" t="s">
        <v>57</v>
      </c>
      <c r="G456" s="9" t="s">
        <v>54</v>
      </c>
      <c r="H456" s="9" t="s">
        <v>65</v>
      </c>
      <c r="I456">
        <v>0</v>
      </c>
      <c r="J456">
        <v>1</v>
      </c>
      <c r="K456">
        <v>1</v>
      </c>
      <c r="L456">
        <v>1</v>
      </c>
      <c r="M456">
        <v>0</v>
      </c>
      <c r="N456">
        <v>59</v>
      </c>
      <c r="P456">
        <v>1</v>
      </c>
      <c r="Q456">
        <v>0</v>
      </c>
      <c r="R456">
        <v>1</v>
      </c>
      <c r="S456">
        <v>0</v>
      </c>
      <c r="T456">
        <v>0</v>
      </c>
      <c r="U456">
        <v>0</v>
      </c>
      <c r="V456">
        <v>0</v>
      </c>
      <c r="W456" s="9" t="s">
        <v>58</v>
      </c>
      <c r="X456">
        <v>0</v>
      </c>
      <c r="Y456">
        <v>88</v>
      </c>
    </row>
    <row r="457" spans="1:25" x14ac:dyDescent="0.35">
      <c r="A457" s="9" t="s">
        <v>987</v>
      </c>
      <c r="B457" s="9" t="s">
        <v>988</v>
      </c>
      <c r="C457" s="9" t="s">
        <v>61</v>
      </c>
      <c r="D457" s="9" t="s">
        <v>46</v>
      </c>
      <c r="E457" s="9" t="s">
        <v>93</v>
      </c>
      <c r="F457" s="9" t="s">
        <v>94</v>
      </c>
      <c r="G457" s="9" t="s">
        <v>82</v>
      </c>
      <c r="H457" s="9" t="s">
        <v>65</v>
      </c>
      <c r="I457">
        <v>0</v>
      </c>
      <c r="J457">
        <v>4</v>
      </c>
      <c r="K457">
        <v>4</v>
      </c>
      <c r="L457">
        <v>4</v>
      </c>
      <c r="M457">
        <v>0</v>
      </c>
      <c r="N457">
        <v>88</v>
      </c>
      <c r="O457">
        <v>88</v>
      </c>
      <c r="P457">
        <v>3</v>
      </c>
      <c r="Q457">
        <v>0</v>
      </c>
      <c r="R457">
        <v>1</v>
      </c>
      <c r="S457">
        <v>1</v>
      </c>
      <c r="T457">
        <v>0</v>
      </c>
      <c r="U457">
        <v>0</v>
      </c>
      <c r="V457">
        <v>1</v>
      </c>
      <c r="W457" s="9" t="s">
        <v>51</v>
      </c>
      <c r="X457">
        <v>0</v>
      </c>
      <c r="Y457">
        <v>88</v>
      </c>
    </row>
    <row r="458" spans="1:25" x14ac:dyDescent="0.35">
      <c r="A458" s="9" t="s">
        <v>989</v>
      </c>
      <c r="B458" s="9" t="s">
        <v>990</v>
      </c>
      <c r="C458" s="9" t="s">
        <v>45</v>
      </c>
      <c r="D458" s="9" t="s">
        <v>46</v>
      </c>
      <c r="E458" s="9" t="s">
        <v>56</v>
      </c>
      <c r="F458" s="9" t="s">
        <v>57</v>
      </c>
      <c r="G458" s="9" t="s">
        <v>54</v>
      </c>
      <c r="H458" s="9" t="s">
        <v>50</v>
      </c>
      <c r="I458">
        <v>0</v>
      </c>
      <c r="J458">
        <v>1</v>
      </c>
      <c r="K458">
        <v>1</v>
      </c>
      <c r="L458">
        <v>1</v>
      </c>
      <c r="M458">
        <v>0</v>
      </c>
      <c r="N458">
        <v>88</v>
      </c>
      <c r="P458">
        <v>1</v>
      </c>
      <c r="Q458">
        <v>0</v>
      </c>
      <c r="R458">
        <v>1</v>
      </c>
      <c r="S458">
        <v>0</v>
      </c>
      <c r="T458">
        <v>0</v>
      </c>
      <c r="U458">
        <v>0</v>
      </c>
      <c r="V458">
        <v>0</v>
      </c>
      <c r="W458" s="9" t="s">
        <v>58</v>
      </c>
      <c r="X458">
        <v>0</v>
      </c>
      <c r="Y458">
        <v>88</v>
      </c>
    </row>
    <row r="459" spans="1:25" x14ac:dyDescent="0.35">
      <c r="A459" s="9" t="s">
        <v>991</v>
      </c>
      <c r="B459" s="9" t="s">
        <v>992</v>
      </c>
      <c r="C459" s="9" t="s">
        <v>68</v>
      </c>
      <c r="D459" s="9" t="s">
        <v>55</v>
      </c>
      <c r="E459" s="9" t="s">
        <v>69</v>
      </c>
      <c r="F459" s="9" t="s">
        <v>70</v>
      </c>
      <c r="G459" s="9" t="s">
        <v>49</v>
      </c>
      <c r="H459" s="9" t="s">
        <v>65</v>
      </c>
      <c r="I459">
        <v>0</v>
      </c>
      <c r="J459">
        <v>3</v>
      </c>
      <c r="K459">
        <v>3</v>
      </c>
      <c r="L459">
        <v>3</v>
      </c>
      <c r="M459">
        <v>0</v>
      </c>
      <c r="N459">
        <v>88</v>
      </c>
      <c r="O459">
        <v>88</v>
      </c>
      <c r="P459">
        <v>2</v>
      </c>
      <c r="Q459">
        <v>0</v>
      </c>
      <c r="R459">
        <v>1</v>
      </c>
      <c r="S459">
        <v>1</v>
      </c>
      <c r="T459">
        <v>0</v>
      </c>
      <c r="U459">
        <v>0</v>
      </c>
      <c r="V459">
        <v>1</v>
      </c>
      <c r="W459" s="9" t="s">
        <v>51</v>
      </c>
      <c r="X459">
        <v>0</v>
      </c>
      <c r="Y459">
        <v>88</v>
      </c>
    </row>
    <row r="460" spans="1:25" x14ac:dyDescent="0.35">
      <c r="A460" s="9" t="s">
        <v>993</v>
      </c>
      <c r="B460" s="9" t="s">
        <v>994</v>
      </c>
      <c r="C460" s="9" t="s">
        <v>68</v>
      </c>
      <c r="D460" s="9" t="s">
        <v>62</v>
      </c>
      <c r="E460" s="9" t="s">
        <v>80</v>
      </c>
      <c r="F460" s="9" t="s">
        <v>81</v>
      </c>
      <c r="G460" s="9" t="s">
        <v>82</v>
      </c>
      <c r="H460" s="9" t="s">
        <v>65</v>
      </c>
      <c r="I460">
        <v>0</v>
      </c>
      <c r="J460">
        <v>4</v>
      </c>
      <c r="K460">
        <v>4</v>
      </c>
      <c r="L460">
        <v>3</v>
      </c>
      <c r="M460">
        <v>0</v>
      </c>
      <c r="N460">
        <v>88</v>
      </c>
      <c r="O460">
        <v>88</v>
      </c>
      <c r="P460">
        <v>1</v>
      </c>
      <c r="Q460">
        <v>0</v>
      </c>
      <c r="R460">
        <v>1</v>
      </c>
      <c r="S460">
        <v>1</v>
      </c>
      <c r="T460">
        <v>0</v>
      </c>
      <c r="U460">
        <v>0</v>
      </c>
      <c r="V460">
        <v>1</v>
      </c>
      <c r="W460" s="9" t="s">
        <v>51</v>
      </c>
      <c r="X460">
        <v>0</v>
      </c>
      <c r="Y460">
        <v>88</v>
      </c>
    </row>
    <row r="461" spans="1:25" x14ac:dyDescent="0.35">
      <c r="A461" s="9" t="s">
        <v>995</v>
      </c>
      <c r="B461" s="9" t="s">
        <v>996</v>
      </c>
      <c r="C461" s="9" t="s">
        <v>45</v>
      </c>
      <c r="D461" s="9" t="s">
        <v>46</v>
      </c>
      <c r="E461" s="9" t="s">
        <v>112</v>
      </c>
      <c r="F461" s="9" t="s">
        <v>113</v>
      </c>
      <c r="G461" s="9" t="s">
        <v>54</v>
      </c>
      <c r="H461" s="9" t="s">
        <v>50</v>
      </c>
      <c r="I461">
        <v>0</v>
      </c>
      <c r="J461">
        <v>2</v>
      </c>
      <c r="K461">
        <v>2</v>
      </c>
      <c r="L461">
        <v>2</v>
      </c>
      <c r="M461">
        <v>0</v>
      </c>
      <c r="N461">
        <v>64</v>
      </c>
      <c r="O461">
        <v>64</v>
      </c>
      <c r="P461">
        <v>1</v>
      </c>
      <c r="Q461">
        <v>0</v>
      </c>
      <c r="R461">
        <v>1</v>
      </c>
      <c r="S461">
        <v>1</v>
      </c>
      <c r="T461">
        <v>1</v>
      </c>
      <c r="U461">
        <v>0</v>
      </c>
      <c r="V461">
        <v>0</v>
      </c>
      <c r="W461" s="9" t="s">
        <v>95</v>
      </c>
      <c r="X461">
        <v>18</v>
      </c>
      <c r="Y461">
        <v>88</v>
      </c>
    </row>
    <row r="462" spans="1:25" x14ac:dyDescent="0.35">
      <c r="A462" s="9" t="s">
        <v>997</v>
      </c>
      <c r="B462" s="9" t="s">
        <v>998</v>
      </c>
      <c r="C462" s="9" t="s">
        <v>61</v>
      </c>
      <c r="D462" s="9" t="s">
        <v>46</v>
      </c>
      <c r="E462" s="9" t="s">
        <v>47</v>
      </c>
      <c r="F462" s="9" t="s">
        <v>48</v>
      </c>
      <c r="G462" s="9" t="s">
        <v>49</v>
      </c>
      <c r="H462" s="9" t="s">
        <v>65</v>
      </c>
      <c r="I462">
        <v>0</v>
      </c>
      <c r="J462">
        <v>1</v>
      </c>
      <c r="K462">
        <v>1</v>
      </c>
      <c r="L462">
        <v>1</v>
      </c>
      <c r="M462">
        <v>0</v>
      </c>
      <c r="N462">
        <v>88</v>
      </c>
      <c r="O462">
        <v>88</v>
      </c>
      <c r="P462">
        <v>0</v>
      </c>
      <c r="Q462">
        <v>0</v>
      </c>
      <c r="R462">
        <v>1</v>
      </c>
      <c r="S462">
        <v>1</v>
      </c>
      <c r="T462">
        <v>0</v>
      </c>
      <c r="U462">
        <v>0</v>
      </c>
      <c r="V462">
        <v>1</v>
      </c>
      <c r="W462" s="9" t="s">
        <v>51</v>
      </c>
      <c r="X462">
        <v>0</v>
      </c>
      <c r="Y462">
        <v>88</v>
      </c>
    </row>
    <row r="463" spans="1:25" x14ac:dyDescent="0.35">
      <c r="A463" s="9" t="s">
        <v>999</v>
      </c>
      <c r="B463" s="9" t="s">
        <v>1000</v>
      </c>
      <c r="C463" s="9" t="s">
        <v>68</v>
      </c>
      <c r="D463" s="9" t="s">
        <v>55</v>
      </c>
      <c r="E463" s="9" t="s">
        <v>69</v>
      </c>
      <c r="F463" s="9" t="s">
        <v>70</v>
      </c>
      <c r="G463" s="9" t="s">
        <v>49</v>
      </c>
      <c r="H463" s="9" t="s">
        <v>65</v>
      </c>
      <c r="I463">
        <v>0</v>
      </c>
      <c r="J463">
        <v>1</v>
      </c>
      <c r="K463">
        <v>1</v>
      </c>
      <c r="L463">
        <v>0</v>
      </c>
      <c r="M463">
        <v>0</v>
      </c>
      <c r="P463">
        <v>0</v>
      </c>
      <c r="Q463">
        <v>0</v>
      </c>
      <c r="R463">
        <v>0</v>
      </c>
      <c r="S463">
        <v>0</v>
      </c>
      <c r="T463">
        <v>0</v>
      </c>
      <c r="U463">
        <v>0</v>
      </c>
      <c r="V463">
        <v>0</v>
      </c>
      <c r="W463" s="9" t="s">
        <v>73</v>
      </c>
      <c r="X463">
        <v>0</v>
      </c>
      <c r="Y463">
        <v>88</v>
      </c>
    </row>
    <row r="464" spans="1:25" x14ac:dyDescent="0.35">
      <c r="A464" s="9" t="s">
        <v>1001</v>
      </c>
      <c r="B464" s="9" t="s">
        <v>1002</v>
      </c>
      <c r="C464" s="9" t="s">
        <v>68</v>
      </c>
      <c r="D464" s="9" t="s">
        <v>46</v>
      </c>
      <c r="E464" s="9" t="s">
        <v>56</v>
      </c>
      <c r="F464" s="9" t="s">
        <v>57</v>
      </c>
      <c r="G464" s="9" t="s">
        <v>54</v>
      </c>
      <c r="H464" s="9" t="s">
        <v>65</v>
      </c>
      <c r="I464">
        <v>0</v>
      </c>
      <c r="J464">
        <v>4</v>
      </c>
      <c r="K464">
        <v>4</v>
      </c>
      <c r="L464">
        <v>4</v>
      </c>
      <c r="M464">
        <v>0</v>
      </c>
      <c r="N464">
        <v>88</v>
      </c>
      <c r="O464">
        <v>88</v>
      </c>
      <c r="P464">
        <v>1</v>
      </c>
      <c r="Q464">
        <v>0</v>
      </c>
      <c r="R464">
        <v>1</v>
      </c>
      <c r="S464">
        <v>1</v>
      </c>
      <c r="T464">
        <v>0</v>
      </c>
      <c r="U464">
        <v>0</v>
      </c>
      <c r="V464">
        <v>1</v>
      </c>
      <c r="W464" s="9" t="s">
        <v>51</v>
      </c>
      <c r="X464">
        <v>0</v>
      </c>
      <c r="Y464">
        <v>88</v>
      </c>
    </row>
    <row r="465" spans="1:25" x14ac:dyDescent="0.35">
      <c r="A465" s="9" t="s">
        <v>1003</v>
      </c>
      <c r="B465" s="9" t="s">
        <v>1004</v>
      </c>
      <c r="C465" s="9" t="s">
        <v>61</v>
      </c>
      <c r="D465" s="9" t="s">
        <v>46</v>
      </c>
      <c r="E465" s="9" t="s">
        <v>80</v>
      </c>
      <c r="F465" s="9" t="s">
        <v>81</v>
      </c>
      <c r="G465" s="9" t="s">
        <v>82</v>
      </c>
      <c r="H465" s="9" t="s">
        <v>65</v>
      </c>
      <c r="I465">
        <v>0</v>
      </c>
      <c r="J465">
        <v>1</v>
      </c>
      <c r="K465">
        <v>1</v>
      </c>
      <c r="L465">
        <v>1</v>
      </c>
      <c r="M465">
        <v>0</v>
      </c>
      <c r="N465">
        <v>31</v>
      </c>
      <c r="O465">
        <v>31</v>
      </c>
      <c r="P465">
        <v>0</v>
      </c>
      <c r="Q465">
        <v>0</v>
      </c>
      <c r="R465">
        <v>1</v>
      </c>
      <c r="S465">
        <v>1</v>
      </c>
      <c r="T465">
        <v>1</v>
      </c>
      <c r="U465">
        <v>0</v>
      </c>
      <c r="V465">
        <v>0</v>
      </c>
      <c r="W465" s="9" t="s">
        <v>95</v>
      </c>
      <c r="X465">
        <v>10</v>
      </c>
      <c r="Y465">
        <v>88</v>
      </c>
    </row>
    <row r="466" spans="1:25" x14ac:dyDescent="0.35">
      <c r="A466" s="9" t="s">
        <v>1005</v>
      </c>
      <c r="B466" s="9" t="s">
        <v>1006</v>
      </c>
      <c r="C466" s="9" t="s">
        <v>68</v>
      </c>
      <c r="D466" s="9" t="s">
        <v>55</v>
      </c>
      <c r="E466" s="9" t="s">
        <v>47</v>
      </c>
      <c r="F466" s="9" t="s">
        <v>48</v>
      </c>
      <c r="G466" s="9" t="s">
        <v>49</v>
      </c>
      <c r="H466" s="9" t="s">
        <v>65</v>
      </c>
      <c r="I466">
        <v>0</v>
      </c>
      <c r="J466">
        <v>2</v>
      </c>
      <c r="K466">
        <v>2</v>
      </c>
      <c r="L466">
        <v>2</v>
      </c>
      <c r="M466">
        <v>0</v>
      </c>
      <c r="N466">
        <v>88</v>
      </c>
      <c r="O466">
        <v>88</v>
      </c>
      <c r="P466">
        <v>0</v>
      </c>
      <c r="Q466">
        <v>0</v>
      </c>
      <c r="R466">
        <v>1</v>
      </c>
      <c r="S466">
        <v>1</v>
      </c>
      <c r="T466">
        <v>0</v>
      </c>
      <c r="U466">
        <v>0</v>
      </c>
      <c r="V466">
        <v>1</v>
      </c>
      <c r="W466" s="9" t="s">
        <v>51</v>
      </c>
      <c r="X466">
        <v>0</v>
      </c>
      <c r="Y466">
        <v>88</v>
      </c>
    </row>
    <row r="467" spans="1:25" x14ac:dyDescent="0.35">
      <c r="A467" s="9" t="s">
        <v>1007</v>
      </c>
      <c r="B467" s="9" t="s">
        <v>1008</v>
      </c>
      <c r="C467" s="9" t="s">
        <v>61</v>
      </c>
      <c r="D467" s="9" t="s">
        <v>62</v>
      </c>
      <c r="E467" s="9" t="s">
        <v>93</v>
      </c>
      <c r="F467" s="9" t="s">
        <v>94</v>
      </c>
      <c r="G467" s="9" t="s">
        <v>82</v>
      </c>
      <c r="H467" s="9" t="s">
        <v>65</v>
      </c>
      <c r="I467">
        <v>0</v>
      </c>
      <c r="J467">
        <v>4</v>
      </c>
      <c r="K467">
        <v>4</v>
      </c>
      <c r="L467">
        <v>4</v>
      </c>
      <c r="M467">
        <v>0</v>
      </c>
      <c r="N467">
        <v>88</v>
      </c>
      <c r="O467">
        <v>88</v>
      </c>
      <c r="P467">
        <v>2</v>
      </c>
      <c r="Q467">
        <v>0</v>
      </c>
      <c r="R467">
        <v>1</v>
      </c>
      <c r="S467">
        <v>1</v>
      </c>
      <c r="T467">
        <v>0</v>
      </c>
      <c r="U467">
        <v>0</v>
      </c>
      <c r="V467">
        <v>1</v>
      </c>
      <c r="W467" s="9" t="s">
        <v>51</v>
      </c>
      <c r="X467">
        <v>0</v>
      </c>
      <c r="Y467">
        <v>88</v>
      </c>
    </row>
    <row r="468" spans="1:25" x14ac:dyDescent="0.35">
      <c r="A468" s="9" t="s">
        <v>1009</v>
      </c>
      <c r="B468" s="9" t="s">
        <v>1010</v>
      </c>
      <c r="C468" s="9" t="s">
        <v>45</v>
      </c>
      <c r="D468" s="9" t="s">
        <v>55</v>
      </c>
      <c r="E468" s="9" t="s">
        <v>112</v>
      </c>
      <c r="F468" s="9" t="s">
        <v>113</v>
      </c>
      <c r="G468" s="9" t="s">
        <v>54</v>
      </c>
      <c r="H468" s="9" t="s">
        <v>50</v>
      </c>
      <c r="I468">
        <v>0</v>
      </c>
      <c r="J468">
        <v>3</v>
      </c>
      <c r="K468">
        <v>3</v>
      </c>
      <c r="L468">
        <v>3</v>
      </c>
      <c r="M468">
        <v>0</v>
      </c>
      <c r="N468">
        <v>88</v>
      </c>
      <c r="O468">
        <v>88</v>
      </c>
      <c r="P468">
        <v>1</v>
      </c>
      <c r="Q468">
        <v>0</v>
      </c>
      <c r="R468">
        <v>1</v>
      </c>
      <c r="S468">
        <v>1</v>
      </c>
      <c r="T468">
        <v>0</v>
      </c>
      <c r="U468">
        <v>0</v>
      </c>
      <c r="V468">
        <v>1</v>
      </c>
      <c r="W468" s="9" t="s">
        <v>51</v>
      </c>
      <c r="X468">
        <v>0</v>
      </c>
      <c r="Y468">
        <v>88</v>
      </c>
    </row>
    <row r="469" spans="1:25" x14ac:dyDescent="0.35">
      <c r="A469" s="9" t="s">
        <v>1011</v>
      </c>
      <c r="B469" s="9" t="s">
        <v>1012</v>
      </c>
      <c r="C469" s="9" t="s">
        <v>61</v>
      </c>
      <c r="D469" s="9" t="s">
        <v>46</v>
      </c>
      <c r="E469" s="9" t="s">
        <v>69</v>
      </c>
      <c r="F469" s="9" t="s">
        <v>70</v>
      </c>
      <c r="G469" s="9" t="s">
        <v>49</v>
      </c>
      <c r="H469" s="9" t="s">
        <v>65</v>
      </c>
      <c r="I469">
        <v>0</v>
      </c>
      <c r="J469">
        <v>2</v>
      </c>
      <c r="K469">
        <v>2</v>
      </c>
      <c r="L469">
        <v>2</v>
      </c>
      <c r="M469">
        <v>0</v>
      </c>
      <c r="N469">
        <v>88</v>
      </c>
      <c r="P469">
        <v>2</v>
      </c>
      <c r="Q469">
        <v>0</v>
      </c>
      <c r="R469">
        <v>1</v>
      </c>
      <c r="S469">
        <v>0</v>
      </c>
      <c r="T469">
        <v>0</v>
      </c>
      <c r="U469">
        <v>0</v>
      </c>
      <c r="V469">
        <v>0</v>
      </c>
      <c r="W469" s="9" t="s">
        <v>58</v>
      </c>
      <c r="X469">
        <v>0</v>
      </c>
      <c r="Y469">
        <v>88</v>
      </c>
    </row>
    <row r="470" spans="1:25" x14ac:dyDescent="0.35">
      <c r="A470" s="9" t="s">
        <v>1013</v>
      </c>
      <c r="B470" s="9" t="s">
        <v>1014</v>
      </c>
      <c r="C470" s="9" t="s">
        <v>45</v>
      </c>
      <c r="D470" s="9" t="s">
        <v>55</v>
      </c>
      <c r="E470" s="9" t="s">
        <v>80</v>
      </c>
      <c r="F470" s="9" t="s">
        <v>81</v>
      </c>
      <c r="G470" s="9" t="s">
        <v>82</v>
      </c>
      <c r="H470" s="9" t="s">
        <v>50</v>
      </c>
      <c r="I470">
        <v>0</v>
      </c>
      <c r="J470">
        <v>4</v>
      </c>
      <c r="K470">
        <v>4</v>
      </c>
      <c r="L470">
        <v>3</v>
      </c>
      <c r="M470">
        <v>0</v>
      </c>
      <c r="N470">
        <v>88</v>
      </c>
      <c r="O470">
        <v>88</v>
      </c>
      <c r="P470">
        <v>2</v>
      </c>
      <c r="Q470">
        <v>0</v>
      </c>
      <c r="R470">
        <v>1</v>
      </c>
      <c r="S470">
        <v>1</v>
      </c>
      <c r="T470">
        <v>0</v>
      </c>
      <c r="U470">
        <v>0</v>
      </c>
      <c r="V470">
        <v>1</v>
      </c>
      <c r="W470" s="9" t="s">
        <v>51</v>
      </c>
      <c r="X470">
        <v>0</v>
      </c>
      <c r="Y470">
        <v>88</v>
      </c>
    </row>
    <row r="471" spans="1:25" x14ac:dyDescent="0.35">
      <c r="A471" s="9" t="s">
        <v>1015</v>
      </c>
      <c r="B471" s="9" t="s">
        <v>1016</v>
      </c>
      <c r="C471" s="9" t="s">
        <v>54</v>
      </c>
      <c r="D471" s="9" t="s">
        <v>46</v>
      </c>
      <c r="E471" s="9" t="s">
        <v>56</v>
      </c>
      <c r="F471" s="9" t="s">
        <v>57</v>
      </c>
      <c r="G471" s="9" t="s">
        <v>54</v>
      </c>
      <c r="H471" s="9" t="s">
        <v>50</v>
      </c>
      <c r="I471">
        <v>1</v>
      </c>
      <c r="J471">
        <v>1</v>
      </c>
      <c r="K471">
        <v>1</v>
      </c>
      <c r="L471">
        <v>1</v>
      </c>
      <c r="M471">
        <v>0</v>
      </c>
      <c r="N471">
        <v>57</v>
      </c>
      <c r="P471">
        <v>0</v>
      </c>
      <c r="Q471">
        <v>1</v>
      </c>
      <c r="R471">
        <v>1</v>
      </c>
      <c r="S471">
        <v>0</v>
      </c>
      <c r="T471">
        <v>0</v>
      </c>
      <c r="U471">
        <v>0</v>
      </c>
      <c r="V471">
        <v>0</v>
      </c>
      <c r="W471" s="9" t="s">
        <v>58</v>
      </c>
      <c r="X471">
        <v>0</v>
      </c>
      <c r="Y471">
        <v>88</v>
      </c>
    </row>
    <row r="472" spans="1:25" x14ac:dyDescent="0.35">
      <c r="A472" s="9" t="s">
        <v>1017</v>
      </c>
      <c r="B472" s="9" t="s">
        <v>1018</v>
      </c>
      <c r="C472" s="9" t="s">
        <v>68</v>
      </c>
      <c r="D472" s="9" t="s">
        <v>55</v>
      </c>
      <c r="E472" s="9" t="s">
        <v>63</v>
      </c>
      <c r="F472" s="9" t="s">
        <v>64</v>
      </c>
      <c r="G472" s="9" t="s">
        <v>49</v>
      </c>
      <c r="H472" s="9" t="s">
        <v>65</v>
      </c>
      <c r="I472">
        <v>0</v>
      </c>
      <c r="J472">
        <v>4</v>
      </c>
      <c r="K472">
        <v>4</v>
      </c>
      <c r="L472">
        <v>3</v>
      </c>
      <c r="M472">
        <v>0</v>
      </c>
      <c r="N472">
        <v>88</v>
      </c>
      <c r="O472">
        <v>88</v>
      </c>
      <c r="P472">
        <v>0</v>
      </c>
      <c r="Q472">
        <v>0</v>
      </c>
      <c r="R472">
        <v>1</v>
      </c>
      <c r="S472">
        <v>1</v>
      </c>
      <c r="T472">
        <v>0</v>
      </c>
      <c r="U472">
        <v>0</v>
      </c>
      <c r="V472">
        <v>1</v>
      </c>
      <c r="W472" s="9" t="s">
        <v>51</v>
      </c>
      <c r="X472">
        <v>0</v>
      </c>
      <c r="Y472">
        <v>88</v>
      </c>
    </row>
    <row r="473" spans="1:25" x14ac:dyDescent="0.35">
      <c r="A473" s="9" t="s">
        <v>1019</v>
      </c>
      <c r="B473" s="9" t="s">
        <v>1020</v>
      </c>
      <c r="C473" s="9" t="s">
        <v>68</v>
      </c>
      <c r="D473" s="9" t="s">
        <v>55</v>
      </c>
      <c r="E473" s="9" t="s">
        <v>63</v>
      </c>
      <c r="F473" s="9" t="s">
        <v>64</v>
      </c>
      <c r="G473" s="9" t="s">
        <v>49</v>
      </c>
      <c r="H473" s="9" t="s">
        <v>65</v>
      </c>
      <c r="I473">
        <v>0</v>
      </c>
      <c r="J473">
        <v>3</v>
      </c>
      <c r="K473">
        <v>3</v>
      </c>
      <c r="L473">
        <v>3</v>
      </c>
      <c r="M473">
        <v>0</v>
      </c>
      <c r="N473">
        <v>88</v>
      </c>
      <c r="O473">
        <v>88</v>
      </c>
      <c r="P473">
        <v>2</v>
      </c>
      <c r="Q473">
        <v>0</v>
      </c>
      <c r="R473">
        <v>1</v>
      </c>
      <c r="S473">
        <v>1</v>
      </c>
      <c r="T473">
        <v>0</v>
      </c>
      <c r="U473">
        <v>0</v>
      </c>
      <c r="V473">
        <v>1</v>
      </c>
      <c r="W473" s="9" t="s">
        <v>51</v>
      </c>
      <c r="X473">
        <v>0</v>
      </c>
      <c r="Y473">
        <v>88</v>
      </c>
    </row>
    <row r="474" spans="1:25" x14ac:dyDescent="0.35">
      <c r="A474" s="9" t="s">
        <v>1021</v>
      </c>
      <c r="B474" s="9" t="s">
        <v>1022</v>
      </c>
      <c r="C474" s="9" t="s">
        <v>68</v>
      </c>
      <c r="D474" s="9" t="s">
        <v>55</v>
      </c>
      <c r="E474" s="9" t="s">
        <v>93</v>
      </c>
      <c r="F474" s="9" t="s">
        <v>94</v>
      </c>
      <c r="G474" s="9" t="s">
        <v>82</v>
      </c>
      <c r="H474" s="9" t="s">
        <v>65</v>
      </c>
      <c r="I474">
        <v>0</v>
      </c>
      <c r="J474">
        <v>1</v>
      </c>
      <c r="K474">
        <v>1</v>
      </c>
      <c r="L474">
        <v>1</v>
      </c>
      <c r="M474">
        <v>0</v>
      </c>
      <c r="N474">
        <v>88</v>
      </c>
      <c r="O474">
        <v>88</v>
      </c>
      <c r="P474">
        <v>0</v>
      </c>
      <c r="Q474">
        <v>0</v>
      </c>
      <c r="R474">
        <v>1</v>
      </c>
      <c r="S474">
        <v>1</v>
      </c>
      <c r="T474">
        <v>0</v>
      </c>
      <c r="U474">
        <v>0</v>
      </c>
      <c r="V474">
        <v>1</v>
      </c>
      <c r="W474" s="9" t="s">
        <v>51</v>
      </c>
      <c r="X474">
        <v>0</v>
      </c>
      <c r="Y474">
        <v>88</v>
      </c>
    </row>
    <row r="475" spans="1:25" x14ac:dyDescent="0.35">
      <c r="A475" s="9" t="s">
        <v>1023</v>
      </c>
      <c r="B475" s="9" t="s">
        <v>1024</v>
      </c>
      <c r="C475" s="9" t="s">
        <v>68</v>
      </c>
      <c r="D475" s="9" t="s">
        <v>55</v>
      </c>
      <c r="E475" s="9" t="s">
        <v>80</v>
      </c>
      <c r="F475" s="9" t="s">
        <v>81</v>
      </c>
      <c r="G475" s="9" t="s">
        <v>82</v>
      </c>
      <c r="H475" s="9" t="s">
        <v>65</v>
      </c>
      <c r="I475">
        <v>0</v>
      </c>
      <c r="J475">
        <v>2</v>
      </c>
      <c r="K475">
        <v>2</v>
      </c>
      <c r="L475">
        <v>2</v>
      </c>
      <c r="M475">
        <v>0</v>
      </c>
      <c r="N475">
        <v>88</v>
      </c>
      <c r="O475">
        <v>88</v>
      </c>
      <c r="P475">
        <v>1</v>
      </c>
      <c r="Q475">
        <v>0</v>
      </c>
      <c r="R475">
        <v>1</v>
      </c>
      <c r="S475">
        <v>1</v>
      </c>
      <c r="T475">
        <v>0</v>
      </c>
      <c r="U475">
        <v>0</v>
      </c>
      <c r="V475">
        <v>1</v>
      </c>
      <c r="W475" s="9" t="s">
        <v>51</v>
      </c>
      <c r="X475">
        <v>0</v>
      </c>
      <c r="Y475">
        <v>88</v>
      </c>
    </row>
    <row r="476" spans="1:25" x14ac:dyDescent="0.35">
      <c r="A476" s="9" t="s">
        <v>1025</v>
      </c>
      <c r="B476" s="9" t="s">
        <v>1026</v>
      </c>
      <c r="C476" s="9" t="s">
        <v>54</v>
      </c>
      <c r="D476" s="9" t="s">
        <v>46</v>
      </c>
      <c r="E476" s="9" t="s">
        <v>56</v>
      </c>
      <c r="F476" s="9" t="s">
        <v>57</v>
      </c>
      <c r="G476" s="9" t="s">
        <v>54</v>
      </c>
      <c r="H476" s="9" t="s">
        <v>50</v>
      </c>
      <c r="I476">
        <v>1</v>
      </c>
      <c r="J476">
        <v>1</v>
      </c>
      <c r="K476">
        <v>1</v>
      </c>
      <c r="L476">
        <v>1</v>
      </c>
      <c r="M476">
        <v>0</v>
      </c>
      <c r="N476">
        <v>88</v>
      </c>
      <c r="P476">
        <v>1</v>
      </c>
      <c r="Q476">
        <v>0</v>
      </c>
      <c r="R476">
        <v>1</v>
      </c>
      <c r="S476">
        <v>0</v>
      </c>
      <c r="T476">
        <v>0</v>
      </c>
      <c r="U476">
        <v>0</v>
      </c>
      <c r="V476">
        <v>0</v>
      </c>
      <c r="W476" s="9" t="s">
        <v>58</v>
      </c>
      <c r="X476">
        <v>0</v>
      </c>
      <c r="Y476">
        <v>88</v>
      </c>
    </row>
    <row r="477" spans="1:25" x14ac:dyDescent="0.35">
      <c r="A477" s="9" t="s">
        <v>1027</v>
      </c>
      <c r="B477" s="9" t="s">
        <v>1028</v>
      </c>
      <c r="C477" s="9" t="s">
        <v>68</v>
      </c>
      <c r="D477" s="9" t="s">
        <v>46</v>
      </c>
      <c r="E477" s="9" t="s">
        <v>69</v>
      </c>
      <c r="F477" s="9" t="s">
        <v>70</v>
      </c>
      <c r="G477" s="9" t="s">
        <v>49</v>
      </c>
      <c r="H477" s="9" t="s">
        <v>65</v>
      </c>
      <c r="I477">
        <v>0</v>
      </c>
      <c r="J477">
        <v>3</v>
      </c>
      <c r="K477">
        <v>3</v>
      </c>
      <c r="L477">
        <v>3</v>
      </c>
      <c r="M477">
        <v>0</v>
      </c>
      <c r="N477">
        <v>88</v>
      </c>
      <c r="O477">
        <v>88</v>
      </c>
      <c r="P477">
        <v>1</v>
      </c>
      <c r="Q477">
        <v>0</v>
      </c>
      <c r="R477">
        <v>1</v>
      </c>
      <c r="S477">
        <v>1</v>
      </c>
      <c r="T477">
        <v>0</v>
      </c>
      <c r="U477">
        <v>0</v>
      </c>
      <c r="V477">
        <v>1</v>
      </c>
      <c r="W477" s="9" t="s">
        <v>51</v>
      </c>
      <c r="X477">
        <v>0</v>
      </c>
      <c r="Y477">
        <v>88</v>
      </c>
    </row>
    <row r="478" spans="1:25" x14ac:dyDescent="0.35">
      <c r="A478" s="9" t="s">
        <v>1029</v>
      </c>
      <c r="B478" s="9" t="s">
        <v>1030</v>
      </c>
      <c r="C478" s="9" t="s">
        <v>68</v>
      </c>
      <c r="D478" s="9" t="s">
        <v>55</v>
      </c>
      <c r="E478" s="9" t="s">
        <v>56</v>
      </c>
      <c r="F478" s="9" t="s">
        <v>57</v>
      </c>
      <c r="G478" s="9" t="s">
        <v>54</v>
      </c>
      <c r="H478" s="9" t="s">
        <v>65</v>
      </c>
      <c r="I478">
        <v>0</v>
      </c>
      <c r="J478">
        <v>3</v>
      </c>
      <c r="K478">
        <v>3</v>
      </c>
      <c r="L478">
        <v>3</v>
      </c>
      <c r="M478">
        <v>0</v>
      </c>
      <c r="N478">
        <v>71</v>
      </c>
      <c r="O478">
        <v>71</v>
      </c>
      <c r="P478">
        <v>1</v>
      </c>
      <c r="Q478">
        <v>0</v>
      </c>
      <c r="R478">
        <v>1</v>
      </c>
      <c r="S478">
        <v>1</v>
      </c>
      <c r="T478">
        <v>1</v>
      </c>
      <c r="U478">
        <v>0</v>
      </c>
      <c r="V478">
        <v>0</v>
      </c>
      <c r="W478" s="9" t="s">
        <v>95</v>
      </c>
      <c r="X478">
        <v>12</v>
      </c>
      <c r="Y478">
        <v>88</v>
      </c>
    </row>
    <row r="479" spans="1:25" x14ac:dyDescent="0.35">
      <c r="A479" s="9" t="s">
        <v>1031</v>
      </c>
      <c r="B479" s="9" t="s">
        <v>1032</v>
      </c>
      <c r="C479" s="9" t="s">
        <v>54</v>
      </c>
      <c r="D479" s="9" t="s">
        <v>46</v>
      </c>
      <c r="E479" s="9" t="s">
        <v>63</v>
      </c>
      <c r="F479" s="9" t="s">
        <v>64</v>
      </c>
      <c r="G479" s="9" t="s">
        <v>49</v>
      </c>
      <c r="H479" s="9" t="s">
        <v>50</v>
      </c>
      <c r="I479">
        <v>1</v>
      </c>
      <c r="J479">
        <v>3</v>
      </c>
      <c r="K479">
        <v>3</v>
      </c>
      <c r="L479">
        <v>3</v>
      </c>
      <c r="M479">
        <v>0</v>
      </c>
      <c r="N479">
        <v>88</v>
      </c>
      <c r="O479">
        <v>39</v>
      </c>
      <c r="P479">
        <v>1</v>
      </c>
      <c r="Q479">
        <v>2</v>
      </c>
      <c r="R479">
        <v>1</v>
      </c>
      <c r="S479">
        <v>1</v>
      </c>
      <c r="T479">
        <v>1</v>
      </c>
      <c r="U479">
        <v>0</v>
      </c>
      <c r="V479">
        <v>0</v>
      </c>
      <c r="W479" s="9" t="s">
        <v>95</v>
      </c>
      <c r="X479">
        <v>12</v>
      </c>
      <c r="Y479">
        <v>88</v>
      </c>
    </row>
    <row r="480" spans="1:25" x14ac:dyDescent="0.35">
      <c r="A480" s="9" t="s">
        <v>1033</v>
      </c>
      <c r="B480" s="9" t="s">
        <v>1034</v>
      </c>
      <c r="C480" s="9" t="s">
        <v>61</v>
      </c>
      <c r="D480" s="9" t="s">
        <v>46</v>
      </c>
      <c r="E480" s="9" t="s">
        <v>56</v>
      </c>
      <c r="F480" s="9" t="s">
        <v>57</v>
      </c>
      <c r="G480" s="9" t="s">
        <v>54</v>
      </c>
      <c r="H480" s="9" t="s">
        <v>65</v>
      </c>
      <c r="I480">
        <v>0</v>
      </c>
      <c r="J480">
        <v>3</v>
      </c>
      <c r="K480">
        <v>3</v>
      </c>
      <c r="L480">
        <v>2</v>
      </c>
      <c r="M480">
        <v>1</v>
      </c>
      <c r="N480">
        <v>88</v>
      </c>
      <c r="O480">
        <v>88</v>
      </c>
      <c r="P480">
        <v>0</v>
      </c>
      <c r="Q480">
        <v>0</v>
      </c>
      <c r="R480">
        <v>1</v>
      </c>
      <c r="S480">
        <v>1</v>
      </c>
      <c r="T480">
        <v>0</v>
      </c>
      <c r="U480">
        <v>0</v>
      </c>
      <c r="V480">
        <v>1</v>
      </c>
      <c r="W480" s="9" t="s">
        <v>51</v>
      </c>
      <c r="X480">
        <v>0</v>
      </c>
      <c r="Y480">
        <v>88</v>
      </c>
    </row>
    <row r="481" spans="1:25" x14ac:dyDescent="0.35">
      <c r="A481" s="9" t="s">
        <v>1035</v>
      </c>
      <c r="B481" s="9" t="s">
        <v>1036</v>
      </c>
      <c r="C481" s="9" t="s">
        <v>61</v>
      </c>
      <c r="D481" s="9" t="s">
        <v>46</v>
      </c>
      <c r="E481" s="9" t="s">
        <v>47</v>
      </c>
      <c r="F481" s="9" t="s">
        <v>48</v>
      </c>
      <c r="G481" s="9" t="s">
        <v>49</v>
      </c>
      <c r="H481" s="9" t="s">
        <v>65</v>
      </c>
      <c r="I481">
        <v>0</v>
      </c>
      <c r="J481">
        <v>4</v>
      </c>
      <c r="K481">
        <v>4</v>
      </c>
      <c r="L481">
        <v>4</v>
      </c>
      <c r="M481">
        <v>0</v>
      </c>
      <c r="N481">
        <v>88</v>
      </c>
      <c r="O481">
        <v>88</v>
      </c>
      <c r="P481">
        <v>2</v>
      </c>
      <c r="Q481">
        <v>0</v>
      </c>
      <c r="R481">
        <v>1</v>
      </c>
      <c r="S481">
        <v>1</v>
      </c>
      <c r="T481">
        <v>0</v>
      </c>
      <c r="U481">
        <v>0</v>
      </c>
      <c r="V481">
        <v>1</v>
      </c>
      <c r="W481" s="9" t="s">
        <v>51</v>
      </c>
      <c r="X481">
        <v>0</v>
      </c>
      <c r="Y481">
        <v>88</v>
      </c>
    </row>
    <row r="482" spans="1:25" x14ac:dyDescent="0.35">
      <c r="A482" s="9" t="s">
        <v>1037</v>
      </c>
      <c r="B482" s="9" t="s">
        <v>1038</v>
      </c>
      <c r="C482" s="9" t="s">
        <v>68</v>
      </c>
      <c r="D482" s="9" t="s">
        <v>46</v>
      </c>
      <c r="E482" s="9" t="s">
        <v>56</v>
      </c>
      <c r="F482" s="9" t="s">
        <v>57</v>
      </c>
      <c r="G482" s="9" t="s">
        <v>54</v>
      </c>
      <c r="H482" s="9" t="s">
        <v>65</v>
      </c>
      <c r="I482">
        <v>0</v>
      </c>
      <c r="J482">
        <v>3</v>
      </c>
      <c r="K482">
        <v>3</v>
      </c>
      <c r="L482">
        <v>3</v>
      </c>
      <c r="M482">
        <v>0</v>
      </c>
      <c r="N482">
        <v>88</v>
      </c>
      <c r="O482">
        <v>88</v>
      </c>
      <c r="P482">
        <v>0</v>
      </c>
      <c r="Q482">
        <v>0</v>
      </c>
      <c r="R482">
        <v>1</v>
      </c>
      <c r="S482">
        <v>1</v>
      </c>
      <c r="T482">
        <v>0</v>
      </c>
      <c r="U482">
        <v>0</v>
      </c>
      <c r="V482">
        <v>1</v>
      </c>
      <c r="W482" s="9" t="s">
        <v>51</v>
      </c>
      <c r="X482">
        <v>0</v>
      </c>
      <c r="Y482">
        <v>88</v>
      </c>
    </row>
    <row r="483" spans="1:25" x14ac:dyDescent="0.35">
      <c r="A483" s="9" t="s">
        <v>1039</v>
      </c>
      <c r="B483" s="9" t="s">
        <v>1040</v>
      </c>
      <c r="C483" s="9" t="s">
        <v>68</v>
      </c>
      <c r="D483" s="9" t="s">
        <v>55</v>
      </c>
      <c r="E483" s="9" t="s">
        <v>63</v>
      </c>
      <c r="F483" s="9" t="s">
        <v>64</v>
      </c>
      <c r="G483" s="9" t="s">
        <v>49</v>
      </c>
      <c r="H483" s="9" t="s">
        <v>65</v>
      </c>
      <c r="I483">
        <v>0</v>
      </c>
      <c r="J483">
        <v>4</v>
      </c>
      <c r="K483">
        <v>4</v>
      </c>
      <c r="L483">
        <v>4</v>
      </c>
      <c r="M483">
        <v>0</v>
      </c>
      <c r="N483">
        <v>88</v>
      </c>
      <c r="O483">
        <v>88</v>
      </c>
      <c r="P483">
        <v>2</v>
      </c>
      <c r="Q483">
        <v>0</v>
      </c>
      <c r="R483">
        <v>1</v>
      </c>
      <c r="S483">
        <v>1</v>
      </c>
      <c r="T483">
        <v>0</v>
      </c>
      <c r="U483">
        <v>0</v>
      </c>
      <c r="V483">
        <v>1</v>
      </c>
      <c r="W483" s="9" t="s">
        <v>51</v>
      </c>
      <c r="X483">
        <v>0</v>
      </c>
      <c r="Y483">
        <v>88</v>
      </c>
    </row>
    <row r="484" spans="1:25" x14ac:dyDescent="0.35">
      <c r="A484" s="9" t="s">
        <v>1041</v>
      </c>
      <c r="B484" s="9" t="s">
        <v>1042</v>
      </c>
      <c r="C484" s="9" t="s">
        <v>45</v>
      </c>
      <c r="D484" s="9" t="s">
        <v>55</v>
      </c>
      <c r="E484" s="9" t="s">
        <v>112</v>
      </c>
      <c r="F484" s="9" t="s">
        <v>113</v>
      </c>
      <c r="G484" s="9" t="s">
        <v>54</v>
      </c>
      <c r="H484" s="9" t="s">
        <v>50</v>
      </c>
      <c r="I484">
        <v>0</v>
      </c>
      <c r="J484">
        <v>3</v>
      </c>
      <c r="K484">
        <v>3</v>
      </c>
      <c r="L484">
        <v>3</v>
      </c>
      <c r="M484">
        <v>0</v>
      </c>
      <c r="N484">
        <v>71</v>
      </c>
      <c r="O484">
        <v>36</v>
      </c>
      <c r="P484">
        <v>2</v>
      </c>
      <c r="Q484">
        <v>0</v>
      </c>
      <c r="R484">
        <v>1</v>
      </c>
      <c r="S484">
        <v>1</v>
      </c>
      <c r="T484">
        <v>1</v>
      </c>
      <c r="U484">
        <v>0</v>
      </c>
      <c r="V484">
        <v>0</v>
      </c>
      <c r="W484" s="9" t="s">
        <v>95</v>
      </c>
      <c r="X484">
        <v>30</v>
      </c>
      <c r="Y484">
        <v>88</v>
      </c>
    </row>
    <row r="485" spans="1:25" x14ac:dyDescent="0.35">
      <c r="A485" s="9" t="s">
        <v>1043</v>
      </c>
      <c r="B485" s="9" t="s">
        <v>1044</v>
      </c>
      <c r="C485" s="9" t="s">
        <v>45</v>
      </c>
      <c r="D485" s="9" t="s">
        <v>62</v>
      </c>
      <c r="E485" s="9" t="s">
        <v>56</v>
      </c>
      <c r="F485" s="9" t="s">
        <v>57</v>
      </c>
      <c r="G485" s="9" t="s">
        <v>54</v>
      </c>
      <c r="H485" s="9" t="s">
        <v>50</v>
      </c>
      <c r="I485">
        <v>0</v>
      </c>
      <c r="J485">
        <v>1</v>
      </c>
      <c r="K485">
        <v>1</v>
      </c>
      <c r="L485">
        <v>1</v>
      </c>
      <c r="M485">
        <v>0</v>
      </c>
      <c r="N485">
        <v>28</v>
      </c>
      <c r="O485">
        <v>28</v>
      </c>
      <c r="P485">
        <v>0</v>
      </c>
      <c r="Q485">
        <v>0</v>
      </c>
      <c r="R485">
        <v>1</v>
      </c>
      <c r="S485">
        <v>1</v>
      </c>
      <c r="T485">
        <v>1</v>
      </c>
      <c r="U485">
        <v>1</v>
      </c>
      <c r="V485">
        <v>0</v>
      </c>
      <c r="W485" s="9" t="s">
        <v>560</v>
      </c>
      <c r="X485">
        <v>29</v>
      </c>
      <c r="Y485">
        <v>88</v>
      </c>
    </row>
    <row r="486" spans="1:25" x14ac:dyDescent="0.35">
      <c r="A486" s="9" t="s">
        <v>1045</v>
      </c>
      <c r="B486" s="9" t="s">
        <v>1046</v>
      </c>
      <c r="C486" s="9" t="s">
        <v>134</v>
      </c>
      <c r="D486" s="9" t="s">
        <v>46</v>
      </c>
      <c r="E486" s="9" t="s">
        <v>76</v>
      </c>
      <c r="F486" s="9" t="s">
        <v>77</v>
      </c>
      <c r="G486" s="9" t="s">
        <v>54</v>
      </c>
      <c r="H486" s="9" t="s">
        <v>135</v>
      </c>
      <c r="I486">
        <v>1</v>
      </c>
      <c r="J486">
        <v>2</v>
      </c>
      <c r="K486">
        <v>2</v>
      </c>
      <c r="L486">
        <v>1</v>
      </c>
      <c r="M486">
        <v>1</v>
      </c>
      <c r="N486">
        <v>36</v>
      </c>
      <c r="P486">
        <v>1</v>
      </c>
      <c r="Q486">
        <v>0</v>
      </c>
      <c r="R486">
        <v>1</v>
      </c>
      <c r="S486">
        <v>0</v>
      </c>
      <c r="T486">
        <v>0</v>
      </c>
      <c r="U486">
        <v>0</v>
      </c>
      <c r="V486">
        <v>0</v>
      </c>
      <c r="W486" s="9" t="s">
        <v>58</v>
      </c>
      <c r="X486">
        <v>0</v>
      </c>
      <c r="Y486">
        <v>88</v>
      </c>
    </row>
    <row r="487" spans="1:25" x14ac:dyDescent="0.35">
      <c r="A487" s="9" t="s">
        <v>1047</v>
      </c>
      <c r="B487" s="9" t="s">
        <v>1048</v>
      </c>
      <c r="C487" s="9" t="s">
        <v>68</v>
      </c>
      <c r="D487" s="9" t="s">
        <v>55</v>
      </c>
      <c r="E487" s="9" t="s">
        <v>47</v>
      </c>
      <c r="F487" s="9" t="s">
        <v>48</v>
      </c>
      <c r="G487" s="9" t="s">
        <v>49</v>
      </c>
      <c r="H487" s="9" t="s">
        <v>65</v>
      </c>
      <c r="I487">
        <v>0</v>
      </c>
      <c r="J487">
        <v>3</v>
      </c>
      <c r="K487">
        <v>3</v>
      </c>
      <c r="L487">
        <v>3</v>
      </c>
      <c r="M487">
        <v>0</v>
      </c>
      <c r="N487">
        <v>88</v>
      </c>
      <c r="O487">
        <v>88</v>
      </c>
      <c r="P487">
        <v>1</v>
      </c>
      <c r="Q487">
        <v>0</v>
      </c>
      <c r="R487">
        <v>1</v>
      </c>
      <c r="S487">
        <v>1</v>
      </c>
      <c r="T487">
        <v>0</v>
      </c>
      <c r="U487">
        <v>0</v>
      </c>
      <c r="V487">
        <v>1</v>
      </c>
      <c r="W487" s="9" t="s">
        <v>51</v>
      </c>
      <c r="X487">
        <v>0</v>
      </c>
      <c r="Y487">
        <v>88</v>
      </c>
    </row>
    <row r="488" spans="1:25" x14ac:dyDescent="0.35">
      <c r="A488" s="9" t="s">
        <v>1049</v>
      </c>
      <c r="B488" s="9" t="s">
        <v>1050</v>
      </c>
      <c r="C488" s="9" t="s">
        <v>68</v>
      </c>
      <c r="D488" s="9" t="s">
        <v>55</v>
      </c>
      <c r="E488" s="9" t="s">
        <v>112</v>
      </c>
      <c r="F488" s="9" t="s">
        <v>113</v>
      </c>
      <c r="G488" s="9" t="s">
        <v>54</v>
      </c>
      <c r="H488" s="9" t="s">
        <v>65</v>
      </c>
      <c r="I488">
        <v>0</v>
      </c>
      <c r="J488">
        <v>1</v>
      </c>
      <c r="K488">
        <v>1</v>
      </c>
      <c r="L488">
        <v>1</v>
      </c>
      <c r="M488">
        <v>0</v>
      </c>
      <c r="N488">
        <v>30</v>
      </c>
      <c r="O488">
        <v>30</v>
      </c>
      <c r="P488">
        <v>0</v>
      </c>
      <c r="Q488">
        <v>0</v>
      </c>
      <c r="R488">
        <v>1</v>
      </c>
      <c r="S488">
        <v>1</v>
      </c>
      <c r="T488">
        <v>1</v>
      </c>
      <c r="U488">
        <v>0</v>
      </c>
      <c r="V488">
        <v>0</v>
      </c>
      <c r="W488" s="9" t="s">
        <v>95</v>
      </c>
      <c r="X488">
        <v>33</v>
      </c>
      <c r="Y488">
        <v>88</v>
      </c>
    </row>
    <row r="489" spans="1:25" x14ac:dyDescent="0.35">
      <c r="A489" s="9" t="s">
        <v>1051</v>
      </c>
      <c r="B489" s="9" t="s">
        <v>1052</v>
      </c>
      <c r="C489" s="9" t="s">
        <v>61</v>
      </c>
      <c r="D489" s="9" t="s">
        <v>55</v>
      </c>
      <c r="E489" s="9" t="s">
        <v>47</v>
      </c>
      <c r="F489" s="9" t="s">
        <v>48</v>
      </c>
      <c r="G489" s="9" t="s">
        <v>49</v>
      </c>
      <c r="H489" s="9" t="s">
        <v>65</v>
      </c>
      <c r="I489">
        <v>0</v>
      </c>
      <c r="J489">
        <v>2</v>
      </c>
      <c r="K489">
        <v>2</v>
      </c>
      <c r="L489">
        <v>2</v>
      </c>
      <c r="M489">
        <v>0</v>
      </c>
      <c r="N489">
        <v>88</v>
      </c>
      <c r="O489">
        <v>88</v>
      </c>
      <c r="P489">
        <v>1</v>
      </c>
      <c r="Q489">
        <v>0</v>
      </c>
      <c r="R489">
        <v>1</v>
      </c>
      <c r="S489">
        <v>1</v>
      </c>
      <c r="T489">
        <v>0</v>
      </c>
      <c r="U489">
        <v>0</v>
      </c>
      <c r="V489">
        <v>1</v>
      </c>
      <c r="W489" s="9" t="s">
        <v>51</v>
      </c>
      <c r="X489">
        <v>0</v>
      </c>
      <c r="Y489">
        <v>88</v>
      </c>
    </row>
    <row r="490" spans="1:25" x14ac:dyDescent="0.35">
      <c r="A490" s="9" t="s">
        <v>1053</v>
      </c>
      <c r="B490" s="9" t="s">
        <v>1054</v>
      </c>
      <c r="C490" s="9" t="s">
        <v>61</v>
      </c>
      <c r="D490" s="9" t="s">
        <v>46</v>
      </c>
      <c r="E490" s="9" t="s">
        <v>80</v>
      </c>
      <c r="F490" s="9" t="s">
        <v>81</v>
      </c>
      <c r="G490" s="9" t="s">
        <v>82</v>
      </c>
      <c r="H490" s="9" t="s">
        <v>65</v>
      </c>
      <c r="I490">
        <v>0</v>
      </c>
      <c r="J490">
        <v>2</v>
      </c>
      <c r="K490">
        <v>2</v>
      </c>
      <c r="L490">
        <v>2</v>
      </c>
      <c r="M490">
        <v>0</v>
      </c>
      <c r="N490">
        <v>88</v>
      </c>
      <c r="O490">
        <v>88</v>
      </c>
      <c r="P490">
        <v>1</v>
      </c>
      <c r="Q490">
        <v>0</v>
      </c>
      <c r="R490">
        <v>1</v>
      </c>
      <c r="S490">
        <v>1</v>
      </c>
      <c r="T490">
        <v>0</v>
      </c>
      <c r="U490">
        <v>0</v>
      </c>
      <c r="V490">
        <v>1</v>
      </c>
      <c r="W490" s="9" t="s">
        <v>51</v>
      </c>
      <c r="X490">
        <v>0</v>
      </c>
      <c r="Y490">
        <v>88</v>
      </c>
    </row>
    <row r="491" spans="1:25" x14ac:dyDescent="0.35">
      <c r="A491" s="9" t="s">
        <v>1055</v>
      </c>
      <c r="B491" s="9" t="s">
        <v>1056</v>
      </c>
      <c r="C491" s="9" t="s">
        <v>68</v>
      </c>
      <c r="D491" s="9" t="s">
        <v>55</v>
      </c>
      <c r="E491" s="9" t="s">
        <v>93</v>
      </c>
      <c r="F491" s="9" t="s">
        <v>94</v>
      </c>
      <c r="G491" s="9" t="s">
        <v>82</v>
      </c>
      <c r="H491" s="9" t="s">
        <v>65</v>
      </c>
      <c r="I491">
        <v>0</v>
      </c>
      <c r="J491">
        <v>4</v>
      </c>
      <c r="K491">
        <v>4</v>
      </c>
      <c r="L491">
        <v>4</v>
      </c>
      <c r="M491">
        <v>0</v>
      </c>
      <c r="N491">
        <v>88</v>
      </c>
      <c r="P491">
        <v>4</v>
      </c>
      <c r="Q491">
        <v>0</v>
      </c>
      <c r="R491">
        <v>1</v>
      </c>
      <c r="S491">
        <v>0</v>
      </c>
      <c r="T491">
        <v>0</v>
      </c>
      <c r="U491">
        <v>0</v>
      </c>
      <c r="V491">
        <v>0</v>
      </c>
      <c r="W491" s="9" t="s">
        <v>58</v>
      </c>
      <c r="X491">
        <v>0</v>
      </c>
      <c r="Y491">
        <v>88</v>
      </c>
    </row>
    <row r="492" spans="1:25" x14ac:dyDescent="0.35">
      <c r="A492" s="9" t="s">
        <v>1057</v>
      </c>
      <c r="B492" s="9" t="s">
        <v>1058</v>
      </c>
      <c r="C492" s="9" t="s">
        <v>68</v>
      </c>
      <c r="D492" s="9" t="s">
        <v>62</v>
      </c>
      <c r="E492" s="9" t="s">
        <v>69</v>
      </c>
      <c r="F492" s="9" t="s">
        <v>70</v>
      </c>
      <c r="G492" s="9" t="s">
        <v>49</v>
      </c>
      <c r="H492" s="9" t="s">
        <v>65</v>
      </c>
      <c r="I492">
        <v>0</v>
      </c>
      <c r="J492">
        <v>3</v>
      </c>
      <c r="K492">
        <v>3</v>
      </c>
      <c r="L492">
        <v>3</v>
      </c>
      <c r="M492">
        <v>0</v>
      </c>
      <c r="N492">
        <v>88</v>
      </c>
      <c r="O492">
        <v>88</v>
      </c>
      <c r="P492">
        <v>2</v>
      </c>
      <c r="Q492">
        <v>0</v>
      </c>
      <c r="R492">
        <v>1</v>
      </c>
      <c r="S492">
        <v>1</v>
      </c>
      <c r="T492">
        <v>0</v>
      </c>
      <c r="U492">
        <v>0</v>
      </c>
      <c r="V492">
        <v>1</v>
      </c>
      <c r="W492" s="9" t="s">
        <v>51</v>
      </c>
      <c r="X492">
        <v>0</v>
      </c>
      <c r="Y492">
        <v>88</v>
      </c>
    </row>
    <row r="493" spans="1:25" x14ac:dyDescent="0.35">
      <c r="A493" s="9" t="s">
        <v>1059</v>
      </c>
      <c r="B493" s="9" t="s">
        <v>1060</v>
      </c>
      <c r="C493" s="9" t="s">
        <v>61</v>
      </c>
      <c r="D493" s="9" t="s">
        <v>46</v>
      </c>
      <c r="E493" s="9" t="s">
        <v>80</v>
      </c>
      <c r="F493" s="9" t="s">
        <v>81</v>
      </c>
      <c r="G493" s="9" t="s">
        <v>82</v>
      </c>
      <c r="H493" s="9" t="s">
        <v>65</v>
      </c>
      <c r="I493">
        <v>0</v>
      </c>
      <c r="J493">
        <v>2</v>
      </c>
      <c r="K493">
        <v>2</v>
      </c>
      <c r="L493">
        <v>1</v>
      </c>
      <c r="M493">
        <v>0</v>
      </c>
      <c r="N493">
        <v>88</v>
      </c>
      <c r="O493">
        <v>88</v>
      </c>
      <c r="P493">
        <v>0</v>
      </c>
      <c r="Q493">
        <v>0</v>
      </c>
      <c r="R493">
        <v>1</v>
      </c>
      <c r="S493">
        <v>1</v>
      </c>
      <c r="T493">
        <v>0</v>
      </c>
      <c r="U493">
        <v>0</v>
      </c>
      <c r="V493">
        <v>1</v>
      </c>
      <c r="W493" s="9" t="s">
        <v>51</v>
      </c>
      <c r="X493">
        <v>0</v>
      </c>
      <c r="Y493">
        <v>88</v>
      </c>
    </row>
    <row r="494" spans="1:25" x14ac:dyDescent="0.35">
      <c r="A494" s="9" t="s">
        <v>1061</v>
      </c>
      <c r="B494" s="9" t="s">
        <v>1062</v>
      </c>
      <c r="C494" s="9" t="s">
        <v>61</v>
      </c>
      <c r="D494" s="9" t="s">
        <v>55</v>
      </c>
      <c r="E494" s="9" t="s">
        <v>69</v>
      </c>
      <c r="F494" s="9" t="s">
        <v>70</v>
      </c>
      <c r="G494" s="9" t="s">
        <v>49</v>
      </c>
      <c r="H494" s="9" t="s">
        <v>65</v>
      </c>
      <c r="I494">
        <v>0</v>
      </c>
      <c r="J494">
        <v>2</v>
      </c>
      <c r="K494">
        <v>2</v>
      </c>
      <c r="L494">
        <v>2</v>
      </c>
      <c r="M494">
        <v>0</v>
      </c>
      <c r="N494">
        <v>88</v>
      </c>
      <c r="O494">
        <v>88</v>
      </c>
      <c r="P494">
        <v>0</v>
      </c>
      <c r="Q494">
        <v>0</v>
      </c>
      <c r="R494">
        <v>1</v>
      </c>
      <c r="S494">
        <v>1</v>
      </c>
      <c r="T494">
        <v>0</v>
      </c>
      <c r="U494">
        <v>0</v>
      </c>
      <c r="V494">
        <v>1</v>
      </c>
      <c r="W494" s="9" t="s">
        <v>51</v>
      </c>
      <c r="X494">
        <v>0</v>
      </c>
      <c r="Y494">
        <v>88</v>
      </c>
    </row>
    <row r="495" spans="1:25" x14ac:dyDescent="0.35">
      <c r="A495" s="9" t="s">
        <v>1063</v>
      </c>
      <c r="B495" s="9" t="s">
        <v>1064</v>
      </c>
      <c r="C495" s="9" t="s">
        <v>68</v>
      </c>
      <c r="D495" s="9" t="s">
        <v>62</v>
      </c>
      <c r="E495" s="9" t="s">
        <v>93</v>
      </c>
      <c r="F495" s="9" t="s">
        <v>94</v>
      </c>
      <c r="G495" s="9" t="s">
        <v>82</v>
      </c>
      <c r="H495" s="9" t="s">
        <v>65</v>
      </c>
      <c r="I495">
        <v>0</v>
      </c>
      <c r="J495">
        <v>1</v>
      </c>
      <c r="K495">
        <v>1</v>
      </c>
      <c r="L495">
        <v>1</v>
      </c>
      <c r="M495">
        <v>0</v>
      </c>
      <c r="N495">
        <v>88</v>
      </c>
      <c r="O495">
        <v>88</v>
      </c>
      <c r="P495">
        <v>0</v>
      </c>
      <c r="Q495">
        <v>0</v>
      </c>
      <c r="R495">
        <v>1</v>
      </c>
      <c r="S495">
        <v>1</v>
      </c>
      <c r="T495">
        <v>0</v>
      </c>
      <c r="U495">
        <v>0</v>
      </c>
      <c r="V495">
        <v>1</v>
      </c>
      <c r="W495" s="9" t="s">
        <v>51</v>
      </c>
      <c r="X495">
        <v>0</v>
      </c>
      <c r="Y495">
        <v>88</v>
      </c>
    </row>
    <row r="496" spans="1:25" x14ac:dyDescent="0.35">
      <c r="A496" s="9" t="s">
        <v>1065</v>
      </c>
      <c r="B496" s="9" t="s">
        <v>1066</v>
      </c>
      <c r="C496" s="9" t="s">
        <v>54</v>
      </c>
      <c r="D496" s="9" t="s">
        <v>46</v>
      </c>
      <c r="E496" s="9" t="s">
        <v>112</v>
      </c>
      <c r="F496" s="9" t="s">
        <v>113</v>
      </c>
      <c r="G496" s="9" t="s">
        <v>54</v>
      </c>
      <c r="H496" s="9" t="s">
        <v>50</v>
      </c>
      <c r="I496">
        <v>1</v>
      </c>
      <c r="J496">
        <v>2</v>
      </c>
      <c r="K496">
        <v>2</v>
      </c>
      <c r="L496">
        <v>2</v>
      </c>
      <c r="M496">
        <v>0</v>
      </c>
      <c r="N496">
        <v>56</v>
      </c>
      <c r="P496">
        <v>2</v>
      </c>
      <c r="Q496">
        <v>0</v>
      </c>
      <c r="R496">
        <v>1</v>
      </c>
      <c r="S496">
        <v>0</v>
      </c>
      <c r="T496">
        <v>0</v>
      </c>
      <c r="U496">
        <v>0</v>
      </c>
      <c r="V496">
        <v>0</v>
      </c>
      <c r="W496" s="9" t="s">
        <v>58</v>
      </c>
      <c r="X496">
        <v>0</v>
      </c>
      <c r="Y496">
        <v>88</v>
      </c>
    </row>
    <row r="497" spans="1:25" x14ac:dyDescent="0.35">
      <c r="A497" s="9" t="s">
        <v>1067</v>
      </c>
      <c r="B497" s="9" t="s">
        <v>1068</v>
      </c>
      <c r="C497" s="9" t="s">
        <v>54</v>
      </c>
      <c r="D497" s="9" t="s">
        <v>46</v>
      </c>
      <c r="E497" s="9" t="s">
        <v>56</v>
      </c>
      <c r="F497" s="9" t="s">
        <v>57</v>
      </c>
      <c r="G497" s="9" t="s">
        <v>54</v>
      </c>
      <c r="H497" s="9" t="s">
        <v>50</v>
      </c>
      <c r="I497">
        <v>1</v>
      </c>
      <c r="J497">
        <v>4</v>
      </c>
      <c r="K497">
        <v>4</v>
      </c>
      <c r="L497">
        <v>3</v>
      </c>
      <c r="M497">
        <v>1</v>
      </c>
      <c r="N497">
        <v>49</v>
      </c>
      <c r="O497">
        <v>35</v>
      </c>
      <c r="P497">
        <v>1</v>
      </c>
      <c r="Q497">
        <v>1</v>
      </c>
      <c r="R497">
        <v>1</v>
      </c>
      <c r="S497">
        <v>1</v>
      </c>
      <c r="T497">
        <v>1</v>
      </c>
      <c r="U497">
        <v>0</v>
      </c>
      <c r="V497">
        <v>0</v>
      </c>
      <c r="W497" s="9" t="s">
        <v>95</v>
      </c>
      <c r="X497">
        <v>28</v>
      </c>
      <c r="Y497">
        <v>88</v>
      </c>
    </row>
    <row r="498" spans="1:25" x14ac:dyDescent="0.35">
      <c r="A498" s="9" t="s">
        <v>1069</v>
      </c>
      <c r="B498" s="9" t="s">
        <v>1070</v>
      </c>
      <c r="C498" s="9" t="s">
        <v>68</v>
      </c>
      <c r="D498" s="9" t="s">
        <v>55</v>
      </c>
      <c r="E498" s="9" t="s">
        <v>80</v>
      </c>
      <c r="F498" s="9" t="s">
        <v>81</v>
      </c>
      <c r="G498" s="9" t="s">
        <v>82</v>
      </c>
      <c r="H498" s="9" t="s">
        <v>65</v>
      </c>
      <c r="I498">
        <v>0</v>
      </c>
      <c r="J498">
        <v>1</v>
      </c>
      <c r="K498">
        <v>1</v>
      </c>
      <c r="L498">
        <v>1</v>
      </c>
      <c r="M498">
        <v>0</v>
      </c>
      <c r="N498">
        <v>88</v>
      </c>
      <c r="P498">
        <v>1</v>
      </c>
      <c r="Q498">
        <v>0</v>
      </c>
      <c r="R498">
        <v>1</v>
      </c>
      <c r="S498">
        <v>0</v>
      </c>
      <c r="T498">
        <v>0</v>
      </c>
      <c r="U498">
        <v>0</v>
      </c>
      <c r="V498">
        <v>0</v>
      </c>
      <c r="W498" s="9" t="s">
        <v>58</v>
      </c>
      <c r="X498">
        <v>0</v>
      </c>
      <c r="Y498">
        <v>88</v>
      </c>
    </row>
    <row r="499" spans="1:25" x14ac:dyDescent="0.35">
      <c r="A499" s="9" t="s">
        <v>1071</v>
      </c>
      <c r="B499" s="9" t="s">
        <v>1072</v>
      </c>
      <c r="C499" s="9" t="s">
        <v>45</v>
      </c>
      <c r="D499" s="9" t="s">
        <v>62</v>
      </c>
      <c r="E499" s="9" t="s">
        <v>56</v>
      </c>
      <c r="F499" s="9" t="s">
        <v>57</v>
      </c>
      <c r="G499" s="9" t="s">
        <v>54</v>
      </c>
      <c r="H499" s="9" t="s">
        <v>50</v>
      </c>
      <c r="I499">
        <v>0</v>
      </c>
      <c r="J499">
        <v>1</v>
      </c>
      <c r="K499">
        <v>1</v>
      </c>
      <c r="L499">
        <v>0</v>
      </c>
      <c r="M499">
        <v>1</v>
      </c>
      <c r="P499">
        <v>0</v>
      </c>
      <c r="Q499">
        <v>0</v>
      </c>
      <c r="R499">
        <v>0</v>
      </c>
      <c r="S499">
        <v>0</v>
      </c>
      <c r="T499">
        <v>0</v>
      </c>
      <c r="U499">
        <v>0</v>
      </c>
      <c r="V499">
        <v>0</v>
      </c>
      <c r="W499" s="9" t="s">
        <v>73</v>
      </c>
      <c r="X499">
        <v>0</v>
      </c>
      <c r="Y499">
        <v>88</v>
      </c>
    </row>
    <row r="500" spans="1:25" x14ac:dyDescent="0.35">
      <c r="A500" s="9" t="s">
        <v>1073</v>
      </c>
      <c r="B500" s="9" t="s">
        <v>1074</v>
      </c>
      <c r="C500" s="9" t="s">
        <v>68</v>
      </c>
      <c r="D500" s="9" t="s">
        <v>62</v>
      </c>
      <c r="E500" s="9" t="s">
        <v>56</v>
      </c>
      <c r="F500" s="9" t="s">
        <v>57</v>
      </c>
      <c r="G500" s="9" t="s">
        <v>54</v>
      </c>
      <c r="H500" s="9" t="s">
        <v>65</v>
      </c>
      <c r="I500">
        <v>0</v>
      </c>
      <c r="J500">
        <v>1</v>
      </c>
      <c r="K500">
        <v>1</v>
      </c>
      <c r="L500">
        <v>0</v>
      </c>
      <c r="M500">
        <v>0</v>
      </c>
      <c r="P500">
        <v>0</v>
      </c>
      <c r="Q500">
        <v>0</v>
      </c>
      <c r="R500">
        <v>0</v>
      </c>
      <c r="S500">
        <v>0</v>
      </c>
      <c r="T500">
        <v>0</v>
      </c>
      <c r="U500">
        <v>0</v>
      </c>
      <c r="V500">
        <v>0</v>
      </c>
      <c r="W500" s="9" t="s">
        <v>73</v>
      </c>
      <c r="X500">
        <v>0</v>
      </c>
      <c r="Y500">
        <v>88</v>
      </c>
    </row>
    <row r="501" spans="1:25" x14ac:dyDescent="0.35">
      <c r="A501" s="9" t="s">
        <v>1075</v>
      </c>
      <c r="B501" s="9" t="s">
        <v>1076</v>
      </c>
      <c r="C501" s="9" t="s">
        <v>68</v>
      </c>
      <c r="D501" s="9" t="s">
        <v>55</v>
      </c>
      <c r="E501" s="9" t="s">
        <v>80</v>
      </c>
      <c r="F501" s="9" t="s">
        <v>81</v>
      </c>
      <c r="G501" s="9" t="s">
        <v>82</v>
      </c>
      <c r="H501" s="9" t="s">
        <v>65</v>
      </c>
      <c r="I501">
        <v>0</v>
      </c>
      <c r="J501">
        <v>3</v>
      </c>
      <c r="K501">
        <v>3</v>
      </c>
      <c r="L501">
        <v>2</v>
      </c>
      <c r="M501">
        <v>0</v>
      </c>
      <c r="N501">
        <v>88</v>
      </c>
      <c r="O501">
        <v>88</v>
      </c>
      <c r="P501">
        <v>1</v>
      </c>
      <c r="Q501">
        <v>0</v>
      </c>
      <c r="R501">
        <v>1</v>
      </c>
      <c r="S501">
        <v>1</v>
      </c>
      <c r="T501">
        <v>0</v>
      </c>
      <c r="U501">
        <v>0</v>
      </c>
      <c r="V501">
        <v>1</v>
      </c>
      <c r="W501" s="9" t="s">
        <v>51</v>
      </c>
      <c r="X501">
        <v>0</v>
      </c>
      <c r="Y501">
        <v>88</v>
      </c>
    </row>
    <row r="502" spans="1:25" x14ac:dyDescent="0.35">
      <c r="A502" s="9" t="s">
        <v>1077</v>
      </c>
      <c r="B502" s="9" t="s">
        <v>1078</v>
      </c>
      <c r="C502" s="9" t="s">
        <v>68</v>
      </c>
      <c r="D502" s="9" t="s">
        <v>55</v>
      </c>
      <c r="E502" s="9" t="s">
        <v>63</v>
      </c>
      <c r="F502" s="9" t="s">
        <v>64</v>
      </c>
      <c r="G502" s="9" t="s">
        <v>49</v>
      </c>
      <c r="H502" s="9" t="s">
        <v>65</v>
      </c>
      <c r="I502">
        <v>0</v>
      </c>
      <c r="J502">
        <v>3</v>
      </c>
      <c r="K502">
        <v>3</v>
      </c>
      <c r="L502">
        <v>2</v>
      </c>
      <c r="M502">
        <v>0</v>
      </c>
      <c r="N502">
        <v>88</v>
      </c>
      <c r="O502">
        <v>88</v>
      </c>
      <c r="P502">
        <v>1</v>
      </c>
      <c r="Q502">
        <v>0</v>
      </c>
      <c r="R502">
        <v>1</v>
      </c>
      <c r="S502">
        <v>1</v>
      </c>
      <c r="T502">
        <v>0</v>
      </c>
      <c r="U502">
        <v>0</v>
      </c>
      <c r="V502">
        <v>1</v>
      </c>
      <c r="W502" s="9" t="s">
        <v>51</v>
      </c>
      <c r="X502">
        <v>0</v>
      </c>
      <c r="Y502">
        <v>88</v>
      </c>
    </row>
    <row r="503" spans="1:25" x14ac:dyDescent="0.35">
      <c r="A503" s="9" t="s">
        <v>1079</v>
      </c>
      <c r="B503" s="9" t="s">
        <v>1080</v>
      </c>
      <c r="C503" s="9" t="s">
        <v>54</v>
      </c>
      <c r="D503" s="9" t="s">
        <v>46</v>
      </c>
      <c r="E503" s="9" t="s">
        <v>56</v>
      </c>
      <c r="F503" s="9" t="s">
        <v>57</v>
      </c>
      <c r="G503" s="9" t="s">
        <v>54</v>
      </c>
      <c r="H503" s="9" t="s">
        <v>50</v>
      </c>
      <c r="I503">
        <v>1</v>
      </c>
      <c r="J503">
        <v>4</v>
      </c>
      <c r="K503">
        <v>4</v>
      </c>
      <c r="L503">
        <v>4</v>
      </c>
      <c r="M503">
        <v>0</v>
      </c>
      <c r="N503">
        <v>88</v>
      </c>
      <c r="P503">
        <v>4</v>
      </c>
      <c r="Q503">
        <v>0</v>
      </c>
      <c r="R503">
        <v>1</v>
      </c>
      <c r="S503">
        <v>0</v>
      </c>
      <c r="T503">
        <v>0</v>
      </c>
      <c r="U503">
        <v>0</v>
      </c>
      <c r="V503">
        <v>0</v>
      </c>
      <c r="W503" s="9" t="s">
        <v>58</v>
      </c>
      <c r="X503">
        <v>0</v>
      </c>
      <c r="Y503">
        <v>88</v>
      </c>
    </row>
    <row r="504" spans="1:25" x14ac:dyDescent="0.35">
      <c r="A504" s="9" t="s">
        <v>1081</v>
      </c>
      <c r="B504" s="9" t="s">
        <v>1082</v>
      </c>
      <c r="C504" s="9" t="s">
        <v>45</v>
      </c>
      <c r="D504" s="9" t="s">
        <v>55</v>
      </c>
      <c r="E504" s="9" t="s">
        <v>112</v>
      </c>
      <c r="F504" s="9" t="s">
        <v>113</v>
      </c>
      <c r="G504" s="9" t="s">
        <v>54</v>
      </c>
      <c r="H504" s="9" t="s">
        <v>50</v>
      </c>
      <c r="I504">
        <v>0</v>
      </c>
      <c r="J504">
        <v>1</v>
      </c>
      <c r="K504">
        <v>1</v>
      </c>
      <c r="L504">
        <v>1</v>
      </c>
      <c r="M504">
        <v>0</v>
      </c>
      <c r="N504">
        <v>88</v>
      </c>
      <c r="O504">
        <v>88</v>
      </c>
      <c r="P504">
        <v>0</v>
      </c>
      <c r="Q504">
        <v>0</v>
      </c>
      <c r="R504">
        <v>1</v>
      </c>
      <c r="S504">
        <v>1</v>
      </c>
      <c r="T504">
        <v>0</v>
      </c>
      <c r="U504">
        <v>0</v>
      </c>
      <c r="V504">
        <v>1</v>
      </c>
      <c r="W504" s="9" t="s">
        <v>51</v>
      </c>
      <c r="X504">
        <v>0</v>
      </c>
      <c r="Y504">
        <v>88</v>
      </c>
    </row>
    <row r="505" spans="1:25" x14ac:dyDescent="0.35">
      <c r="A505" s="9" t="s">
        <v>1083</v>
      </c>
      <c r="B505" s="9" t="s">
        <v>1084</v>
      </c>
      <c r="C505" s="9" t="s">
        <v>54</v>
      </c>
      <c r="D505" s="9" t="s">
        <v>46</v>
      </c>
      <c r="E505" s="9" t="s">
        <v>56</v>
      </c>
      <c r="F505" s="9" t="s">
        <v>57</v>
      </c>
      <c r="G505" s="9" t="s">
        <v>54</v>
      </c>
      <c r="H505" s="9" t="s">
        <v>50</v>
      </c>
      <c r="I505">
        <v>1</v>
      </c>
      <c r="J505">
        <v>3</v>
      </c>
      <c r="K505">
        <v>3</v>
      </c>
      <c r="L505">
        <v>3</v>
      </c>
      <c r="M505">
        <v>0</v>
      </c>
      <c r="N505">
        <v>88</v>
      </c>
      <c r="O505">
        <v>88</v>
      </c>
      <c r="P505">
        <v>0</v>
      </c>
      <c r="Q505">
        <v>1</v>
      </c>
      <c r="R505">
        <v>1</v>
      </c>
      <c r="S505">
        <v>1</v>
      </c>
      <c r="T505">
        <v>0</v>
      </c>
      <c r="U505">
        <v>0</v>
      </c>
      <c r="V505">
        <v>1</v>
      </c>
      <c r="W505" s="9" t="s">
        <v>51</v>
      </c>
      <c r="X505">
        <v>0</v>
      </c>
      <c r="Y505">
        <v>88</v>
      </c>
    </row>
    <row r="506" spans="1:25" x14ac:dyDescent="0.35">
      <c r="A506" s="9" t="s">
        <v>1085</v>
      </c>
      <c r="B506" s="9" t="s">
        <v>1086</v>
      </c>
      <c r="C506" s="9" t="s">
        <v>68</v>
      </c>
      <c r="D506" s="9" t="s">
        <v>46</v>
      </c>
      <c r="E506" s="9" t="s">
        <v>63</v>
      </c>
      <c r="F506" s="9" t="s">
        <v>64</v>
      </c>
      <c r="G506" s="9" t="s">
        <v>49</v>
      </c>
      <c r="H506" s="9" t="s">
        <v>65</v>
      </c>
      <c r="I506">
        <v>0</v>
      </c>
      <c r="J506">
        <v>2</v>
      </c>
      <c r="K506">
        <v>2</v>
      </c>
      <c r="L506">
        <v>2</v>
      </c>
      <c r="M506">
        <v>0</v>
      </c>
      <c r="N506">
        <v>88</v>
      </c>
      <c r="O506">
        <v>88</v>
      </c>
      <c r="P506">
        <v>1</v>
      </c>
      <c r="Q506">
        <v>0</v>
      </c>
      <c r="R506">
        <v>1</v>
      </c>
      <c r="S506">
        <v>1</v>
      </c>
      <c r="T506">
        <v>0</v>
      </c>
      <c r="U506">
        <v>0</v>
      </c>
      <c r="V506">
        <v>1</v>
      </c>
      <c r="W506" s="9" t="s">
        <v>51</v>
      </c>
      <c r="X506">
        <v>0</v>
      </c>
      <c r="Y506">
        <v>88</v>
      </c>
    </row>
    <row r="507" spans="1:25" x14ac:dyDescent="0.35">
      <c r="A507" s="9" t="s">
        <v>1087</v>
      </c>
      <c r="B507" s="9" t="s">
        <v>1088</v>
      </c>
      <c r="C507" s="9" t="s">
        <v>61</v>
      </c>
      <c r="D507" s="9" t="s">
        <v>62</v>
      </c>
      <c r="E507" s="9" t="s">
        <v>47</v>
      </c>
      <c r="F507" s="9" t="s">
        <v>48</v>
      </c>
      <c r="G507" s="9" t="s">
        <v>49</v>
      </c>
      <c r="H507" s="9" t="s">
        <v>65</v>
      </c>
      <c r="I507">
        <v>0</v>
      </c>
      <c r="J507">
        <v>3</v>
      </c>
      <c r="K507">
        <v>3</v>
      </c>
      <c r="L507">
        <v>1</v>
      </c>
      <c r="M507">
        <v>1</v>
      </c>
      <c r="N507">
        <v>88</v>
      </c>
      <c r="O507">
        <v>88</v>
      </c>
      <c r="P507">
        <v>0</v>
      </c>
      <c r="Q507">
        <v>0</v>
      </c>
      <c r="R507">
        <v>1</v>
      </c>
      <c r="S507">
        <v>1</v>
      </c>
      <c r="T507">
        <v>0</v>
      </c>
      <c r="U507">
        <v>0</v>
      </c>
      <c r="V507">
        <v>1</v>
      </c>
      <c r="W507" s="9" t="s">
        <v>51</v>
      </c>
      <c r="X507">
        <v>0</v>
      </c>
      <c r="Y507">
        <v>88</v>
      </c>
    </row>
    <row r="508" spans="1:25" x14ac:dyDescent="0.35">
      <c r="A508" s="9" t="s">
        <v>1089</v>
      </c>
      <c r="B508" s="9" t="s">
        <v>1090</v>
      </c>
      <c r="C508" s="9" t="s">
        <v>68</v>
      </c>
      <c r="D508" s="9" t="s">
        <v>55</v>
      </c>
      <c r="E508" s="9" t="s">
        <v>93</v>
      </c>
      <c r="F508" s="9" t="s">
        <v>94</v>
      </c>
      <c r="G508" s="9" t="s">
        <v>82</v>
      </c>
      <c r="H508" s="9" t="s">
        <v>65</v>
      </c>
      <c r="I508">
        <v>0</v>
      </c>
      <c r="J508">
        <v>2</v>
      </c>
      <c r="K508">
        <v>2</v>
      </c>
      <c r="L508">
        <v>2</v>
      </c>
      <c r="M508">
        <v>0</v>
      </c>
      <c r="N508">
        <v>88</v>
      </c>
      <c r="O508">
        <v>88</v>
      </c>
      <c r="P508">
        <v>1</v>
      </c>
      <c r="Q508">
        <v>0</v>
      </c>
      <c r="R508">
        <v>1</v>
      </c>
      <c r="S508">
        <v>1</v>
      </c>
      <c r="T508">
        <v>0</v>
      </c>
      <c r="U508">
        <v>0</v>
      </c>
      <c r="V508">
        <v>1</v>
      </c>
      <c r="W508" s="9" t="s">
        <v>51</v>
      </c>
      <c r="X508">
        <v>0</v>
      </c>
      <c r="Y508">
        <v>88</v>
      </c>
    </row>
    <row r="509" spans="1:25" x14ac:dyDescent="0.35">
      <c r="A509" s="9" t="s">
        <v>1091</v>
      </c>
      <c r="B509" s="9" t="s">
        <v>1092</v>
      </c>
      <c r="C509" s="9" t="s">
        <v>68</v>
      </c>
      <c r="D509" s="9" t="s">
        <v>55</v>
      </c>
      <c r="E509" s="9" t="s">
        <v>80</v>
      </c>
      <c r="F509" s="9" t="s">
        <v>81</v>
      </c>
      <c r="G509" s="9" t="s">
        <v>82</v>
      </c>
      <c r="H509" s="9" t="s">
        <v>65</v>
      </c>
      <c r="I509">
        <v>0</v>
      </c>
      <c r="J509">
        <v>4</v>
      </c>
      <c r="K509">
        <v>4</v>
      </c>
      <c r="L509">
        <v>4</v>
      </c>
      <c r="M509">
        <v>0</v>
      </c>
      <c r="N509">
        <v>88</v>
      </c>
      <c r="O509">
        <v>88</v>
      </c>
      <c r="P509">
        <v>2</v>
      </c>
      <c r="Q509">
        <v>0</v>
      </c>
      <c r="R509">
        <v>1</v>
      </c>
      <c r="S509">
        <v>1</v>
      </c>
      <c r="T509">
        <v>0</v>
      </c>
      <c r="U509">
        <v>0</v>
      </c>
      <c r="V509">
        <v>1</v>
      </c>
      <c r="W509" s="9" t="s">
        <v>51</v>
      </c>
      <c r="X509">
        <v>0</v>
      </c>
      <c r="Y509">
        <v>88</v>
      </c>
    </row>
    <row r="510" spans="1:25" x14ac:dyDescent="0.35">
      <c r="A510" s="9" t="s">
        <v>1093</v>
      </c>
      <c r="B510" s="9" t="s">
        <v>1094</v>
      </c>
      <c r="C510" s="9" t="s">
        <v>54</v>
      </c>
      <c r="D510" s="9" t="s">
        <v>46</v>
      </c>
      <c r="E510" s="9" t="s">
        <v>112</v>
      </c>
      <c r="F510" s="9" t="s">
        <v>113</v>
      </c>
      <c r="G510" s="9" t="s">
        <v>54</v>
      </c>
      <c r="H510" s="9" t="s">
        <v>50</v>
      </c>
      <c r="I510">
        <v>1</v>
      </c>
      <c r="J510">
        <v>3</v>
      </c>
      <c r="K510">
        <v>3</v>
      </c>
      <c r="L510">
        <v>2</v>
      </c>
      <c r="M510">
        <v>1</v>
      </c>
      <c r="N510">
        <v>59</v>
      </c>
      <c r="O510">
        <v>44</v>
      </c>
      <c r="P510">
        <v>1</v>
      </c>
      <c r="Q510">
        <v>0</v>
      </c>
      <c r="R510">
        <v>1</v>
      </c>
      <c r="S510">
        <v>1</v>
      </c>
      <c r="T510">
        <v>1</v>
      </c>
      <c r="U510">
        <v>0</v>
      </c>
      <c r="V510">
        <v>0</v>
      </c>
      <c r="W510" s="9" t="s">
        <v>95</v>
      </c>
      <c r="X510">
        <v>26</v>
      </c>
      <c r="Y510">
        <v>88</v>
      </c>
    </row>
    <row r="511" spans="1:25" x14ac:dyDescent="0.35">
      <c r="A511" s="9" t="s">
        <v>1095</v>
      </c>
      <c r="B511" s="9" t="s">
        <v>1096</v>
      </c>
      <c r="C511" s="9" t="s">
        <v>45</v>
      </c>
      <c r="D511" s="9" t="s">
        <v>46</v>
      </c>
      <c r="E511" s="9" t="s">
        <v>63</v>
      </c>
      <c r="F511" s="9" t="s">
        <v>64</v>
      </c>
      <c r="G511" s="9" t="s">
        <v>49</v>
      </c>
      <c r="H511" s="9" t="s">
        <v>50</v>
      </c>
      <c r="I511">
        <v>0</v>
      </c>
      <c r="J511">
        <v>1</v>
      </c>
      <c r="K511">
        <v>1</v>
      </c>
      <c r="L511">
        <v>1</v>
      </c>
      <c r="M511">
        <v>0</v>
      </c>
      <c r="N511">
        <v>88</v>
      </c>
      <c r="P511">
        <v>1</v>
      </c>
      <c r="Q511">
        <v>0</v>
      </c>
      <c r="R511">
        <v>1</v>
      </c>
      <c r="S511">
        <v>0</v>
      </c>
      <c r="T511">
        <v>0</v>
      </c>
      <c r="U511">
        <v>0</v>
      </c>
      <c r="V511">
        <v>0</v>
      </c>
      <c r="W511" s="9" t="s">
        <v>58</v>
      </c>
      <c r="X511">
        <v>0</v>
      </c>
      <c r="Y511">
        <v>88</v>
      </c>
    </row>
    <row r="512" spans="1:25" x14ac:dyDescent="0.35">
      <c r="A512" s="9" t="s">
        <v>1097</v>
      </c>
      <c r="B512" s="9" t="s">
        <v>1098</v>
      </c>
      <c r="C512" s="9" t="s">
        <v>61</v>
      </c>
      <c r="D512" s="9" t="s">
        <v>46</v>
      </c>
      <c r="E512" s="9" t="s">
        <v>93</v>
      </c>
      <c r="F512" s="9" t="s">
        <v>94</v>
      </c>
      <c r="G512" s="9" t="s">
        <v>82</v>
      </c>
      <c r="H512" s="9" t="s">
        <v>65</v>
      </c>
      <c r="I512">
        <v>0</v>
      </c>
      <c r="J512">
        <v>4</v>
      </c>
      <c r="K512">
        <v>4</v>
      </c>
      <c r="L512">
        <v>4</v>
      </c>
      <c r="M512">
        <v>0</v>
      </c>
      <c r="N512">
        <v>88</v>
      </c>
      <c r="O512">
        <v>88</v>
      </c>
      <c r="P512">
        <v>3</v>
      </c>
      <c r="Q512">
        <v>0</v>
      </c>
      <c r="R512">
        <v>1</v>
      </c>
      <c r="S512">
        <v>1</v>
      </c>
      <c r="T512">
        <v>0</v>
      </c>
      <c r="U512">
        <v>0</v>
      </c>
      <c r="V512">
        <v>1</v>
      </c>
      <c r="W512" s="9" t="s">
        <v>51</v>
      </c>
      <c r="X512">
        <v>0</v>
      </c>
      <c r="Y512">
        <v>88</v>
      </c>
    </row>
    <row r="513" spans="1:25" x14ac:dyDescent="0.35">
      <c r="A513" s="9" t="s">
        <v>1099</v>
      </c>
      <c r="B513" s="9" t="s">
        <v>1100</v>
      </c>
      <c r="C513" s="9" t="s">
        <v>54</v>
      </c>
      <c r="D513" s="9" t="s">
        <v>55</v>
      </c>
      <c r="E513" s="9" t="s">
        <v>112</v>
      </c>
      <c r="F513" s="9" t="s">
        <v>113</v>
      </c>
      <c r="G513" s="9" t="s">
        <v>54</v>
      </c>
      <c r="H513" s="9" t="s">
        <v>50</v>
      </c>
      <c r="I513">
        <v>1</v>
      </c>
      <c r="J513">
        <v>1</v>
      </c>
      <c r="K513">
        <v>1</v>
      </c>
      <c r="L513">
        <v>1</v>
      </c>
      <c r="M513">
        <v>0</v>
      </c>
      <c r="N513">
        <v>88</v>
      </c>
      <c r="O513">
        <v>88</v>
      </c>
      <c r="P513">
        <v>0</v>
      </c>
      <c r="Q513">
        <v>0</v>
      </c>
      <c r="R513">
        <v>1</v>
      </c>
      <c r="S513">
        <v>1</v>
      </c>
      <c r="T513">
        <v>0</v>
      </c>
      <c r="U513">
        <v>0</v>
      </c>
      <c r="V513">
        <v>1</v>
      </c>
      <c r="W513" s="9" t="s">
        <v>51</v>
      </c>
      <c r="X513">
        <v>0</v>
      </c>
      <c r="Y513">
        <v>88</v>
      </c>
    </row>
    <row r="514" spans="1:25" x14ac:dyDescent="0.35">
      <c r="A514" s="9" t="s">
        <v>1101</v>
      </c>
      <c r="B514" s="9" t="s">
        <v>1102</v>
      </c>
      <c r="C514" s="9" t="s">
        <v>45</v>
      </c>
      <c r="D514" s="9" t="s">
        <v>55</v>
      </c>
      <c r="E514" s="9" t="s">
        <v>63</v>
      </c>
      <c r="F514" s="9" t="s">
        <v>64</v>
      </c>
      <c r="G514" s="9" t="s">
        <v>49</v>
      </c>
      <c r="H514" s="9" t="s">
        <v>50</v>
      </c>
      <c r="I514">
        <v>0</v>
      </c>
      <c r="J514">
        <v>3</v>
      </c>
      <c r="K514">
        <v>3</v>
      </c>
      <c r="L514">
        <v>1</v>
      </c>
      <c r="M514">
        <v>2</v>
      </c>
      <c r="N514">
        <v>88</v>
      </c>
      <c r="P514">
        <v>1</v>
      </c>
      <c r="Q514">
        <v>0</v>
      </c>
      <c r="R514">
        <v>1</v>
      </c>
      <c r="S514">
        <v>0</v>
      </c>
      <c r="T514">
        <v>0</v>
      </c>
      <c r="U514">
        <v>0</v>
      </c>
      <c r="V514">
        <v>0</v>
      </c>
      <c r="W514" s="9" t="s">
        <v>58</v>
      </c>
      <c r="X514">
        <v>0</v>
      </c>
      <c r="Y514">
        <v>88</v>
      </c>
    </row>
    <row r="515" spans="1:25" x14ac:dyDescent="0.35">
      <c r="A515" s="9" t="s">
        <v>1103</v>
      </c>
      <c r="B515" s="9" t="s">
        <v>1104</v>
      </c>
      <c r="C515" s="9" t="s">
        <v>68</v>
      </c>
      <c r="D515" s="9" t="s">
        <v>46</v>
      </c>
      <c r="E515" s="9" t="s">
        <v>63</v>
      </c>
      <c r="F515" s="9" t="s">
        <v>64</v>
      </c>
      <c r="G515" s="9" t="s">
        <v>49</v>
      </c>
      <c r="H515" s="9" t="s">
        <v>65</v>
      </c>
      <c r="I515">
        <v>0</v>
      </c>
      <c r="J515">
        <v>2</v>
      </c>
      <c r="K515">
        <v>2</v>
      </c>
      <c r="L515">
        <v>2</v>
      </c>
      <c r="M515">
        <v>0</v>
      </c>
      <c r="N515">
        <v>88</v>
      </c>
      <c r="O515">
        <v>88</v>
      </c>
      <c r="P515">
        <v>0</v>
      </c>
      <c r="Q515">
        <v>0</v>
      </c>
      <c r="R515">
        <v>1</v>
      </c>
      <c r="S515">
        <v>1</v>
      </c>
      <c r="T515">
        <v>0</v>
      </c>
      <c r="U515">
        <v>0</v>
      </c>
      <c r="V515">
        <v>1</v>
      </c>
      <c r="W515" s="9" t="s">
        <v>51</v>
      </c>
      <c r="X515">
        <v>0</v>
      </c>
      <c r="Y515">
        <v>88</v>
      </c>
    </row>
    <row r="516" spans="1:25" x14ac:dyDescent="0.35">
      <c r="A516" s="9" t="s">
        <v>1105</v>
      </c>
      <c r="B516" s="9" t="s">
        <v>1106</v>
      </c>
      <c r="C516" s="9" t="s">
        <v>68</v>
      </c>
      <c r="D516" s="9" t="s">
        <v>55</v>
      </c>
      <c r="E516" s="9" t="s">
        <v>69</v>
      </c>
      <c r="F516" s="9" t="s">
        <v>70</v>
      </c>
      <c r="G516" s="9" t="s">
        <v>49</v>
      </c>
      <c r="H516" s="9" t="s">
        <v>65</v>
      </c>
      <c r="I516">
        <v>0</v>
      </c>
      <c r="J516">
        <v>3</v>
      </c>
      <c r="K516">
        <v>3</v>
      </c>
      <c r="L516">
        <v>3</v>
      </c>
      <c r="M516">
        <v>0</v>
      </c>
      <c r="N516">
        <v>88</v>
      </c>
      <c r="O516">
        <v>88</v>
      </c>
      <c r="P516">
        <v>1</v>
      </c>
      <c r="Q516">
        <v>0</v>
      </c>
      <c r="R516">
        <v>1</v>
      </c>
      <c r="S516">
        <v>1</v>
      </c>
      <c r="T516">
        <v>0</v>
      </c>
      <c r="U516">
        <v>0</v>
      </c>
      <c r="V516">
        <v>1</v>
      </c>
      <c r="W516" s="9" t="s">
        <v>51</v>
      </c>
      <c r="X516">
        <v>0</v>
      </c>
      <c r="Y516">
        <v>88</v>
      </c>
    </row>
    <row r="517" spans="1:25" x14ac:dyDescent="0.35">
      <c r="A517" s="9" t="s">
        <v>1107</v>
      </c>
      <c r="B517" s="9" t="s">
        <v>1108</v>
      </c>
      <c r="C517" s="9" t="s">
        <v>54</v>
      </c>
      <c r="D517" s="9" t="s">
        <v>46</v>
      </c>
      <c r="E517" s="9" t="s">
        <v>47</v>
      </c>
      <c r="F517" s="9" t="s">
        <v>48</v>
      </c>
      <c r="G517" s="9" t="s">
        <v>49</v>
      </c>
      <c r="H517" s="9" t="s">
        <v>50</v>
      </c>
      <c r="I517">
        <v>1</v>
      </c>
      <c r="J517">
        <v>1</v>
      </c>
      <c r="K517">
        <v>1</v>
      </c>
      <c r="L517">
        <v>1</v>
      </c>
      <c r="M517">
        <v>0</v>
      </c>
      <c r="N517">
        <v>88</v>
      </c>
      <c r="P517">
        <v>1</v>
      </c>
      <c r="Q517">
        <v>1</v>
      </c>
      <c r="R517">
        <v>1</v>
      </c>
      <c r="S517">
        <v>0</v>
      </c>
      <c r="T517">
        <v>0</v>
      </c>
      <c r="U517">
        <v>0</v>
      </c>
      <c r="V517">
        <v>0</v>
      </c>
      <c r="W517" s="9" t="s">
        <v>58</v>
      </c>
      <c r="X517">
        <v>0</v>
      </c>
      <c r="Y517">
        <v>88</v>
      </c>
    </row>
    <row r="518" spans="1:25" x14ac:dyDescent="0.35">
      <c r="A518" s="9" t="s">
        <v>1109</v>
      </c>
      <c r="B518" s="9" t="s">
        <v>1110</v>
      </c>
      <c r="C518" s="9" t="s">
        <v>68</v>
      </c>
      <c r="D518" s="9" t="s">
        <v>46</v>
      </c>
      <c r="E518" s="9" t="s">
        <v>93</v>
      </c>
      <c r="F518" s="9" t="s">
        <v>94</v>
      </c>
      <c r="G518" s="9" t="s">
        <v>82</v>
      </c>
      <c r="H518" s="9" t="s">
        <v>65</v>
      </c>
      <c r="I518">
        <v>0</v>
      </c>
      <c r="J518">
        <v>4</v>
      </c>
      <c r="K518">
        <v>4</v>
      </c>
      <c r="L518">
        <v>4</v>
      </c>
      <c r="M518">
        <v>0</v>
      </c>
      <c r="N518">
        <v>88</v>
      </c>
      <c r="O518">
        <v>88</v>
      </c>
      <c r="P518">
        <v>2</v>
      </c>
      <c r="Q518">
        <v>0</v>
      </c>
      <c r="R518">
        <v>1</v>
      </c>
      <c r="S518">
        <v>1</v>
      </c>
      <c r="T518">
        <v>0</v>
      </c>
      <c r="U518">
        <v>0</v>
      </c>
      <c r="V518">
        <v>1</v>
      </c>
      <c r="W518" s="9" t="s">
        <v>51</v>
      </c>
      <c r="X518">
        <v>0</v>
      </c>
      <c r="Y518">
        <v>88</v>
      </c>
    </row>
    <row r="519" spans="1:25" x14ac:dyDescent="0.35">
      <c r="A519" s="9" t="s">
        <v>1111</v>
      </c>
      <c r="B519" s="9" t="s">
        <v>1112</v>
      </c>
      <c r="C519" s="9" t="s">
        <v>61</v>
      </c>
      <c r="D519" s="9" t="s">
        <v>46</v>
      </c>
      <c r="E519" s="9" t="s">
        <v>80</v>
      </c>
      <c r="F519" s="9" t="s">
        <v>81</v>
      </c>
      <c r="G519" s="9" t="s">
        <v>82</v>
      </c>
      <c r="H519" s="9" t="s">
        <v>65</v>
      </c>
      <c r="I519">
        <v>0</v>
      </c>
      <c r="J519">
        <v>3</v>
      </c>
      <c r="K519">
        <v>3</v>
      </c>
      <c r="L519">
        <v>3</v>
      </c>
      <c r="M519">
        <v>0</v>
      </c>
      <c r="N519">
        <v>88</v>
      </c>
      <c r="O519">
        <v>29</v>
      </c>
      <c r="P519">
        <v>2</v>
      </c>
      <c r="Q519">
        <v>0</v>
      </c>
      <c r="R519">
        <v>1</v>
      </c>
      <c r="S519">
        <v>1</v>
      </c>
      <c r="T519">
        <v>1</v>
      </c>
      <c r="U519">
        <v>0</v>
      </c>
      <c r="V519">
        <v>0</v>
      </c>
      <c r="W519" s="9" t="s">
        <v>95</v>
      </c>
      <c r="X519">
        <v>11</v>
      </c>
      <c r="Y519">
        <v>88</v>
      </c>
    </row>
    <row r="520" spans="1:25" x14ac:dyDescent="0.35">
      <c r="A520" s="9" t="s">
        <v>1113</v>
      </c>
      <c r="B520" s="9" t="s">
        <v>1114</v>
      </c>
      <c r="C520" s="9" t="s">
        <v>68</v>
      </c>
      <c r="D520" s="9" t="s">
        <v>55</v>
      </c>
      <c r="E520" s="9" t="s">
        <v>112</v>
      </c>
      <c r="F520" s="9" t="s">
        <v>113</v>
      </c>
      <c r="G520" s="9" t="s">
        <v>54</v>
      </c>
      <c r="H520" s="9" t="s">
        <v>65</v>
      </c>
      <c r="I520">
        <v>0</v>
      </c>
      <c r="J520">
        <v>3</v>
      </c>
      <c r="K520">
        <v>3</v>
      </c>
      <c r="L520">
        <v>2</v>
      </c>
      <c r="M520">
        <v>0</v>
      </c>
      <c r="N520">
        <v>71</v>
      </c>
      <c r="O520">
        <v>65</v>
      </c>
      <c r="P520">
        <v>1</v>
      </c>
      <c r="Q520">
        <v>0</v>
      </c>
      <c r="R520">
        <v>1</v>
      </c>
      <c r="S520">
        <v>1</v>
      </c>
      <c r="T520">
        <v>1</v>
      </c>
      <c r="U520">
        <v>1</v>
      </c>
      <c r="V520">
        <v>0</v>
      </c>
      <c r="W520" s="9" t="s">
        <v>560</v>
      </c>
      <c r="X520">
        <v>17</v>
      </c>
      <c r="Y520">
        <v>88</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5737-1FD6-43B3-9698-26591D4B103D}">
  <dimension ref="A1:X227"/>
  <sheetViews>
    <sheetView workbookViewId="0"/>
  </sheetViews>
  <sheetFormatPr defaultRowHeight="14.5" x14ac:dyDescent="0.35"/>
  <cols>
    <col min="1" max="1" width="13.36328125" bestFit="1" customWidth="1"/>
    <col min="2" max="2" width="15.90625" bestFit="1" customWidth="1"/>
    <col min="3" max="3" width="77.36328125" bestFit="1" customWidth="1"/>
    <col min="4" max="4" width="11.26953125" bestFit="1" customWidth="1"/>
    <col min="5" max="5" width="9.7265625" bestFit="1" customWidth="1"/>
    <col min="6" max="6" width="16.81640625" bestFit="1" customWidth="1"/>
    <col min="7" max="7" width="24" bestFit="1" customWidth="1"/>
    <col min="8" max="8" width="11.36328125" bestFit="1" customWidth="1"/>
    <col min="9" max="9" width="10.26953125" bestFit="1" customWidth="1"/>
    <col min="10" max="10" width="15.36328125" bestFit="1" customWidth="1"/>
    <col min="11" max="11" width="15" bestFit="1" customWidth="1"/>
    <col min="12" max="12" width="14" bestFit="1" customWidth="1"/>
    <col min="13" max="13" width="15.36328125" bestFit="1" customWidth="1"/>
    <col min="14" max="14" width="17.90625" bestFit="1" customWidth="1"/>
    <col min="15" max="15" width="8.1796875" bestFit="1" customWidth="1"/>
    <col min="16" max="16" width="10.6328125" bestFit="1" customWidth="1"/>
    <col min="17" max="17" width="15.26953125" bestFit="1" customWidth="1"/>
    <col min="18" max="18" width="13.26953125" bestFit="1" customWidth="1"/>
    <col min="19" max="19" width="20.54296875" bestFit="1" customWidth="1"/>
    <col min="20" max="20" width="13.81640625" bestFit="1" customWidth="1"/>
    <col min="21" max="21" width="20.90625" bestFit="1" customWidth="1"/>
    <col min="22" max="22" width="16.26953125" bestFit="1" customWidth="1"/>
    <col min="23" max="23" width="12.6328125" bestFit="1" customWidth="1"/>
    <col min="24" max="24" width="80.7265625" bestFit="1" customWidth="1"/>
  </cols>
  <sheetData>
    <row r="1" spans="1:24" s="3" customFormat="1" x14ac:dyDescent="0.35">
      <c r="A1" s="3" t="s">
        <v>1115</v>
      </c>
      <c r="B1" s="3" t="s">
        <v>18</v>
      </c>
      <c r="C1" s="3" t="s">
        <v>19</v>
      </c>
      <c r="D1" s="3" t="s">
        <v>20</v>
      </c>
      <c r="E1" s="3" t="s">
        <v>21</v>
      </c>
      <c r="F1" s="3" t="s">
        <v>22</v>
      </c>
      <c r="G1" s="3" t="s">
        <v>23</v>
      </c>
      <c r="H1" s="3" t="s">
        <v>24</v>
      </c>
      <c r="I1" s="3" t="s">
        <v>1116</v>
      </c>
      <c r="J1" s="3" t="s">
        <v>1117</v>
      </c>
      <c r="K1" s="3" t="s">
        <v>1118</v>
      </c>
      <c r="L1" s="3" t="s">
        <v>25</v>
      </c>
      <c r="M1" s="3" t="s">
        <v>32</v>
      </c>
      <c r="N1" s="3" t="s">
        <v>41</v>
      </c>
      <c r="O1" s="3" t="s">
        <v>1119</v>
      </c>
      <c r="P1" s="3" t="s">
        <v>1120</v>
      </c>
      <c r="Q1" s="3" t="s">
        <v>1121</v>
      </c>
      <c r="R1" s="3" t="s">
        <v>1122</v>
      </c>
      <c r="S1" s="3" t="s">
        <v>1123</v>
      </c>
      <c r="T1" s="3" t="s">
        <v>1124</v>
      </c>
      <c r="U1" s="3" t="s">
        <v>1125</v>
      </c>
      <c r="V1" s="3" t="s">
        <v>1126</v>
      </c>
      <c r="W1" s="3" t="s">
        <v>1127</v>
      </c>
      <c r="X1" s="3" t="s">
        <v>1128</v>
      </c>
    </row>
    <row r="2" spans="1:24" x14ac:dyDescent="0.35">
      <c r="A2">
        <v>1</v>
      </c>
      <c r="B2" s="9" t="s">
        <v>625</v>
      </c>
      <c r="C2" s="9" t="s">
        <v>626</v>
      </c>
      <c r="D2" s="9" t="s">
        <v>61</v>
      </c>
      <c r="E2" s="9" t="s">
        <v>46</v>
      </c>
      <c r="F2" s="9" t="s">
        <v>56</v>
      </c>
      <c r="G2" s="9" t="s">
        <v>57</v>
      </c>
      <c r="H2" s="9" t="s">
        <v>54</v>
      </c>
      <c r="I2" s="9" t="s">
        <v>1129</v>
      </c>
      <c r="J2" s="9" t="s">
        <v>1130</v>
      </c>
      <c r="K2" s="9" t="s">
        <v>1131</v>
      </c>
      <c r="L2" s="9" t="s">
        <v>65</v>
      </c>
      <c r="M2">
        <v>69</v>
      </c>
      <c r="N2">
        <v>14</v>
      </c>
      <c r="O2">
        <v>3</v>
      </c>
      <c r="P2">
        <v>2.5</v>
      </c>
      <c r="Q2">
        <v>0</v>
      </c>
      <c r="R2">
        <v>292</v>
      </c>
      <c r="S2">
        <v>2.5</v>
      </c>
      <c r="T2">
        <v>92</v>
      </c>
      <c r="U2" s="9" t="s">
        <v>1132</v>
      </c>
      <c r="V2">
        <v>0</v>
      </c>
      <c r="W2">
        <v>1</v>
      </c>
      <c r="X2" s="9" t="s">
        <v>1133</v>
      </c>
    </row>
    <row r="3" spans="1:24" x14ac:dyDescent="0.35">
      <c r="A3">
        <v>2</v>
      </c>
      <c r="B3" s="9" t="s">
        <v>837</v>
      </c>
      <c r="C3" s="9" t="s">
        <v>838</v>
      </c>
      <c r="D3" s="9" t="s">
        <v>68</v>
      </c>
      <c r="E3" s="9" t="s">
        <v>46</v>
      </c>
      <c r="F3" s="9" t="s">
        <v>56</v>
      </c>
      <c r="G3" s="9" t="s">
        <v>57</v>
      </c>
      <c r="H3" s="9" t="s">
        <v>54</v>
      </c>
      <c r="I3" s="9" t="s">
        <v>1134</v>
      </c>
      <c r="J3" s="9" t="s">
        <v>1135</v>
      </c>
      <c r="K3" s="9" t="s">
        <v>1136</v>
      </c>
      <c r="L3" s="9" t="s">
        <v>65</v>
      </c>
      <c r="M3">
        <v>34</v>
      </c>
      <c r="N3">
        <v>28</v>
      </c>
      <c r="O3">
        <v>1</v>
      </c>
      <c r="P3">
        <v>2.5</v>
      </c>
      <c r="Q3">
        <v>0</v>
      </c>
      <c r="R3">
        <v>33</v>
      </c>
      <c r="S3">
        <v>5</v>
      </c>
      <c r="T3">
        <v>92</v>
      </c>
      <c r="U3" s="9" t="s">
        <v>1132</v>
      </c>
      <c r="V3">
        <v>0</v>
      </c>
      <c r="W3">
        <v>1</v>
      </c>
      <c r="X3" s="9" t="s">
        <v>1133</v>
      </c>
    </row>
    <row r="4" spans="1:24" x14ac:dyDescent="0.35">
      <c r="A4">
        <v>3</v>
      </c>
      <c r="B4" s="9" t="s">
        <v>558</v>
      </c>
      <c r="C4" s="9" t="s">
        <v>559</v>
      </c>
      <c r="D4" s="9" t="s">
        <v>134</v>
      </c>
      <c r="E4" s="9" t="s">
        <v>46</v>
      </c>
      <c r="F4" s="9" t="s">
        <v>112</v>
      </c>
      <c r="G4" s="9" t="s">
        <v>113</v>
      </c>
      <c r="H4" s="9" t="s">
        <v>54</v>
      </c>
      <c r="I4" s="9" t="s">
        <v>1137</v>
      </c>
      <c r="J4" s="9" t="s">
        <v>1138</v>
      </c>
      <c r="K4" s="9" t="s">
        <v>1136</v>
      </c>
      <c r="L4" s="9" t="s">
        <v>135</v>
      </c>
      <c r="M4">
        <v>50</v>
      </c>
      <c r="N4">
        <v>24</v>
      </c>
      <c r="O4">
        <v>4</v>
      </c>
      <c r="P4">
        <v>0</v>
      </c>
      <c r="Q4">
        <v>24</v>
      </c>
      <c r="R4">
        <v>443</v>
      </c>
      <c r="S4">
        <v>5</v>
      </c>
      <c r="T4">
        <v>92</v>
      </c>
      <c r="U4" s="9" t="s">
        <v>1132</v>
      </c>
      <c r="V4">
        <v>0</v>
      </c>
      <c r="W4">
        <v>0</v>
      </c>
      <c r="X4" s="9" t="s">
        <v>1133</v>
      </c>
    </row>
    <row r="5" spans="1:24" x14ac:dyDescent="0.35">
      <c r="A5">
        <v>4</v>
      </c>
      <c r="B5" s="9" t="s">
        <v>476</v>
      </c>
      <c r="C5" s="9" t="s">
        <v>477</v>
      </c>
      <c r="D5" s="9" t="s">
        <v>61</v>
      </c>
      <c r="E5" s="9" t="s">
        <v>46</v>
      </c>
      <c r="F5" s="9" t="s">
        <v>56</v>
      </c>
      <c r="G5" s="9" t="s">
        <v>57</v>
      </c>
      <c r="H5" s="9" t="s">
        <v>54</v>
      </c>
      <c r="I5" s="9" t="s">
        <v>1139</v>
      </c>
      <c r="J5" s="9" t="s">
        <v>1140</v>
      </c>
      <c r="K5" s="9" t="s">
        <v>1131</v>
      </c>
      <c r="L5" s="9" t="s">
        <v>65</v>
      </c>
      <c r="N5">
        <v>0</v>
      </c>
      <c r="O5">
        <v>2</v>
      </c>
      <c r="P5">
        <v>0</v>
      </c>
      <c r="Q5">
        <v>0</v>
      </c>
      <c r="R5">
        <v>103</v>
      </c>
      <c r="S5">
        <v>5</v>
      </c>
      <c r="T5">
        <v>90</v>
      </c>
      <c r="U5" s="9" t="s">
        <v>1141</v>
      </c>
      <c r="V5">
        <v>0</v>
      </c>
      <c r="W5">
        <v>1</v>
      </c>
      <c r="X5" s="9" t="s">
        <v>1142</v>
      </c>
    </row>
    <row r="6" spans="1:24" x14ac:dyDescent="0.35">
      <c r="A6">
        <v>5</v>
      </c>
      <c r="B6" s="9" t="s">
        <v>585</v>
      </c>
      <c r="C6" s="9" t="s">
        <v>586</v>
      </c>
      <c r="D6" s="9" t="s">
        <v>61</v>
      </c>
      <c r="E6" s="9" t="s">
        <v>46</v>
      </c>
      <c r="F6" s="9" t="s">
        <v>56</v>
      </c>
      <c r="G6" s="9" t="s">
        <v>57</v>
      </c>
      <c r="H6" s="9" t="s">
        <v>54</v>
      </c>
      <c r="I6" s="9" t="s">
        <v>1143</v>
      </c>
      <c r="J6" s="9" t="s">
        <v>1144</v>
      </c>
      <c r="K6" s="9" t="s">
        <v>1131</v>
      </c>
      <c r="L6" s="9" t="s">
        <v>65</v>
      </c>
      <c r="N6">
        <v>0</v>
      </c>
      <c r="O6">
        <v>1</v>
      </c>
      <c r="P6">
        <v>0</v>
      </c>
      <c r="Q6">
        <v>0</v>
      </c>
      <c r="R6">
        <v>195</v>
      </c>
      <c r="S6">
        <v>5</v>
      </c>
      <c r="T6">
        <v>90</v>
      </c>
      <c r="U6" s="9" t="s">
        <v>1141</v>
      </c>
      <c r="V6">
        <v>1</v>
      </c>
      <c r="W6">
        <v>1</v>
      </c>
      <c r="X6" s="9" t="s">
        <v>1142</v>
      </c>
    </row>
    <row r="7" spans="1:24" x14ac:dyDescent="0.35">
      <c r="A7">
        <v>6</v>
      </c>
      <c r="B7" s="9" t="s">
        <v>937</v>
      </c>
      <c r="C7" s="9" t="s">
        <v>938</v>
      </c>
      <c r="D7" s="9" t="s">
        <v>54</v>
      </c>
      <c r="E7" s="9" t="s">
        <v>46</v>
      </c>
      <c r="F7" s="9" t="s">
        <v>56</v>
      </c>
      <c r="G7" s="9" t="s">
        <v>57</v>
      </c>
      <c r="H7" s="9" t="s">
        <v>54</v>
      </c>
      <c r="I7" s="9" t="s">
        <v>1145</v>
      </c>
      <c r="J7" s="9" t="s">
        <v>1146</v>
      </c>
      <c r="K7" s="9" t="s">
        <v>1136</v>
      </c>
      <c r="L7" s="9" t="s">
        <v>50</v>
      </c>
      <c r="N7">
        <v>0</v>
      </c>
      <c r="O7">
        <v>2</v>
      </c>
      <c r="P7">
        <v>5</v>
      </c>
      <c r="Q7">
        <v>0</v>
      </c>
      <c r="R7">
        <v>100</v>
      </c>
      <c r="S7">
        <v>10</v>
      </c>
      <c r="T7">
        <v>90</v>
      </c>
      <c r="U7" s="9" t="s">
        <v>1141</v>
      </c>
      <c r="V7">
        <v>0</v>
      </c>
      <c r="W7">
        <v>1</v>
      </c>
      <c r="X7" s="9" t="s">
        <v>1142</v>
      </c>
    </row>
    <row r="8" spans="1:24" x14ac:dyDescent="0.35">
      <c r="A8">
        <v>7</v>
      </c>
      <c r="B8" s="9" t="s">
        <v>414</v>
      </c>
      <c r="C8" s="9" t="s">
        <v>415</v>
      </c>
      <c r="D8" s="9" t="s">
        <v>134</v>
      </c>
      <c r="E8" s="9" t="s">
        <v>46</v>
      </c>
      <c r="F8" s="9" t="s">
        <v>56</v>
      </c>
      <c r="G8" s="9" t="s">
        <v>57</v>
      </c>
      <c r="H8" s="9" t="s">
        <v>54</v>
      </c>
      <c r="I8" s="9" t="s">
        <v>1147</v>
      </c>
      <c r="J8" s="9" t="s">
        <v>1148</v>
      </c>
      <c r="K8" s="9" t="s">
        <v>1149</v>
      </c>
      <c r="L8" s="9" t="s">
        <v>135</v>
      </c>
      <c r="N8">
        <v>0</v>
      </c>
      <c r="O8">
        <v>1</v>
      </c>
      <c r="P8">
        <v>0</v>
      </c>
      <c r="Q8">
        <v>8</v>
      </c>
      <c r="R8">
        <v>187</v>
      </c>
      <c r="S8">
        <v>10</v>
      </c>
      <c r="T8">
        <v>90</v>
      </c>
      <c r="U8" s="9" t="s">
        <v>1141</v>
      </c>
      <c r="V8">
        <v>1</v>
      </c>
      <c r="W8">
        <v>0</v>
      </c>
      <c r="X8" s="9" t="s">
        <v>1142</v>
      </c>
    </row>
    <row r="9" spans="1:24" x14ac:dyDescent="0.35">
      <c r="A9">
        <v>8</v>
      </c>
      <c r="B9" s="9" t="s">
        <v>240</v>
      </c>
      <c r="C9" s="9" t="s">
        <v>241</v>
      </c>
      <c r="D9" s="9" t="s">
        <v>61</v>
      </c>
      <c r="E9" s="9" t="s">
        <v>46</v>
      </c>
      <c r="F9" s="9" t="s">
        <v>56</v>
      </c>
      <c r="G9" s="9" t="s">
        <v>57</v>
      </c>
      <c r="H9" s="9" t="s">
        <v>54</v>
      </c>
      <c r="I9" s="9" t="s">
        <v>1129</v>
      </c>
      <c r="J9" s="9" t="s">
        <v>1130</v>
      </c>
      <c r="K9" s="9" t="s">
        <v>1131</v>
      </c>
      <c r="L9" s="9" t="s">
        <v>65</v>
      </c>
      <c r="M9">
        <v>59</v>
      </c>
      <c r="N9">
        <v>21</v>
      </c>
      <c r="O9">
        <v>3</v>
      </c>
      <c r="P9">
        <v>0</v>
      </c>
      <c r="Q9">
        <v>0</v>
      </c>
      <c r="R9">
        <v>464</v>
      </c>
      <c r="S9">
        <v>10</v>
      </c>
      <c r="T9">
        <v>88</v>
      </c>
      <c r="U9" s="9" t="s">
        <v>1150</v>
      </c>
      <c r="V9">
        <v>0</v>
      </c>
      <c r="W9">
        <v>1</v>
      </c>
      <c r="X9" s="9" t="s">
        <v>1151</v>
      </c>
    </row>
    <row r="10" spans="1:24" x14ac:dyDescent="0.35">
      <c r="A10">
        <v>9</v>
      </c>
      <c r="B10" s="9" t="s">
        <v>573</v>
      </c>
      <c r="C10" s="9" t="s">
        <v>574</v>
      </c>
      <c r="D10" s="9" t="s">
        <v>61</v>
      </c>
      <c r="E10" s="9" t="s">
        <v>46</v>
      </c>
      <c r="F10" s="9" t="s">
        <v>56</v>
      </c>
      <c r="G10" s="9" t="s">
        <v>57</v>
      </c>
      <c r="H10" s="9" t="s">
        <v>54</v>
      </c>
      <c r="I10" s="9" t="s">
        <v>1152</v>
      </c>
      <c r="J10" s="9" t="s">
        <v>1153</v>
      </c>
      <c r="K10" s="9" t="s">
        <v>1131</v>
      </c>
      <c r="L10" s="9" t="s">
        <v>65</v>
      </c>
      <c r="M10">
        <v>55</v>
      </c>
      <c r="N10">
        <v>22</v>
      </c>
      <c r="O10">
        <v>1</v>
      </c>
      <c r="P10">
        <v>0</v>
      </c>
      <c r="Q10">
        <v>0</v>
      </c>
      <c r="R10">
        <v>115</v>
      </c>
      <c r="S10">
        <v>10</v>
      </c>
      <c r="T10">
        <v>88</v>
      </c>
      <c r="U10" s="9" t="s">
        <v>1150</v>
      </c>
      <c r="V10">
        <v>0</v>
      </c>
      <c r="W10">
        <v>1</v>
      </c>
      <c r="X10" s="9" t="s">
        <v>1154</v>
      </c>
    </row>
    <row r="11" spans="1:24" x14ac:dyDescent="0.35">
      <c r="A11">
        <v>10</v>
      </c>
      <c r="B11" s="9" t="s">
        <v>725</v>
      </c>
      <c r="C11" s="9" t="s">
        <v>726</v>
      </c>
      <c r="D11" s="9" t="s">
        <v>68</v>
      </c>
      <c r="E11" s="9" t="s">
        <v>46</v>
      </c>
      <c r="F11" s="9" t="s">
        <v>56</v>
      </c>
      <c r="G11" s="9" t="s">
        <v>57</v>
      </c>
      <c r="H11" s="9" t="s">
        <v>54</v>
      </c>
      <c r="I11" s="9" t="s">
        <v>1155</v>
      </c>
      <c r="J11" s="9" t="s">
        <v>1156</v>
      </c>
      <c r="K11" s="9" t="s">
        <v>1131</v>
      </c>
      <c r="L11" s="9" t="s">
        <v>65</v>
      </c>
      <c r="M11">
        <v>67</v>
      </c>
      <c r="N11">
        <v>15</v>
      </c>
      <c r="O11">
        <v>2</v>
      </c>
      <c r="P11">
        <v>0</v>
      </c>
      <c r="Q11">
        <v>0</v>
      </c>
      <c r="R11">
        <v>260</v>
      </c>
      <c r="S11">
        <v>10</v>
      </c>
      <c r="T11">
        <v>88</v>
      </c>
      <c r="U11" s="9" t="s">
        <v>1150</v>
      </c>
      <c r="V11">
        <v>0</v>
      </c>
      <c r="W11">
        <v>1</v>
      </c>
      <c r="X11" s="9" t="s">
        <v>1157</v>
      </c>
    </row>
    <row r="12" spans="1:24" x14ac:dyDescent="0.35">
      <c r="A12">
        <v>11</v>
      </c>
      <c r="B12" s="9" t="s">
        <v>729</v>
      </c>
      <c r="C12" s="9" t="s">
        <v>730</v>
      </c>
      <c r="D12" s="9" t="s">
        <v>68</v>
      </c>
      <c r="E12" s="9" t="s">
        <v>46</v>
      </c>
      <c r="F12" s="9" t="s">
        <v>112</v>
      </c>
      <c r="G12" s="9" t="s">
        <v>113</v>
      </c>
      <c r="H12" s="9" t="s">
        <v>54</v>
      </c>
      <c r="I12" s="9" t="s">
        <v>1158</v>
      </c>
      <c r="J12" s="9" t="s">
        <v>1159</v>
      </c>
      <c r="K12" s="9" t="s">
        <v>1160</v>
      </c>
      <c r="L12" s="9" t="s">
        <v>65</v>
      </c>
      <c r="M12">
        <v>42</v>
      </c>
      <c r="N12">
        <v>27</v>
      </c>
      <c r="O12">
        <v>3</v>
      </c>
      <c r="P12">
        <v>0</v>
      </c>
      <c r="Q12">
        <v>0</v>
      </c>
      <c r="R12">
        <v>566</v>
      </c>
      <c r="S12">
        <v>10</v>
      </c>
      <c r="T12">
        <v>88</v>
      </c>
      <c r="U12" s="9" t="s">
        <v>1150</v>
      </c>
      <c r="V12">
        <v>0</v>
      </c>
      <c r="W12">
        <v>1</v>
      </c>
      <c r="X12" s="9" t="s">
        <v>1161</v>
      </c>
    </row>
    <row r="13" spans="1:24" x14ac:dyDescent="0.35">
      <c r="A13">
        <v>12</v>
      </c>
      <c r="B13" s="9" t="s">
        <v>845</v>
      </c>
      <c r="C13" s="9" t="s">
        <v>846</v>
      </c>
      <c r="D13" s="9" t="s">
        <v>61</v>
      </c>
      <c r="E13" s="9" t="s">
        <v>46</v>
      </c>
      <c r="F13" s="9" t="s">
        <v>56</v>
      </c>
      <c r="G13" s="9" t="s">
        <v>57</v>
      </c>
      <c r="H13" s="9" t="s">
        <v>54</v>
      </c>
      <c r="I13" s="9" t="s">
        <v>1162</v>
      </c>
      <c r="J13" s="9" t="s">
        <v>1163</v>
      </c>
      <c r="K13" s="9" t="s">
        <v>1149</v>
      </c>
      <c r="L13" s="9" t="s">
        <v>65</v>
      </c>
      <c r="M13">
        <v>41</v>
      </c>
      <c r="N13">
        <v>25</v>
      </c>
      <c r="O13">
        <v>1</v>
      </c>
      <c r="P13">
        <v>0</v>
      </c>
      <c r="Q13">
        <v>0</v>
      </c>
      <c r="R13">
        <v>105</v>
      </c>
      <c r="S13">
        <v>10</v>
      </c>
      <c r="T13">
        <v>88</v>
      </c>
      <c r="U13" s="9" t="s">
        <v>1150</v>
      </c>
      <c r="V13">
        <v>0</v>
      </c>
      <c r="W13">
        <v>1</v>
      </c>
      <c r="X13" s="9" t="s">
        <v>1164</v>
      </c>
    </row>
    <row r="14" spans="1:24" x14ac:dyDescent="0.35">
      <c r="A14">
        <v>13</v>
      </c>
      <c r="B14" s="9" t="s">
        <v>146</v>
      </c>
      <c r="C14" s="9" t="s">
        <v>147</v>
      </c>
      <c r="D14" s="9" t="s">
        <v>68</v>
      </c>
      <c r="E14" s="9" t="s">
        <v>46</v>
      </c>
      <c r="F14" s="9" t="s">
        <v>112</v>
      </c>
      <c r="G14" s="9" t="s">
        <v>113</v>
      </c>
      <c r="H14" s="9" t="s">
        <v>54</v>
      </c>
      <c r="I14" s="9" t="s">
        <v>1155</v>
      </c>
      <c r="J14" s="9" t="s">
        <v>1156</v>
      </c>
      <c r="K14" s="9" t="s">
        <v>1131</v>
      </c>
      <c r="L14" s="9" t="s">
        <v>65</v>
      </c>
      <c r="M14">
        <v>66</v>
      </c>
      <c r="N14">
        <v>16</v>
      </c>
      <c r="O14">
        <v>2</v>
      </c>
      <c r="P14">
        <v>2.5</v>
      </c>
      <c r="Q14">
        <v>0</v>
      </c>
      <c r="R14">
        <v>189</v>
      </c>
      <c r="S14">
        <v>12.5</v>
      </c>
      <c r="T14">
        <v>88</v>
      </c>
      <c r="U14" s="9" t="s">
        <v>1150</v>
      </c>
      <c r="V14">
        <v>0</v>
      </c>
      <c r="W14">
        <v>1</v>
      </c>
      <c r="X14" s="9" t="s">
        <v>1165</v>
      </c>
    </row>
    <row r="15" spans="1:24" x14ac:dyDescent="0.35">
      <c r="A15">
        <v>14</v>
      </c>
      <c r="B15" s="9" t="s">
        <v>378</v>
      </c>
      <c r="C15" s="9" t="s">
        <v>379</v>
      </c>
      <c r="D15" s="9" t="s">
        <v>54</v>
      </c>
      <c r="E15" s="9" t="s">
        <v>46</v>
      </c>
      <c r="F15" s="9" t="s">
        <v>56</v>
      </c>
      <c r="G15" s="9" t="s">
        <v>57</v>
      </c>
      <c r="H15" s="9" t="s">
        <v>54</v>
      </c>
      <c r="I15" s="9" t="s">
        <v>1143</v>
      </c>
      <c r="J15" s="9" t="s">
        <v>1144</v>
      </c>
      <c r="K15" s="9" t="s">
        <v>1131</v>
      </c>
      <c r="L15" s="9" t="s">
        <v>50</v>
      </c>
      <c r="M15">
        <v>68</v>
      </c>
      <c r="N15">
        <v>14</v>
      </c>
      <c r="O15">
        <v>4</v>
      </c>
      <c r="P15">
        <v>2.5</v>
      </c>
      <c r="Q15">
        <v>0</v>
      </c>
      <c r="R15">
        <v>325</v>
      </c>
      <c r="S15">
        <v>15</v>
      </c>
      <c r="T15">
        <v>88</v>
      </c>
      <c r="U15" s="9" t="s">
        <v>1150</v>
      </c>
      <c r="V15">
        <v>0</v>
      </c>
      <c r="W15">
        <v>1</v>
      </c>
      <c r="X15" s="9" t="s">
        <v>1166</v>
      </c>
    </row>
    <row r="16" spans="1:24" x14ac:dyDescent="0.35">
      <c r="A16">
        <v>15</v>
      </c>
      <c r="B16" s="9" t="s">
        <v>488</v>
      </c>
      <c r="C16" s="9" t="s">
        <v>489</v>
      </c>
      <c r="D16" s="9" t="s">
        <v>54</v>
      </c>
      <c r="E16" s="9" t="s">
        <v>46</v>
      </c>
      <c r="F16" s="9" t="s">
        <v>56</v>
      </c>
      <c r="G16" s="9" t="s">
        <v>57</v>
      </c>
      <c r="H16" s="9" t="s">
        <v>54</v>
      </c>
      <c r="I16" s="9" t="s">
        <v>1167</v>
      </c>
      <c r="J16" s="9" t="s">
        <v>1168</v>
      </c>
      <c r="K16" s="9" t="s">
        <v>1136</v>
      </c>
      <c r="L16" s="9" t="s">
        <v>50</v>
      </c>
      <c r="M16">
        <v>40</v>
      </c>
      <c r="N16">
        <v>25</v>
      </c>
      <c r="O16">
        <v>1</v>
      </c>
      <c r="P16">
        <v>2.5</v>
      </c>
      <c r="Q16">
        <v>0</v>
      </c>
      <c r="R16">
        <v>96</v>
      </c>
      <c r="S16">
        <v>17.5</v>
      </c>
      <c r="T16">
        <v>88</v>
      </c>
      <c r="U16" s="9" t="s">
        <v>1150</v>
      </c>
      <c r="V16">
        <v>0</v>
      </c>
      <c r="W16">
        <v>1</v>
      </c>
      <c r="X16" s="9" t="s">
        <v>1169</v>
      </c>
    </row>
    <row r="17" spans="1:24" x14ac:dyDescent="0.35">
      <c r="A17">
        <v>16</v>
      </c>
      <c r="B17" s="9" t="s">
        <v>504</v>
      </c>
      <c r="C17" s="9" t="s">
        <v>505</v>
      </c>
      <c r="D17" s="9" t="s">
        <v>54</v>
      </c>
      <c r="E17" s="9" t="s">
        <v>46</v>
      </c>
      <c r="F17" s="9" t="s">
        <v>112</v>
      </c>
      <c r="G17" s="9" t="s">
        <v>113</v>
      </c>
      <c r="H17" s="9" t="s">
        <v>54</v>
      </c>
      <c r="I17" s="9" t="s">
        <v>1143</v>
      </c>
      <c r="J17" s="9" t="s">
        <v>1144</v>
      </c>
      <c r="K17" s="9" t="s">
        <v>1131</v>
      </c>
      <c r="L17" s="9" t="s">
        <v>50</v>
      </c>
      <c r="M17">
        <v>51</v>
      </c>
      <c r="N17">
        <v>23</v>
      </c>
      <c r="O17">
        <v>1</v>
      </c>
      <c r="P17">
        <v>2.5</v>
      </c>
      <c r="Q17">
        <v>0</v>
      </c>
      <c r="R17">
        <v>32</v>
      </c>
      <c r="S17">
        <v>20</v>
      </c>
      <c r="T17">
        <v>88</v>
      </c>
      <c r="U17" s="9" t="s">
        <v>1150</v>
      </c>
      <c r="V17">
        <v>0</v>
      </c>
      <c r="W17">
        <v>1</v>
      </c>
      <c r="X17" s="9" t="s">
        <v>1170</v>
      </c>
    </row>
    <row r="18" spans="1:24" x14ac:dyDescent="0.35">
      <c r="A18">
        <v>17</v>
      </c>
      <c r="B18" s="9" t="s">
        <v>556</v>
      </c>
      <c r="C18" s="9" t="s">
        <v>557</v>
      </c>
      <c r="D18" s="9" t="s">
        <v>54</v>
      </c>
      <c r="E18" s="9" t="s">
        <v>46</v>
      </c>
      <c r="F18" s="9" t="s">
        <v>56</v>
      </c>
      <c r="G18" s="9" t="s">
        <v>57</v>
      </c>
      <c r="H18" s="9" t="s">
        <v>54</v>
      </c>
      <c r="I18" s="9" t="s">
        <v>1171</v>
      </c>
      <c r="J18" s="9" t="s">
        <v>1172</v>
      </c>
      <c r="K18" s="9" t="s">
        <v>1149</v>
      </c>
      <c r="L18" s="9" t="s">
        <v>50</v>
      </c>
      <c r="M18">
        <v>49</v>
      </c>
      <c r="N18">
        <v>22</v>
      </c>
      <c r="O18">
        <v>4</v>
      </c>
      <c r="P18">
        <v>2.5</v>
      </c>
      <c r="Q18">
        <v>0</v>
      </c>
      <c r="R18">
        <v>384</v>
      </c>
      <c r="S18">
        <v>22.5</v>
      </c>
      <c r="T18">
        <v>88</v>
      </c>
      <c r="U18" s="9" t="s">
        <v>1150</v>
      </c>
      <c r="V18">
        <v>0</v>
      </c>
      <c r="W18">
        <v>1</v>
      </c>
      <c r="X18" s="9" t="s">
        <v>1173</v>
      </c>
    </row>
    <row r="19" spans="1:24" x14ac:dyDescent="0.35">
      <c r="A19">
        <v>18</v>
      </c>
      <c r="B19" s="9" t="s">
        <v>749</v>
      </c>
      <c r="C19" s="9" t="s">
        <v>750</v>
      </c>
      <c r="D19" s="9" t="s">
        <v>54</v>
      </c>
      <c r="E19" s="9" t="s">
        <v>46</v>
      </c>
      <c r="F19" s="9" t="s">
        <v>112</v>
      </c>
      <c r="G19" s="9" t="s">
        <v>113</v>
      </c>
      <c r="H19" s="9" t="s">
        <v>54</v>
      </c>
      <c r="I19" s="9" t="s">
        <v>1171</v>
      </c>
      <c r="J19" s="9" t="s">
        <v>1172</v>
      </c>
      <c r="K19" s="9" t="s">
        <v>1149</v>
      </c>
      <c r="L19" s="9" t="s">
        <v>50</v>
      </c>
      <c r="M19">
        <v>30</v>
      </c>
      <c r="N19">
        <v>33</v>
      </c>
      <c r="O19">
        <v>1</v>
      </c>
      <c r="P19">
        <v>2.5</v>
      </c>
      <c r="Q19">
        <v>0</v>
      </c>
      <c r="R19">
        <v>104</v>
      </c>
      <c r="S19">
        <v>25</v>
      </c>
      <c r="T19">
        <v>88</v>
      </c>
      <c r="U19" s="9" t="s">
        <v>1150</v>
      </c>
      <c r="V19">
        <v>0</v>
      </c>
      <c r="W19">
        <v>1</v>
      </c>
      <c r="X19" s="9" t="s">
        <v>1174</v>
      </c>
    </row>
    <row r="20" spans="1:24" x14ac:dyDescent="0.35">
      <c r="A20">
        <v>19</v>
      </c>
      <c r="B20" s="9" t="s">
        <v>767</v>
      </c>
      <c r="C20" s="9" t="s">
        <v>768</v>
      </c>
      <c r="D20" s="9" t="s">
        <v>54</v>
      </c>
      <c r="E20" s="9" t="s">
        <v>46</v>
      </c>
      <c r="F20" s="9" t="s">
        <v>112</v>
      </c>
      <c r="G20" s="9" t="s">
        <v>113</v>
      </c>
      <c r="H20" s="9" t="s">
        <v>54</v>
      </c>
      <c r="I20" s="9" t="s">
        <v>1155</v>
      </c>
      <c r="J20" s="9" t="s">
        <v>1156</v>
      </c>
      <c r="K20" s="9" t="s">
        <v>1131</v>
      </c>
      <c r="L20" s="9" t="s">
        <v>50</v>
      </c>
      <c r="M20">
        <v>54</v>
      </c>
      <c r="N20">
        <v>22</v>
      </c>
      <c r="O20">
        <v>4</v>
      </c>
      <c r="P20">
        <v>2.5</v>
      </c>
      <c r="Q20">
        <v>0</v>
      </c>
      <c r="R20">
        <v>335</v>
      </c>
      <c r="S20">
        <v>27.5</v>
      </c>
      <c r="T20">
        <v>88</v>
      </c>
      <c r="U20" s="9" t="s">
        <v>1150</v>
      </c>
      <c r="V20">
        <v>0</v>
      </c>
      <c r="W20">
        <v>1</v>
      </c>
      <c r="X20" s="9" t="s">
        <v>1175</v>
      </c>
    </row>
    <row r="21" spans="1:24" x14ac:dyDescent="0.35">
      <c r="A21">
        <v>20</v>
      </c>
      <c r="B21" s="9" t="s">
        <v>791</v>
      </c>
      <c r="C21" s="9" t="s">
        <v>792</v>
      </c>
      <c r="D21" s="9" t="s">
        <v>54</v>
      </c>
      <c r="E21" s="9" t="s">
        <v>46</v>
      </c>
      <c r="F21" s="9" t="s">
        <v>112</v>
      </c>
      <c r="G21" s="9" t="s">
        <v>113</v>
      </c>
      <c r="H21" s="9" t="s">
        <v>54</v>
      </c>
      <c r="I21" s="9" t="s">
        <v>1176</v>
      </c>
      <c r="J21" s="9" t="s">
        <v>1177</v>
      </c>
      <c r="K21" s="9" t="s">
        <v>1160</v>
      </c>
      <c r="L21" s="9" t="s">
        <v>50</v>
      </c>
      <c r="M21">
        <v>29</v>
      </c>
      <c r="N21">
        <v>33</v>
      </c>
      <c r="O21">
        <v>4</v>
      </c>
      <c r="P21">
        <v>2.5</v>
      </c>
      <c r="Q21">
        <v>0</v>
      </c>
      <c r="R21">
        <v>259</v>
      </c>
      <c r="S21">
        <v>30</v>
      </c>
      <c r="T21">
        <v>88</v>
      </c>
      <c r="U21" s="9" t="s">
        <v>1150</v>
      </c>
      <c r="V21">
        <v>0</v>
      </c>
      <c r="W21">
        <v>1</v>
      </c>
      <c r="X21" s="9" t="s">
        <v>1178</v>
      </c>
    </row>
    <row r="22" spans="1:24" x14ac:dyDescent="0.35">
      <c r="A22">
        <v>21</v>
      </c>
      <c r="B22" s="9" t="s">
        <v>899</v>
      </c>
      <c r="C22" s="9" t="s">
        <v>900</v>
      </c>
      <c r="D22" s="9" t="s">
        <v>54</v>
      </c>
      <c r="E22" s="9" t="s">
        <v>46</v>
      </c>
      <c r="F22" s="9" t="s">
        <v>56</v>
      </c>
      <c r="G22" s="9" t="s">
        <v>57</v>
      </c>
      <c r="H22" s="9" t="s">
        <v>54</v>
      </c>
      <c r="I22" s="9" t="s">
        <v>1137</v>
      </c>
      <c r="J22" s="9" t="s">
        <v>1138</v>
      </c>
      <c r="K22" s="9" t="s">
        <v>1136</v>
      </c>
      <c r="L22" s="9" t="s">
        <v>50</v>
      </c>
      <c r="M22">
        <v>41</v>
      </c>
      <c r="N22">
        <v>25</v>
      </c>
      <c r="O22">
        <v>1</v>
      </c>
      <c r="P22">
        <v>2.5</v>
      </c>
      <c r="Q22">
        <v>0</v>
      </c>
      <c r="R22">
        <v>147</v>
      </c>
      <c r="S22">
        <v>32.5</v>
      </c>
      <c r="T22">
        <v>88</v>
      </c>
      <c r="U22" s="9" t="s">
        <v>1150</v>
      </c>
      <c r="V22">
        <v>0</v>
      </c>
      <c r="W22">
        <v>1</v>
      </c>
      <c r="X22" s="9" t="s">
        <v>1164</v>
      </c>
    </row>
    <row r="23" spans="1:24" x14ac:dyDescent="0.35">
      <c r="A23">
        <v>22</v>
      </c>
      <c r="B23" s="9" t="s">
        <v>983</v>
      </c>
      <c r="C23" s="9" t="s">
        <v>984</v>
      </c>
      <c r="D23" s="9" t="s">
        <v>54</v>
      </c>
      <c r="E23" s="9" t="s">
        <v>46</v>
      </c>
      <c r="F23" s="9" t="s">
        <v>112</v>
      </c>
      <c r="G23" s="9" t="s">
        <v>113</v>
      </c>
      <c r="H23" s="9" t="s">
        <v>54</v>
      </c>
      <c r="I23" s="9" t="s">
        <v>1162</v>
      </c>
      <c r="J23" s="9" t="s">
        <v>1163</v>
      </c>
      <c r="K23" s="9" t="s">
        <v>1149</v>
      </c>
      <c r="L23" s="9" t="s">
        <v>50</v>
      </c>
      <c r="M23">
        <v>32</v>
      </c>
      <c r="N23">
        <v>33</v>
      </c>
      <c r="O23">
        <v>3</v>
      </c>
      <c r="P23">
        <v>2.5</v>
      </c>
      <c r="Q23">
        <v>0</v>
      </c>
      <c r="R23">
        <v>247</v>
      </c>
      <c r="S23">
        <v>35</v>
      </c>
      <c r="T23">
        <v>88</v>
      </c>
      <c r="U23" s="9" t="s">
        <v>1150</v>
      </c>
      <c r="V23">
        <v>0</v>
      </c>
      <c r="W23">
        <v>1</v>
      </c>
      <c r="X23" s="9" t="s">
        <v>1179</v>
      </c>
    </row>
    <row r="24" spans="1:24" x14ac:dyDescent="0.35">
      <c r="A24">
        <v>23</v>
      </c>
      <c r="B24" s="9" t="s">
        <v>995</v>
      </c>
      <c r="C24" s="9" t="s">
        <v>996</v>
      </c>
      <c r="D24" s="9" t="s">
        <v>45</v>
      </c>
      <c r="E24" s="9" t="s">
        <v>46</v>
      </c>
      <c r="F24" s="9" t="s">
        <v>112</v>
      </c>
      <c r="G24" s="9" t="s">
        <v>113</v>
      </c>
      <c r="H24" s="9" t="s">
        <v>54</v>
      </c>
      <c r="I24" s="9" t="s">
        <v>1180</v>
      </c>
      <c r="J24" s="9" t="s">
        <v>1181</v>
      </c>
      <c r="K24" s="9" t="s">
        <v>1160</v>
      </c>
      <c r="L24" s="9" t="s">
        <v>50</v>
      </c>
      <c r="M24">
        <v>64</v>
      </c>
      <c r="N24">
        <v>18</v>
      </c>
      <c r="O24">
        <v>2</v>
      </c>
      <c r="P24">
        <v>2.5</v>
      </c>
      <c r="Q24">
        <v>0</v>
      </c>
      <c r="R24">
        <v>342</v>
      </c>
      <c r="S24">
        <v>37.5</v>
      </c>
      <c r="T24">
        <v>88</v>
      </c>
      <c r="U24" s="9" t="s">
        <v>1150</v>
      </c>
      <c r="V24">
        <v>0</v>
      </c>
      <c r="W24">
        <v>1</v>
      </c>
      <c r="X24" s="9" t="s">
        <v>1182</v>
      </c>
    </row>
    <row r="25" spans="1:24" x14ac:dyDescent="0.35">
      <c r="A25">
        <v>24</v>
      </c>
      <c r="B25" s="9" t="s">
        <v>192</v>
      </c>
      <c r="C25" s="9" t="s">
        <v>193</v>
      </c>
      <c r="D25" s="9" t="s">
        <v>54</v>
      </c>
      <c r="E25" s="9" t="s">
        <v>46</v>
      </c>
      <c r="F25" s="9" t="s">
        <v>112</v>
      </c>
      <c r="G25" s="9" t="s">
        <v>113</v>
      </c>
      <c r="H25" s="9" t="s">
        <v>54</v>
      </c>
      <c r="I25" s="9" t="s">
        <v>1183</v>
      </c>
      <c r="J25" s="9" t="s">
        <v>1184</v>
      </c>
      <c r="K25" s="9" t="s">
        <v>1160</v>
      </c>
      <c r="L25" s="9" t="s">
        <v>50</v>
      </c>
      <c r="M25">
        <v>53</v>
      </c>
      <c r="N25">
        <v>22</v>
      </c>
      <c r="O25">
        <v>3</v>
      </c>
      <c r="P25">
        <v>5</v>
      </c>
      <c r="Q25">
        <v>0</v>
      </c>
      <c r="R25">
        <v>518</v>
      </c>
      <c r="S25">
        <v>42.5</v>
      </c>
      <c r="T25">
        <v>88</v>
      </c>
      <c r="U25" s="9" t="s">
        <v>1150</v>
      </c>
      <c r="V25">
        <v>0</v>
      </c>
      <c r="W25">
        <v>1</v>
      </c>
      <c r="X25" s="9" t="s">
        <v>1185</v>
      </c>
    </row>
    <row r="26" spans="1:24" x14ac:dyDescent="0.35">
      <c r="A26">
        <v>25</v>
      </c>
      <c r="B26" s="9" t="s">
        <v>210</v>
      </c>
      <c r="C26" s="9" t="s">
        <v>211</v>
      </c>
      <c r="D26" s="9" t="s">
        <v>54</v>
      </c>
      <c r="E26" s="9" t="s">
        <v>46</v>
      </c>
      <c r="F26" s="9" t="s">
        <v>112</v>
      </c>
      <c r="G26" s="9" t="s">
        <v>113</v>
      </c>
      <c r="H26" s="9" t="s">
        <v>54</v>
      </c>
      <c r="I26" s="9" t="s">
        <v>1176</v>
      </c>
      <c r="J26" s="9" t="s">
        <v>1177</v>
      </c>
      <c r="K26" s="9" t="s">
        <v>1160</v>
      </c>
      <c r="L26" s="9" t="s">
        <v>50</v>
      </c>
      <c r="M26">
        <v>59</v>
      </c>
      <c r="N26">
        <v>21</v>
      </c>
      <c r="O26">
        <v>4</v>
      </c>
      <c r="P26">
        <v>5</v>
      </c>
      <c r="Q26">
        <v>0</v>
      </c>
      <c r="R26">
        <v>331</v>
      </c>
      <c r="S26">
        <v>47.5</v>
      </c>
      <c r="T26">
        <v>88</v>
      </c>
      <c r="U26" s="9" t="s">
        <v>1150</v>
      </c>
      <c r="V26">
        <v>0</v>
      </c>
      <c r="W26">
        <v>1</v>
      </c>
      <c r="X26" s="9" t="s">
        <v>1151</v>
      </c>
    </row>
    <row r="27" spans="1:24" x14ac:dyDescent="0.35">
      <c r="A27">
        <v>26</v>
      </c>
      <c r="B27" s="9" t="s">
        <v>280</v>
      </c>
      <c r="C27" s="9" t="s">
        <v>281</v>
      </c>
      <c r="D27" s="9" t="s">
        <v>54</v>
      </c>
      <c r="E27" s="9" t="s">
        <v>46</v>
      </c>
      <c r="F27" s="9" t="s">
        <v>112</v>
      </c>
      <c r="G27" s="9" t="s">
        <v>113</v>
      </c>
      <c r="H27" s="9" t="s">
        <v>54</v>
      </c>
      <c r="I27" s="9" t="s">
        <v>1171</v>
      </c>
      <c r="J27" s="9" t="s">
        <v>1172</v>
      </c>
      <c r="K27" s="9" t="s">
        <v>1149</v>
      </c>
      <c r="L27" s="9" t="s">
        <v>50</v>
      </c>
      <c r="M27">
        <v>42</v>
      </c>
      <c r="N27">
        <v>27</v>
      </c>
      <c r="O27">
        <v>2</v>
      </c>
      <c r="P27">
        <v>5</v>
      </c>
      <c r="Q27">
        <v>0</v>
      </c>
      <c r="R27">
        <v>355</v>
      </c>
      <c r="S27">
        <v>52.5</v>
      </c>
      <c r="T27">
        <v>88</v>
      </c>
      <c r="U27" s="9" t="s">
        <v>1150</v>
      </c>
      <c r="V27">
        <v>0</v>
      </c>
      <c r="W27">
        <v>1</v>
      </c>
      <c r="X27" s="9" t="s">
        <v>1161</v>
      </c>
    </row>
    <row r="28" spans="1:24" x14ac:dyDescent="0.35">
      <c r="A28">
        <v>27</v>
      </c>
      <c r="B28" s="9" t="s">
        <v>394</v>
      </c>
      <c r="C28" s="9" t="s">
        <v>395</v>
      </c>
      <c r="D28" s="9" t="s">
        <v>68</v>
      </c>
      <c r="E28" s="9" t="s">
        <v>46</v>
      </c>
      <c r="F28" s="9" t="s">
        <v>56</v>
      </c>
      <c r="G28" s="9" t="s">
        <v>57</v>
      </c>
      <c r="H28" s="9" t="s">
        <v>54</v>
      </c>
      <c r="I28" s="9" t="s">
        <v>1183</v>
      </c>
      <c r="J28" s="9" t="s">
        <v>1184</v>
      </c>
      <c r="K28" s="9" t="s">
        <v>1160</v>
      </c>
      <c r="L28" s="9" t="s">
        <v>65</v>
      </c>
      <c r="M28">
        <v>71</v>
      </c>
      <c r="N28">
        <v>12</v>
      </c>
      <c r="O28">
        <v>4</v>
      </c>
      <c r="P28">
        <v>5</v>
      </c>
      <c r="Q28">
        <v>0</v>
      </c>
      <c r="R28">
        <v>544</v>
      </c>
      <c r="S28">
        <v>57.5</v>
      </c>
      <c r="T28">
        <v>88</v>
      </c>
      <c r="U28" s="9" t="s">
        <v>1150</v>
      </c>
      <c r="V28">
        <v>0</v>
      </c>
      <c r="W28">
        <v>1</v>
      </c>
      <c r="X28" s="9" t="s">
        <v>1186</v>
      </c>
    </row>
    <row r="29" spans="1:24" x14ac:dyDescent="0.35">
      <c r="A29">
        <v>28</v>
      </c>
      <c r="B29" s="9" t="s">
        <v>396</v>
      </c>
      <c r="C29" s="9" t="s">
        <v>397</v>
      </c>
      <c r="D29" s="9" t="s">
        <v>54</v>
      </c>
      <c r="E29" s="9" t="s">
        <v>46</v>
      </c>
      <c r="F29" s="9" t="s">
        <v>56</v>
      </c>
      <c r="G29" s="9" t="s">
        <v>57</v>
      </c>
      <c r="H29" s="9" t="s">
        <v>54</v>
      </c>
      <c r="I29" s="9" t="s">
        <v>1155</v>
      </c>
      <c r="J29" s="9" t="s">
        <v>1156</v>
      </c>
      <c r="K29" s="9" t="s">
        <v>1131</v>
      </c>
      <c r="L29" s="9" t="s">
        <v>50</v>
      </c>
      <c r="M29">
        <v>54</v>
      </c>
      <c r="N29">
        <v>22</v>
      </c>
      <c r="O29">
        <v>3</v>
      </c>
      <c r="P29">
        <v>5</v>
      </c>
      <c r="Q29">
        <v>0</v>
      </c>
      <c r="R29">
        <v>237</v>
      </c>
      <c r="S29">
        <v>62.5</v>
      </c>
      <c r="T29">
        <v>88</v>
      </c>
      <c r="U29" s="9" t="s">
        <v>1150</v>
      </c>
      <c r="V29">
        <v>0</v>
      </c>
      <c r="W29">
        <v>1</v>
      </c>
      <c r="X29" s="9" t="s">
        <v>1175</v>
      </c>
    </row>
    <row r="30" spans="1:24" x14ac:dyDescent="0.35">
      <c r="A30">
        <v>29</v>
      </c>
      <c r="B30" s="9" t="s">
        <v>398</v>
      </c>
      <c r="C30" s="9" t="s">
        <v>399</v>
      </c>
      <c r="D30" s="9" t="s">
        <v>54</v>
      </c>
      <c r="E30" s="9" t="s">
        <v>46</v>
      </c>
      <c r="F30" s="9" t="s">
        <v>56</v>
      </c>
      <c r="G30" s="9" t="s">
        <v>57</v>
      </c>
      <c r="H30" s="9" t="s">
        <v>54</v>
      </c>
      <c r="I30" s="9" t="s">
        <v>1145</v>
      </c>
      <c r="J30" s="9" t="s">
        <v>1146</v>
      </c>
      <c r="K30" s="9" t="s">
        <v>1136</v>
      </c>
      <c r="L30" s="9" t="s">
        <v>50</v>
      </c>
      <c r="M30">
        <v>65</v>
      </c>
      <c r="N30">
        <v>16</v>
      </c>
      <c r="O30">
        <v>2</v>
      </c>
      <c r="P30">
        <v>5</v>
      </c>
      <c r="Q30">
        <v>0</v>
      </c>
      <c r="R30">
        <v>159</v>
      </c>
      <c r="S30">
        <v>67.5</v>
      </c>
      <c r="T30">
        <v>88</v>
      </c>
      <c r="U30" s="9" t="s">
        <v>1150</v>
      </c>
      <c r="V30">
        <v>0</v>
      </c>
      <c r="W30">
        <v>1</v>
      </c>
      <c r="X30" s="9" t="s">
        <v>1187</v>
      </c>
    </row>
    <row r="31" spans="1:24" x14ac:dyDescent="0.35">
      <c r="A31">
        <v>30</v>
      </c>
      <c r="B31" s="9" t="s">
        <v>440</v>
      </c>
      <c r="C31" s="9" t="s">
        <v>441</v>
      </c>
      <c r="D31" s="9" t="s">
        <v>54</v>
      </c>
      <c r="E31" s="9" t="s">
        <v>46</v>
      </c>
      <c r="F31" s="9" t="s">
        <v>56</v>
      </c>
      <c r="G31" s="9" t="s">
        <v>57</v>
      </c>
      <c r="H31" s="9" t="s">
        <v>54</v>
      </c>
      <c r="I31" s="9" t="s">
        <v>1188</v>
      </c>
      <c r="J31" s="9" t="s">
        <v>1189</v>
      </c>
      <c r="K31" s="9" t="s">
        <v>1131</v>
      </c>
      <c r="L31" s="9" t="s">
        <v>50</v>
      </c>
      <c r="M31">
        <v>65</v>
      </c>
      <c r="N31">
        <v>16</v>
      </c>
      <c r="O31">
        <v>3</v>
      </c>
      <c r="P31">
        <v>5</v>
      </c>
      <c r="Q31">
        <v>0</v>
      </c>
      <c r="R31">
        <v>313</v>
      </c>
      <c r="S31">
        <v>72.5</v>
      </c>
      <c r="T31">
        <v>88</v>
      </c>
      <c r="U31" s="9" t="s">
        <v>1150</v>
      </c>
      <c r="V31">
        <v>0</v>
      </c>
      <c r="W31">
        <v>1</v>
      </c>
      <c r="X31" s="9" t="s">
        <v>1187</v>
      </c>
    </row>
    <row r="32" spans="1:24" x14ac:dyDescent="0.35">
      <c r="A32">
        <v>31</v>
      </c>
      <c r="B32" s="9" t="s">
        <v>569</v>
      </c>
      <c r="C32" s="9" t="s">
        <v>570</v>
      </c>
      <c r="D32" s="9" t="s">
        <v>54</v>
      </c>
      <c r="E32" s="9" t="s">
        <v>46</v>
      </c>
      <c r="F32" s="9" t="s">
        <v>56</v>
      </c>
      <c r="G32" s="9" t="s">
        <v>57</v>
      </c>
      <c r="H32" s="9" t="s">
        <v>54</v>
      </c>
      <c r="I32" s="9" t="s">
        <v>1190</v>
      </c>
      <c r="J32" s="9" t="s">
        <v>1191</v>
      </c>
      <c r="K32" s="9" t="s">
        <v>1149</v>
      </c>
      <c r="L32" s="9" t="s">
        <v>50</v>
      </c>
      <c r="M32">
        <v>36</v>
      </c>
      <c r="N32">
        <v>28</v>
      </c>
      <c r="O32">
        <v>2</v>
      </c>
      <c r="P32">
        <v>5</v>
      </c>
      <c r="Q32">
        <v>0</v>
      </c>
      <c r="R32">
        <v>327</v>
      </c>
      <c r="S32">
        <v>77.5</v>
      </c>
      <c r="T32">
        <v>88</v>
      </c>
      <c r="U32" s="9" t="s">
        <v>1150</v>
      </c>
      <c r="V32">
        <v>0</v>
      </c>
      <c r="W32">
        <v>1</v>
      </c>
      <c r="X32" s="9" t="s">
        <v>1192</v>
      </c>
    </row>
    <row r="33" spans="1:24" x14ac:dyDescent="0.35">
      <c r="A33">
        <v>32</v>
      </c>
      <c r="B33" s="9" t="s">
        <v>591</v>
      </c>
      <c r="C33" s="9" t="s">
        <v>592</v>
      </c>
      <c r="D33" s="9" t="s">
        <v>45</v>
      </c>
      <c r="E33" s="9" t="s">
        <v>46</v>
      </c>
      <c r="F33" s="9" t="s">
        <v>56</v>
      </c>
      <c r="G33" s="9" t="s">
        <v>57</v>
      </c>
      <c r="H33" s="9" t="s">
        <v>54</v>
      </c>
      <c r="I33" s="9" t="s">
        <v>1193</v>
      </c>
      <c r="J33" s="9" t="s">
        <v>1194</v>
      </c>
      <c r="K33" s="9" t="s">
        <v>1149</v>
      </c>
      <c r="L33" s="9" t="s">
        <v>50</v>
      </c>
      <c r="M33">
        <v>51</v>
      </c>
      <c r="N33">
        <v>22</v>
      </c>
      <c r="O33">
        <v>2</v>
      </c>
      <c r="P33">
        <v>5</v>
      </c>
      <c r="Q33">
        <v>0</v>
      </c>
      <c r="R33">
        <v>240</v>
      </c>
      <c r="S33">
        <v>82.5</v>
      </c>
      <c r="T33">
        <v>88</v>
      </c>
      <c r="U33" s="9" t="s">
        <v>1150</v>
      </c>
      <c r="V33">
        <v>0</v>
      </c>
      <c r="W33">
        <v>1</v>
      </c>
      <c r="X33" s="9" t="s">
        <v>1195</v>
      </c>
    </row>
    <row r="34" spans="1:24" x14ac:dyDescent="0.35">
      <c r="A34">
        <v>33</v>
      </c>
      <c r="B34" s="9" t="s">
        <v>651</v>
      </c>
      <c r="C34" s="9" t="s">
        <v>652</v>
      </c>
      <c r="D34" s="9" t="s">
        <v>54</v>
      </c>
      <c r="E34" s="9" t="s">
        <v>46</v>
      </c>
      <c r="F34" s="9" t="s">
        <v>112</v>
      </c>
      <c r="G34" s="9" t="s">
        <v>113</v>
      </c>
      <c r="H34" s="9" t="s">
        <v>54</v>
      </c>
      <c r="I34" s="9" t="s">
        <v>1196</v>
      </c>
      <c r="J34" s="9" t="s">
        <v>1197</v>
      </c>
      <c r="K34" s="9" t="s">
        <v>1136</v>
      </c>
      <c r="L34" s="9" t="s">
        <v>50</v>
      </c>
      <c r="M34">
        <v>55</v>
      </c>
      <c r="N34">
        <v>22</v>
      </c>
      <c r="O34">
        <v>3</v>
      </c>
      <c r="P34">
        <v>5</v>
      </c>
      <c r="Q34">
        <v>0</v>
      </c>
      <c r="R34">
        <v>450</v>
      </c>
      <c r="S34">
        <v>87.5</v>
      </c>
      <c r="T34">
        <v>88</v>
      </c>
      <c r="U34" s="9" t="s">
        <v>1150</v>
      </c>
      <c r="V34">
        <v>0</v>
      </c>
      <c r="W34">
        <v>1</v>
      </c>
      <c r="X34" s="9" t="s">
        <v>1154</v>
      </c>
    </row>
    <row r="35" spans="1:24" x14ac:dyDescent="0.35">
      <c r="A35">
        <v>34</v>
      </c>
      <c r="B35" s="9" t="s">
        <v>917</v>
      </c>
      <c r="C35" s="9" t="s">
        <v>918</v>
      </c>
      <c r="D35" s="9" t="s">
        <v>54</v>
      </c>
      <c r="E35" s="9" t="s">
        <v>46</v>
      </c>
      <c r="F35" s="9" t="s">
        <v>56</v>
      </c>
      <c r="G35" s="9" t="s">
        <v>57</v>
      </c>
      <c r="H35" s="9" t="s">
        <v>54</v>
      </c>
      <c r="I35" s="9" t="s">
        <v>1152</v>
      </c>
      <c r="J35" s="9" t="s">
        <v>1153</v>
      </c>
      <c r="K35" s="9" t="s">
        <v>1131</v>
      </c>
      <c r="L35" s="9" t="s">
        <v>50</v>
      </c>
      <c r="M35">
        <v>51</v>
      </c>
      <c r="N35">
        <v>22</v>
      </c>
      <c r="O35">
        <v>3</v>
      </c>
      <c r="P35">
        <v>5</v>
      </c>
      <c r="Q35">
        <v>0</v>
      </c>
      <c r="R35">
        <v>199</v>
      </c>
      <c r="S35">
        <v>92.5</v>
      </c>
      <c r="T35">
        <v>88</v>
      </c>
      <c r="U35" s="9" t="s">
        <v>1150</v>
      </c>
      <c r="V35">
        <v>0</v>
      </c>
      <c r="W35">
        <v>1</v>
      </c>
      <c r="X35" s="9" t="s">
        <v>1195</v>
      </c>
    </row>
    <row r="36" spans="1:24" x14ac:dyDescent="0.35">
      <c r="A36">
        <v>35</v>
      </c>
      <c r="B36" s="9" t="s">
        <v>1093</v>
      </c>
      <c r="C36" s="9" t="s">
        <v>1094</v>
      </c>
      <c r="D36" s="9" t="s">
        <v>54</v>
      </c>
      <c r="E36" s="9" t="s">
        <v>46</v>
      </c>
      <c r="F36" s="9" t="s">
        <v>112</v>
      </c>
      <c r="G36" s="9" t="s">
        <v>113</v>
      </c>
      <c r="H36" s="9" t="s">
        <v>54</v>
      </c>
      <c r="I36" s="9" t="s">
        <v>1176</v>
      </c>
      <c r="J36" s="9" t="s">
        <v>1177</v>
      </c>
      <c r="K36" s="9" t="s">
        <v>1160</v>
      </c>
      <c r="L36" s="9" t="s">
        <v>50</v>
      </c>
      <c r="M36">
        <v>44</v>
      </c>
      <c r="N36">
        <v>26</v>
      </c>
      <c r="O36">
        <v>3</v>
      </c>
      <c r="P36">
        <v>5</v>
      </c>
      <c r="Q36">
        <v>0</v>
      </c>
      <c r="R36">
        <v>591</v>
      </c>
      <c r="S36">
        <v>97.5</v>
      </c>
      <c r="T36">
        <v>88</v>
      </c>
      <c r="U36" s="9" t="s">
        <v>1150</v>
      </c>
      <c r="V36">
        <v>0</v>
      </c>
      <c r="W36">
        <v>1</v>
      </c>
      <c r="X36" s="9" t="s">
        <v>1198</v>
      </c>
    </row>
    <row r="37" spans="1:24" x14ac:dyDescent="0.35">
      <c r="A37">
        <v>36</v>
      </c>
      <c r="B37" s="9" t="s">
        <v>611</v>
      </c>
      <c r="C37" s="9" t="s">
        <v>612</v>
      </c>
      <c r="D37" s="9" t="s">
        <v>54</v>
      </c>
      <c r="E37" s="9" t="s">
        <v>46</v>
      </c>
      <c r="F37" s="9" t="s">
        <v>112</v>
      </c>
      <c r="G37" s="9" t="s">
        <v>113</v>
      </c>
      <c r="H37" s="9" t="s">
        <v>54</v>
      </c>
      <c r="I37" s="9" t="s">
        <v>1176</v>
      </c>
      <c r="J37" s="9" t="s">
        <v>1177</v>
      </c>
      <c r="K37" s="9" t="s">
        <v>1160</v>
      </c>
      <c r="L37" s="9" t="s">
        <v>50</v>
      </c>
      <c r="M37">
        <v>63</v>
      </c>
      <c r="N37">
        <v>18</v>
      </c>
      <c r="O37">
        <v>4</v>
      </c>
      <c r="P37">
        <v>7.5</v>
      </c>
      <c r="Q37">
        <v>0</v>
      </c>
      <c r="R37">
        <v>327</v>
      </c>
      <c r="S37">
        <v>105</v>
      </c>
      <c r="T37">
        <v>88</v>
      </c>
      <c r="U37" s="9" t="s">
        <v>1150</v>
      </c>
      <c r="V37">
        <v>0</v>
      </c>
      <c r="W37">
        <v>1</v>
      </c>
      <c r="X37" s="9" t="s">
        <v>1199</v>
      </c>
    </row>
    <row r="38" spans="1:24" x14ac:dyDescent="0.35">
      <c r="A38">
        <v>37</v>
      </c>
      <c r="B38" s="9" t="s">
        <v>747</v>
      </c>
      <c r="C38" s="9" t="s">
        <v>748</v>
      </c>
      <c r="D38" s="9" t="s">
        <v>54</v>
      </c>
      <c r="E38" s="9" t="s">
        <v>46</v>
      </c>
      <c r="F38" s="9" t="s">
        <v>112</v>
      </c>
      <c r="G38" s="9" t="s">
        <v>113</v>
      </c>
      <c r="H38" s="9" t="s">
        <v>54</v>
      </c>
      <c r="I38" s="9" t="s">
        <v>1152</v>
      </c>
      <c r="J38" s="9" t="s">
        <v>1153</v>
      </c>
      <c r="K38" s="9" t="s">
        <v>1131</v>
      </c>
      <c r="L38" s="9" t="s">
        <v>50</v>
      </c>
      <c r="M38">
        <v>34</v>
      </c>
      <c r="N38">
        <v>31</v>
      </c>
      <c r="O38">
        <v>4</v>
      </c>
      <c r="P38">
        <v>7.5</v>
      </c>
      <c r="Q38">
        <v>0</v>
      </c>
      <c r="R38">
        <v>432</v>
      </c>
      <c r="S38">
        <v>112.5</v>
      </c>
      <c r="T38">
        <v>88</v>
      </c>
      <c r="U38" s="9" t="s">
        <v>1150</v>
      </c>
      <c r="V38">
        <v>0</v>
      </c>
      <c r="W38">
        <v>1</v>
      </c>
      <c r="X38" s="9" t="s">
        <v>1200</v>
      </c>
    </row>
    <row r="39" spans="1:24" x14ac:dyDescent="0.35">
      <c r="A39">
        <v>38</v>
      </c>
      <c r="B39" s="9" t="s">
        <v>1067</v>
      </c>
      <c r="C39" s="9" t="s">
        <v>1068</v>
      </c>
      <c r="D39" s="9" t="s">
        <v>54</v>
      </c>
      <c r="E39" s="9" t="s">
        <v>46</v>
      </c>
      <c r="F39" s="9" t="s">
        <v>56</v>
      </c>
      <c r="G39" s="9" t="s">
        <v>57</v>
      </c>
      <c r="H39" s="9" t="s">
        <v>54</v>
      </c>
      <c r="I39" s="9" t="s">
        <v>1190</v>
      </c>
      <c r="J39" s="9" t="s">
        <v>1191</v>
      </c>
      <c r="K39" s="9" t="s">
        <v>1149</v>
      </c>
      <c r="L39" s="9" t="s">
        <v>50</v>
      </c>
      <c r="M39">
        <v>35</v>
      </c>
      <c r="N39">
        <v>28</v>
      </c>
      <c r="O39">
        <v>4</v>
      </c>
      <c r="P39">
        <v>7.5</v>
      </c>
      <c r="Q39">
        <v>0</v>
      </c>
      <c r="R39">
        <v>617</v>
      </c>
      <c r="S39">
        <v>120</v>
      </c>
      <c r="T39">
        <v>88</v>
      </c>
      <c r="U39" s="9" t="s">
        <v>1150</v>
      </c>
      <c r="V39">
        <v>0</v>
      </c>
      <c r="W39">
        <v>1</v>
      </c>
      <c r="X39" s="9" t="s">
        <v>1201</v>
      </c>
    </row>
    <row r="40" spans="1:24" x14ac:dyDescent="0.35">
      <c r="A40">
        <v>39</v>
      </c>
      <c r="B40" s="9" t="s">
        <v>142</v>
      </c>
      <c r="C40" s="9" t="s">
        <v>143</v>
      </c>
      <c r="D40" s="9" t="s">
        <v>134</v>
      </c>
      <c r="E40" s="9" t="s">
        <v>46</v>
      </c>
      <c r="F40" s="9" t="s">
        <v>112</v>
      </c>
      <c r="G40" s="9" t="s">
        <v>113</v>
      </c>
      <c r="H40" s="9" t="s">
        <v>54</v>
      </c>
      <c r="I40" s="9" t="s">
        <v>1183</v>
      </c>
      <c r="J40" s="9" t="s">
        <v>1184</v>
      </c>
      <c r="K40" s="9" t="s">
        <v>1160</v>
      </c>
      <c r="L40" s="9" t="s">
        <v>135</v>
      </c>
      <c r="M40">
        <v>69</v>
      </c>
      <c r="N40">
        <v>14</v>
      </c>
      <c r="O40">
        <v>3</v>
      </c>
      <c r="P40">
        <v>0</v>
      </c>
      <c r="Q40">
        <v>8</v>
      </c>
      <c r="R40">
        <v>96</v>
      </c>
      <c r="S40">
        <v>120</v>
      </c>
      <c r="T40">
        <v>88</v>
      </c>
      <c r="U40" s="9" t="s">
        <v>1150</v>
      </c>
      <c r="V40">
        <v>0</v>
      </c>
      <c r="W40">
        <v>0</v>
      </c>
      <c r="X40" s="9" t="s">
        <v>1202</v>
      </c>
    </row>
    <row r="41" spans="1:24" x14ac:dyDescent="0.35">
      <c r="A41">
        <v>40</v>
      </c>
      <c r="B41" s="9" t="s">
        <v>432</v>
      </c>
      <c r="C41" s="9" t="s">
        <v>433</v>
      </c>
      <c r="D41" s="9" t="s">
        <v>134</v>
      </c>
      <c r="E41" s="9" t="s">
        <v>46</v>
      </c>
      <c r="F41" s="9" t="s">
        <v>112</v>
      </c>
      <c r="G41" s="9" t="s">
        <v>113</v>
      </c>
      <c r="H41" s="9" t="s">
        <v>54</v>
      </c>
      <c r="I41" s="9" t="s">
        <v>1167</v>
      </c>
      <c r="J41" s="9" t="s">
        <v>1168</v>
      </c>
      <c r="K41" s="9" t="s">
        <v>1136</v>
      </c>
      <c r="L41" s="9" t="s">
        <v>135</v>
      </c>
      <c r="M41">
        <v>55</v>
      </c>
      <c r="N41">
        <v>22</v>
      </c>
      <c r="O41">
        <v>1</v>
      </c>
      <c r="P41">
        <v>0</v>
      </c>
      <c r="Q41">
        <v>8</v>
      </c>
      <c r="R41">
        <v>66</v>
      </c>
      <c r="S41">
        <v>120</v>
      </c>
      <c r="T41">
        <v>88</v>
      </c>
      <c r="U41" s="9" t="s">
        <v>1150</v>
      </c>
      <c r="V41">
        <v>0</v>
      </c>
      <c r="W41">
        <v>0</v>
      </c>
      <c r="X41" s="9" t="s">
        <v>1154</v>
      </c>
    </row>
    <row r="42" spans="1:24" x14ac:dyDescent="0.35">
      <c r="A42">
        <v>41</v>
      </c>
      <c r="B42" s="9" t="s">
        <v>452</v>
      </c>
      <c r="C42" s="9" t="s">
        <v>453</v>
      </c>
      <c r="D42" s="9" t="s">
        <v>134</v>
      </c>
      <c r="E42" s="9" t="s">
        <v>46</v>
      </c>
      <c r="F42" s="9" t="s">
        <v>56</v>
      </c>
      <c r="G42" s="9" t="s">
        <v>57</v>
      </c>
      <c r="H42" s="9" t="s">
        <v>54</v>
      </c>
      <c r="I42" s="9" t="s">
        <v>1183</v>
      </c>
      <c r="J42" s="9" t="s">
        <v>1184</v>
      </c>
      <c r="K42" s="9" t="s">
        <v>1160</v>
      </c>
      <c r="L42" s="9" t="s">
        <v>135</v>
      </c>
      <c r="M42">
        <v>60</v>
      </c>
      <c r="N42">
        <v>20</v>
      </c>
      <c r="O42">
        <v>4</v>
      </c>
      <c r="P42">
        <v>0</v>
      </c>
      <c r="Q42">
        <v>8</v>
      </c>
      <c r="R42">
        <v>442</v>
      </c>
      <c r="S42">
        <v>120</v>
      </c>
      <c r="T42">
        <v>88</v>
      </c>
      <c r="U42" s="9" t="s">
        <v>1150</v>
      </c>
      <c r="V42">
        <v>0</v>
      </c>
      <c r="W42">
        <v>0</v>
      </c>
      <c r="X42" s="9" t="s">
        <v>1203</v>
      </c>
    </row>
    <row r="43" spans="1:24" x14ac:dyDescent="0.35">
      <c r="A43">
        <v>42</v>
      </c>
      <c r="B43" s="9" t="s">
        <v>877</v>
      </c>
      <c r="C43" s="9" t="s">
        <v>878</v>
      </c>
      <c r="D43" s="9" t="s">
        <v>134</v>
      </c>
      <c r="E43" s="9" t="s">
        <v>46</v>
      </c>
      <c r="F43" s="9" t="s">
        <v>112</v>
      </c>
      <c r="G43" s="9" t="s">
        <v>113</v>
      </c>
      <c r="H43" s="9" t="s">
        <v>54</v>
      </c>
      <c r="I43" s="9" t="s">
        <v>1137</v>
      </c>
      <c r="J43" s="9" t="s">
        <v>1138</v>
      </c>
      <c r="K43" s="9" t="s">
        <v>1136</v>
      </c>
      <c r="L43" s="9" t="s">
        <v>135</v>
      </c>
      <c r="M43">
        <v>54</v>
      </c>
      <c r="N43">
        <v>22</v>
      </c>
      <c r="O43">
        <v>3</v>
      </c>
      <c r="P43">
        <v>0</v>
      </c>
      <c r="Q43">
        <v>8</v>
      </c>
      <c r="R43">
        <v>524</v>
      </c>
      <c r="S43">
        <v>120</v>
      </c>
      <c r="T43">
        <v>88</v>
      </c>
      <c r="U43" s="9" t="s">
        <v>1150</v>
      </c>
      <c r="V43">
        <v>0</v>
      </c>
      <c r="W43">
        <v>0</v>
      </c>
      <c r="X43" s="9" t="s">
        <v>1175</v>
      </c>
    </row>
    <row r="44" spans="1:24" x14ac:dyDescent="0.35">
      <c r="A44">
        <v>43</v>
      </c>
      <c r="B44" s="9" t="s">
        <v>973</v>
      </c>
      <c r="C44" s="9" t="s">
        <v>974</v>
      </c>
      <c r="D44" s="9" t="s">
        <v>134</v>
      </c>
      <c r="E44" s="9" t="s">
        <v>46</v>
      </c>
      <c r="F44" s="9" t="s">
        <v>112</v>
      </c>
      <c r="G44" s="9" t="s">
        <v>113</v>
      </c>
      <c r="H44" s="9" t="s">
        <v>54</v>
      </c>
      <c r="I44" s="9" t="s">
        <v>1147</v>
      </c>
      <c r="J44" s="9" t="s">
        <v>1148</v>
      </c>
      <c r="K44" s="9" t="s">
        <v>1149</v>
      </c>
      <c r="L44" s="9" t="s">
        <v>135</v>
      </c>
      <c r="M44">
        <v>34</v>
      </c>
      <c r="N44">
        <v>31</v>
      </c>
      <c r="O44">
        <v>4</v>
      </c>
      <c r="P44">
        <v>0</v>
      </c>
      <c r="Q44">
        <v>8</v>
      </c>
      <c r="R44">
        <v>469</v>
      </c>
      <c r="S44">
        <v>120</v>
      </c>
      <c r="T44">
        <v>88</v>
      </c>
      <c r="U44" s="9" t="s">
        <v>1150</v>
      </c>
      <c r="V44">
        <v>0</v>
      </c>
      <c r="W44">
        <v>0</v>
      </c>
      <c r="X44" s="9" t="s">
        <v>1200</v>
      </c>
    </row>
    <row r="45" spans="1:24" x14ac:dyDescent="0.35">
      <c r="A45">
        <v>44</v>
      </c>
      <c r="B45" s="9" t="s">
        <v>294</v>
      </c>
      <c r="C45" s="9" t="s">
        <v>295</v>
      </c>
      <c r="D45" s="9" t="s">
        <v>134</v>
      </c>
      <c r="E45" s="9" t="s">
        <v>46</v>
      </c>
      <c r="F45" s="9" t="s">
        <v>56</v>
      </c>
      <c r="G45" s="9" t="s">
        <v>57</v>
      </c>
      <c r="H45" s="9" t="s">
        <v>54</v>
      </c>
      <c r="I45" s="9" t="s">
        <v>1193</v>
      </c>
      <c r="J45" s="9" t="s">
        <v>1194</v>
      </c>
      <c r="K45" s="9" t="s">
        <v>1149</v>
      </c>
      <c r="L45" s="9" t="s">
        <v>135</v>
      </c>
      <c r="M45">
        <v>31</v>
      </c>
      <c r="N45">
        <v>29</v>
      </c>
      <c r="O45">
        <v>3</v>
      </c>
      <c r="P45">
        <v>0</v>
      </c>
      <c r="Q45">
        <v>16</v>
      </c>
      <c r="R45">
        <v>400</v>
      </c>
      <c r="S45">
        <v>120</v>
      </c>
      <c r="T45">
        <v>88</v>
      </c>
      <c r="U45" s="9" t="s">
        <v>1150</v>
      </c>
      <c r="V45">
        <v>0</v>
      </c>
      <c r="W45">
        <v>0</v>
      </c>
      <c r="X45" s="9" t="s">
        <v>1204</v>
      </c>
    </row>
    <row r="46" spans="1:24" x14ac:dyDescent="0.35">
      <c r="A46">
        <v>45</v>
      </c>
      <c r="B46" s="9" t="s">
        <v>372</v>
      </c>
      <c r="C46" s="9" t="s">
        <v>373</v>
      </c>
      <c r="D46" s="9" t="s">
        <v>134</v>
      </c>
      <c r="E46" s="9" t="s">
        <v>46</v>
      </c>
      <c r="F46" s="9" t="s">
        <v>56</v>
      </c>
      <c r="G46" s="9" t="s">
        <v>57</v>
      </c>
      <c r="H46" s="9" t="s">
        <v>54</v>
      </c>
      <c r="I46" s="9" t="s">
        <v>1188</v>
      </c>
      <c r="J46" s="9" t="s">
        <v>1189</v>
      </c>
      <c r="K46" s="9" t="s">
        <v>1131</v>
      </c>
      <c r="L46" s="9" t="s">
        <v>135</v>
      </c>
      <c r="M46">
        <v>65</v>
      </c>
      <c r="N46">
        <v>16</v>
      </c>
      <c r="O46">
        <v>4</v>
      </c>
      <c r="P46">
        <v>0</v>
      </c>
      <c r="Q46">
        <v>16</v>
      </c>
      <c r="R46">
        <v>308</v>
      </c>
      <c r="S46">
        <v>120</v>
      </c>
      <c r="T46">
        <v>88</v>
      </c>
      <c r="U46" s="9" t="s">
        <v>1150</v>
      </c>
      <c r="V46">
        <v>0</v>
      </c>
      <c r="W46">
        <v>0</v>
      </c>
      <c r="X46" s="9" t="s">
        <v>1187</v>
      </c>
    </row>
    <row r="47" spans="1:24" x14ac:dyDescent="0.35">
      <c r="A47">
        <v>46</v>
      </c>
      <c r="B47" s="9" t="s">
        <v>524</v>
      </c>
      <c r="C47" s="9" t="s">
        <v>525</v>
      </c>
      <c r="D47" s="9" t="s">
        <v>134</v>
      </c>
      <c r="E47" s="9" t="s">
        <v>46</v>
      </c>
      <c r="F47" s="9" t="s">
        <v>112</v>
      </c>
      <c r="G47" s="9" t="s">
        <v>113</v>
      </c>
      <c r="H47" s="9" t="s">
        <v>54</v>
      </c>
      <c r="I47" s="9" t="s">
        <v>1145</v>
      </c>
      <c r="J47" s="9" t="s">
        <v>1146</v>
      </c>
      <c r="K47" s="9" t="s">
        <v>1136</v>
      </c>
      <c r="L47" s="9" t="s">
        <v>135</v>
      </c>
      <c r="M47">
        <v>37</v>
      </c>
      <c r="N47">
        <v>29</v>
      </c>
      <c r="O47">
        <v>3</v>
      </c>
      <c r="P47">
        <v>0</v>
      </c>
      <c r="Q47">
        <v>16</v>
      </c>
      <c r="R47">
        <v>385</v>
      </c>
      <c r="S47">
        <v>120</v>
      </c>
      <c r="T47">
        <v>88</v>
      </c>
      <c r="U47" s="9" t="s">
        <v>1150</v>
      </c>
      <c r="V47">
        <v>0</v>
      </c>
      <c r="W47">
        <v>0</v>
      </c>
      <c r="X47" s="9" t="s">
        <v>1205</v>
      </c>
    </row>
    <row r="48" spans="1:24" x14ac:dyDescent="0.35">
      <c r="A48">
        <v>47</v>
      </c>
      <c r="B48" s="9" t="s">
        <v>667</v>
      </c>
      <c r="C48" s="9" t="s">
        <v>668</v>
      </c>
      <c r="D48" s="9" t="s">
        <v>134</v>
      </c>
      <c r="E48" s="9" t="s">
        <v>46</v>
      </c>
      <c r="F48" s="9" t="s">
        <v>112</v>
      </c>
      <c r="G48" s="9" t="s">
        <v>113</v>
      </c>
      <c r="H48" s="9" t="s">
        <v>54</v>
      </c>
      <c r="I48" s="9" t="s">
        <v>1155</v>
      </c>
      <c r="J48" s="9" t="s">
        <v>1156</v>
      </c>
      <c r="K48" s="9" t="s">
        <v>1131</v>
      </c>
      <c r="L48" s="9" t="s">
        <v>135</v>
      </c>
      <c r="M48">
        <v>33</v>
      </c>
      <c r="N48">
        <v>32</v>
      </c>
      <c r="O48">
        <v>4</v>
      </c>
      <c r="P48">
        <v>0</v>
      </c>
      <c r="Q48">
        <v>16</v>
      </c>
      <c r="R48">
        <v>501</v>
      </c>
      <c r="S48">
        <v>120</v>
      </c>
      <c r="T48">
        <v>88</v>
      </c>
      <c r="U48" s="9" t="s">
        <v>1150</v>
      </c>
      <c r="V48">
        <v>0</v>
      </c>
      <c r="W48">
        <v>0</v>
      </c>
      <c r="X48" s="9" t="s">
        <v>1206</v>
      </c>
    </row>
    <row r="49" spans="1:24" x14ac:dyDescent="0.35">
      <c r="A49">
        <v>48</v>
      </c>
      <c r="B49" s="9" t="s">
        <v>304</v>
      </c>
      <c r="C49" s="9" t="s">
        <v>305</v>
      </c>
      <c r="D49" s="9" t="s">
        <v>68</v>
      </c>
      <c r="E49" s="9" t="s">
        <v>46</v>
      </c>
      <c r="F49" s="9" t="s">
        <v>56</v>
      </c>
      <c r="G49" s="9" t="s">
        <v>57</v>
      </c>
      <c r="H49" s="9" t="s">
        <v>54</v>
      </c>
      <c r="I49" s="9" t="s">
        <v>1158</v>
      </c>
      <c r="J49" s="9" t="s">
        <v>1159</v>
      </c>
      <c r="K49" s="9" t="s">
        <v>1160</v>
      </c>
      <c r="L49" s="9" t="s">
        <v>65</v>
      </c>
      <c r="N49">
        <v>0</v>
      </c>
      <c r="O49">
        <v>2</v>
      </c>
      <c r="P49">
        <v>0</v>
      </c>
      <c r="Q49">
        <v>0</v>
      </c>
      <c r="R49">
        <v>209</v>
      </c>
      <c r="S49">
        <v>120</v>
      </c>
      <c r="T49">
        <v>86</v>
      </c>
      <c r="U49" s="9" t="s">
        <v>1207</v>
      </c>
      <c r="V49">
        <v>1</v>
      </c>
      <c r="W49">
        <v>1</v>
      </c>
      <c r="X49" s="9" t="s">
        <v>1208</v>
      </c>
    </row>
    <row r="50" spans="1:24" x14ac:dyDescent="0.35">
      <c r="A50">
        <v>49</v>
      </c>
      <c r="B50" s="9" t="s">
        <v>338</v>
      </c>
      <c r="C50" s="9" t="s">
        <v>339</v>
      </c>
      <c r="D50" s="9" t="s">
        <v>68</v>
      </c>
      <c r="E50" s="9" t="s">
        <v>46</v>
      </c>
      <c r="F50" s="9" t="s">
        <v>76</v>
      </c>
      <c r="G50" s="9" t="s">
        <v>77</v>
      </c>
      <c r="H50" s="9" t="s">
        <v>54</v>
      </c>
      <c r="I50" s="9" t="s">
        <v>1129</v>
      </c>
      <c r="J50" s="9" t="s">
        <v>1130</v>
      </c>
      <c r="K50" s="9" t="s">
        <v>1131</v>
      </c>
      <c r="L50" s="9" t="s">
        <v>65</v>
      </c>
      <c r="N50">
        <v>0</v>
      </c>
      <c r="O50">
        <v>1</v>
      </c>
      <c r="P50">
        <v>0</v>
      </c>
      <c r="Q50">
        <v>0</v>
      </c>
      <c r="R50">
        <v>32</v>
      </c>
      <c r="S50">
        <v>120</v>
      </c>
      <c r="T50">
        <v>86</v>
      </c>
      <c r="U50" s="9" t="s">
        <v>1207</v>
      </c>
      <c r="V50">
        <v>1</v>
      </c>
      <c r="W50">
        <v>1</v>
      </c>
      <c r="X50" s="9" t="s">
        <v>1208</v>
      </c>
    </row>
    <row r="51" spans="1:24" x14ac:dyDescent="0.35">
      <c r="A51">
        <v>50</v>
      </c>
      <c r="B51" s="9" t="s">
        <v>346</v>
      </c>
      <c r="C51" s="9" t="s">
        <v>347</v>
      </c>
      <c r="D51" s="9" t="s">
        <v>61</v>
      </c>
      <c r="E51" s="9" t="s">
        <v>46</v>
      </c>
      <c r="F51" s="9" t="s">
        <v>56</v>
      </c>
      <c r="G51" s="9" t="s">
        <v>57</v>
      </c>
      <c r="H51" s="9" t="s">
        <v>54</v>
      </c>
      <c r="I51" s="9" t="s">
        <v>1134</v>
      </c>
      <c r="J51" s="9" t="s">
        <v>1135</v>
      </c>
      <c r="K51" s="9" t="s">
        <v>1136</v>
      </c>
      <c r="L51" s="9" t="s">
        <v>65</v>
      </c>
      <c r="N51">
        <v>0</v>
      </c>
      <c r="O51">
        <v>1</v>
      </c>
      <c r="P51">
        <v>0</v>
      </c>
      <c r="Q51">
        <v>0</v>
      </c>
      <c r="R51">
        <v>150</v>
      </c>
      <c r="S51">
        <v>120</v>
      </c>
      <c r="T51">
        <v>86</v>
      </c>
      <c r="U51" s="9" t="s">
        <v>1207</v>
      </c>
      <c r="V51">
        <v>1</v>
      </c>
      <c r="W51">
        <v>1</v>
      </c>
      <c r="X51" s="9" t="s">
        <v>1208</v>
      </c>
    </row>
    <row r="52" spans="1:24" x14ac:dyDescent="0.35">
      <c r="A52">
        <v>51</v>
      </c>
      <c r="B52" s="9" t="s">
        <v>418</v>
      </c>
      <c r="C52" s="9" t="s">
        <v>419</v>
      </c>
      <c r="D52" s="9" t="s">
        <v>68</v>
      </c>
      <c r="E52" s="9" t="s">
        <v>46</v>
      </c>
      <c r="F52" s="9" t="s">
        <v>112</v>
      </c>
      <c r="G52" s="9" t="s">
        <v>113</v>
      </c>
      <c r="H52" s="9" t="s">
        <v>54</v>
      </c>
      <c r="I52" s="9" t="s">
        <v>1190</v>
      </c>
      <c r="J52" s="9" t="s">
        <v>1191</v>
      </c>
      <c r="K52" s="9" t="s">
        <v>1149</v>
      </c>
      <c r="L52" s="9" t="s">
        <v>65</v>
      </c>
      <c r="N52">
        <v>0</v>
      </c>
      <c r="O52">
        <v>1</v>
      </c>
      <c r="P52">
        <v>0</v>
      </c>
      <c r="Q52">
        <v>0</v>
      </c>
      <c r="R52">
        <v>143</v>
      </c>
      <c r="S52">
        <v>120</v>
      </c>
      <c r="T52">
        <v>86</v>
      </c>
      <c r="U52" s="9" t="s">
        <v>1207</v>
      </c>
      <c r="V52">
        <v>1</v>
      </c>
      <c r="W52">
        <v>1</v>
      </c>
      <c r="X52" s="9" t="s">
        <v>1208</v>
      </c>
    </row>
    <row r="53" spans="1:24" x14ac:dyDescent="0.35">
      <c r="A53">
        <v>52</v>
      </c>
      <c r="B53" s="9" t="s">
        <v>470</v>
      </c>
      <c r="C53" s="9" t="s">
        <v>471</v>
      </c>
      <c r="D53" s="9" t="s">
        <v>61</v>
      </c>
      <c r="E53" s="9" t="s">
        <v>46</v>
      </c>
      <c r="F53" s="9" t="s">
        <v>112</v>
      </c>
      <c r="G53" s="9" t="s">
        <v>113</v>
      </c>
      <c r="H53" s="9" t="s">
        <v>54</v>
      </c>
      <c r="I53" s="9" t="s">
        <v>1167</v>
      </c>
      <c r="J53" s="9" t="s">
        <v>1168</v>
      </c>
      <c r="K53" s="9" t="s">
        <v>1136</v>
      </c>
      <c r="L53" s="9" t="s">
        <v>65</v>
      </c>
      <c r="N53">
        <v>0</v>
      </c>
      <c r="O53">
        <v>2</v>
      </c>
      <c r="P53">
        <v>0</v>
      </c>
      <c r="Q53">
        <v>0</v>
      </c>
      <c r="R53">
        <v>103</v>
      </c>
      <c r="S53">
        <v>120</v>
      </c>
      <c r="T53">
        <v>86</v>
      </c>
      <c r="U53" s="9" t="s">
        <v>1207</v>
      </c>
      <c r="V53">
        <v>1</v>
      </c>
      <c r="W53">
        <v>1</v>
      </c>
      <c r="X53" s="9" t="s">
        <v>1208</v>
      </c>
    </row>
    <row r="54" spans="1:24" x14ac:dyDescent="0.35">
      <c r="A54">
        <v>53</v>
      </c>
      <c r="B54" s="9" t="s">
        <v>663</v>
      </c>
      <c r="C54" s="9" t="s">
        <v>664</v>
      </c>
      <c r="D54" s="9" t="s">
        <v>68</v>
      </c>
      <c r="E54" s="9" t="s">
        <v>46</v>
      </c>
      <c r="F54" s="9" t="s">
        <v>112</v>
      </c>
      <c r="G54" s="9" t="s">
        <v>113</v>
      </c>
      <c r="H54" s="9" t="s">
        <v>54</v>
      </c>
      <c r="I54" s="9" t="s">
        <v>1171</v>
      </c>
      <c r="J54" s="9" t="s">
        <v>1172</v>
      </c>
      <c r="K54" s="9" t="s">
        <v>1149</v>
      </c>
      <c r="L54" s="9" t="s">
        <v>65</v>
      </c>
      <c r="N54">
        <v>0</v>
      </c>
      <c r="O54">
        <v>1</v>
      </c>
      <c r="P54">
        <v>0</v>
      </c>
      <c r="Q54">
        <v>0</v>
      </c>
      <c r="R54">
        <v>16</v>
      </c>
      <c r="S54">
        <v>120</v>
      </c>
      <c r="T54">
        <v>86</v>
      </c>
      <c r="U54" s="9" t="s">
        <v>1207</v>
      </c>
      <c r="V54">
        <v>1</v>
      </c>
      <c r="W54">
        <v>1</v>
      </c>
      <c r="X54" s="9" t="s">
        <v>1208</v>
      </c>
    </row>
    <row r="55" spans="1:24" x14ac:dyDescent="0.35">
      <c r="A55">
        <v>54</v>
      </c>
      <c r="B55" s="9" t="s">
        <v>699</v>
      </c>
      <c r="C55" s="9" t="s">
        <v>700</v>
      </c>
      <c r="D55" s="9" t="s">
        <v>68</v>
      </c>
      <c r="E55" s="9" t="s">
        <v>46</v>
      </c>
      <c r="F55" s="9" t="s">
        <v>112</v>
      </c>
      <c r="G55" s="9" t="s">
        <v>113</v>
      </c>
      <c r="H55" s="9" t="s">
        <v>54</v>
      </c>
      <c r="I55" s="9" t="s">
        <v>1176</v>
      </c>
      <c r="J55" s="9" t="s">
        <v>1177</v>
      </c>
      <c r="K55" s="9" t="s">
        <v>1160</v>
      </c>
      <c r="L55" s="9" t="s">
        <v>65</v>
      </c>
      <c r="N55">
        <v>0</v>
      </c>
      <c r="O55">
        <v>1</v>
      </c>
      <c r="P55">
        <v>0</v>
      </c>
      <c r="Q55">
        <v>0</v>
      </c>
      <c r="R55">
        <v>26</v>
      </c>
      <c r="S55">
        <v>120</v>
      </c>
      <c r="T55">
        <v>86</v>
      </c>
      <c r="U55" s="9" t="s">
        <v>1207</v>
      </c>
      <c r="V55">
        <v>1</v>
      </c>
      <c r="W55">
        <v>1</v>
      </c>
      <c r="X55" s="9" t="s">
        <v>1208</v>
      </c>
    </row>
    <row r="56" spans="1:24" x14ac:dyDescent="0.35">
      <c r="A56">
        <v>55</v>
      </c>
      <c r="B56" s="9" t="s">
        <v>915</v>
      </c>
      <c r="C56" s="9" t="s">
        <v>916</v>
      </c>
      <c r="D56" s="9" t="s">
        <v>68</v>
      </c>
      <c r="E56" s="9" t="s">
        <v>46</v>
      </c>
      <c r="F56" s="9" t="s">
        <v>112</v>
      </c>
      <c r="G56" s="9" t="s">
        <v>113</v>
      </c>
      <c r="H56" s="9" t="s">
        <v>54</v>
      </c>
      <c r="I56" s="9" t="s">
        <v>1190</v>
      </c>
      <c r="J56" s="9" t="s">
        <v>1191</v>
      </c>
      <c r="K56" s="9" t="s">
        <v>1149</v>
      </c>
      <c r="L56" s="9" t="s">
        <v>65</v>
      </c>
      <c r="N56">
        <v>0</v>
      </c>
      <c r="O56">
        <v>1</v>
      </c>
      <c r="P56">
        <v>0</v>
      </c>
      <c r="Q56">
        <v>0</v>
      </c>
      <c r="R56">
        <v>161</v>
      </c>
      <c r="S56">
        <v>120</v>
      </c>
      <c r="T56">
        <v>86</v>
      </c>
      <c r="U56" s="9" t="s">
        <v>1207</v>
      </c>
      <c r="V56">
        <v>1</v>
      </c>
      <c r="W56">
        <v>1</v>
      </c>
      <c r="X56" s="9" t="s">
        <v>1208</v>
      </c>
    </row>
    <row r="57" spans="1:24" x14ac:dyDescent="0.35">
      <c r="A57">
        <v>56</v>
      </c>
      <c r="B57" s="9" t="s">
        <v>985</v>
      </c>
      <c r="C57" s="9" t="s">
        <v>986</v>
      </c>
      <c r="D57" s="9" t="s">
        <v>68</v>
      </c>
      <c r="E57" s="9" t="s">
        <v>46</v>
      </c>
      <c r="F57" s="9" t="s">
        <v>56</v>
      </c>
      <c r="G57" s="9" t="s">
        <v>57</v>
      </c>
      <c r="H57" s="9" t="s">
        <v>54</v>
      </c>
      <c r="I57" s="9" t="s">
        <v>1158</v>
      </c>
      <c r="J57" s="9" t="s">
        <v>1159</v>
      </c>
      <c r="K57" s="9" t="s">
        <v>1160</v>
      </c>
      <c r="L57" s="9" t="s">
        <v>65</v>
      </c>
      <c r="N57">
        <v>0</v>
      </c>
      <c r="O57">
        <v>1</v>
      </c>
      <c r="P57">
        <v>0</v>
      </c>
      <c r="Q57">
        <v>0</v>
      </c>
      <c r="R57">
        <v>93</v>
      </c>
      <c r="S57">
        <v>120</v>
      </c>
      <c r="T57">
        <v>86</v>
      </c>
      <c r="U57" s="9" t="s">
        <v>1207</v>
      </c>
      <c r="V57">
        <v>1</v>
      </c>
      <c r="W57">
        <v>1</v>
      </c>
      <c r="X57" s="9" t="s">
        <v>1208</v>
      </c>
    </row>
    <row r="58" spans="1:24" x14ac:dyDescent="0.35">
      <c r="A58">
        <v>57</v>
      </c>
      <c r="B58" s="9" t="s">
        <v>124</v>
      </c>
      <c r="C58" s="9" t="s">
        <v>125</v>
      </c>
      <c r="D58" s="9" t="s">
        <v>54</v>
      </c>
      <c r="E58" s="9" t="s">
        <v>46</v>
      </c>
      <c r="F58" s="9" t="s">
        <v>56</v>
      </c>
      <c r="G58" s="9" t="s">
        <v>57</v>
      </c>
      <c r="H58" s="9" t="s">
        <v>54</v>
      </c>
      <c r="I58" s="9" t="s">
        <v>1147</v>
      </c>
      <c r="J58" s="9" t="s">
        <v>1148</v>
      </c>
      <c r="K58" s="9" t="s">
        <v>1149</v>
      </c>
      <c r="L58" s="9" t="s">
        <v>50</v>
      </c>
      <c r="N58">
        <v>0</v>
      </c>
      <c r="O58">
        <v>2</v>
      </c>
      <c r="P58">
        <v>2.5</v>
      </c>
      <c r="Q58">
        <v>0</v>
      </c>
      <c r="R58">
        <v>289</v>
      </c>
      <c r="S58">
        <v>122.5</v>
      </c>
      <c r="T58">
        <v>86</v>
      </c>
      <c r="U58" s="9" t="s">
        <v>1207</v>
      </c>
      <c r="V58">
        <v>0</v>
      </c>
      <c r="W58">
        <v>1</v>
      </c>
      <c r="X58" s="9" t="s">
        <v>1209</v>
      </c>
    </row>
    <row r="59" spans="1:24" x14ac:dyDescent="0.35">
      <c r="A59">
        <v>58</v>
      </c>
      <c r="B59" s="9" t="s">
        <v>144</v>
      </c>
      <c r="C59" s="9" t="s">
        <v>145</v>
      </c>
      <c r="D59" s="9" t="s">
        <v>54</v>
      </c>
      <c r="E59" s="9" t="s">
        <v>46</v>
      </c>
      <c r="F59" s="9" t="s">
        <v>112</v>
      </c>
      <c r="G59" s="9" t="s">
        <v>113</v>
      </c>
      <c r="H59" s="9" t="s">
        <v>54</v>
      </c>
      <c r="I59" s="9" t="s">
        <v>1134</v>
      </c>
      <c r="J59" s="9" t="s">
        <v>1135</v>
      </c>
      <c r="K59" s="9" t="s">
        <v>1136</v>
      </c>
      <c r="L59" s="9" t="s">
        <v>50</v>
      </c>
      <c r="N59">
        <v>0</v>
      </c>
      <c r="O59">
        <v>2</v>
      </c>
      <c r="P59">
        <v>2.5</v>
      </c>
      <c r="Q59">
        <v>0</v>
      </c>
      <c r="R59">
        <v>155</v>
      </c>
      <c r="S59">
        <v>125</v>
      </c>
      <c r="T59">
        <v>86</v>
      </c>
      <c r="U59" s="9" t="s">
        <v>1207</v>
      </c>
      <c r="V59">
        <v>1</v>
      </c>
      <c r="W59">
        <v>1</v>
      </c>
      <c r="X59" s="9" t="s">
        <v>1210</v>
      </c>
    </row>
    <row r="60" spans="1:24" x14ac:dyDescent="0.35">
      <c r="A60">
        <v>59</v>
      </c>
      <c r="B60" s="9" t="s">
        <v>160</v>
      </c>
      <c r="C60" s="9" t="s">
        <v>161</v>
      </c>
      <c r="D60" s="9" t="s">
        <v>54</v>
      </c>
      <c r="E60" s="9" t="s">
        <v>46</v>
      </c>
      <c r="F60" s="9" t="s">
        <v>112</v>
      </c>
      <c r="G60" s="9" t="s">
        <v>113</v>
      </c>
      <c r="H60" s="9" t="s">
        <v>54</v>
      </c>
      <c r="I60" s="9" t="s">
        <v>1134</v>
      </c>
      <c r="J60" s="9" t="s">
        <v>1135</v>
      </c>
      <c r="K60" s="9" t="s">
        <v>1136</v>
      </c>
      <c r="L60" s="9" t="s">
        <v>50</v>
      </c>
      <c r="N60">
        <v>0</v>
      </c>
      <c r="O60">
        <v>1</v>
      </c>
      <c r="P60">
        <v>2.5</v>
      </c>
      <c r="Q60">
        <v>0</v>
      </c>
      <c r="R60">
        <v>201</v>
      </c>
      <c r="S60">
        <v>127.5</v>
      </c>
      <c r="T60">
        <v>86</v>
      </c>
      <c r="U60" s="9" t="s">
        <v>1207</v>
      </c>
      <c r="V60">
        <v>1</v>
      </c>
      <c r="W60">
        <v>1</v>
      </c>
      <c r="X60" s="9" t="s">
        <v>1210</v>
      </c>
    </row>
    <row r="61" spans="1:24" x14ac:dyDescent="0.35">
      <c r="A61">
        <v>60</v>
      </c>
      <c r="B61" s="9" t="s">
        <v>180</v>
      </c>
      <c r="C61" s="9" t="s">
        <v>181</v>
      </c>
      <c r="D61" s="9" t="s">
        <v>54</v>
      </c>
      <c r="E61" s="9" t="s">
        <v>46</v>
      </c>
      <c r="F61" s="9" t="s">
        <v>56</v>
      </c>
      <c r="G61" s="9" t="s">
        <v>57</v>
      </c>
      <c r="H61" s="9" t="s">
        <v>54</v>
      </c>
      <c r="I61" s="9" t="s">
        <v>1188</v>
      </c>
      <c r="J61" s="9" t="s">
        <v>1189</v>
      </c>
      <c r="K61" s="9" t="s">
        <v>1131</v>
      </c>
      <c r="L61" s="9" t="s">
        <v>50</v>
      </c>
      <c r="N61">
        <v>0</v>
      </c>
      <c r="O61">
        <v>3</v>
      </c>
      <c r="P61">
        <v>2.5</v>
      </c>
      <c r="Q61">
        <v>0</v>
      </c>
      <c r="R61">
        <v>431</v>
      </c>
      <c r="S61">
        <v>130</v>
      </c>
      <c r="T61">
        <v>86</v>
      </c>
      <c r="U61" s="9" t="s">
        <v>1207</v>
      </c>
      <c r="V61">
        <v>0</v>
      </c>
      <c r="W61">
        <v>1</v>
      </c>
      <c r="X61" s="9" t="s">
        <v>1209</v>
      </c>
    </row>
    <row r="62" spans="1:24" x14ac:dyDescent="0.35">
      <c r="A62">
        <v>61</v>
      </c>
      <c r="B62" s="9" t="s">
        <v>232</v>
      </c>
      <c r="C62" s="9" t="s">
        <v>233</v>
      </c>
      <c r="D62" s="9" t="s">
        <v>54</v>
      </c>
      <c r="E62" s="9" t="s">
        <v>46</v>
      </c>
      <c r="F62" s="9" t="s">
        <v>112</v>
      </c>
      <c r="G62" s="9" t="s">
        <v>113</v>
      </c>
      <c r="H62" s="9" t="s">
        <v>54</v>
      </c>
      <c r="I62" s="9" t="s">
        <v>1145</v>
      </c>
      <c r="J62" s="9" t="s">
        <v>1146</v>
      </c>
      <c r="K62" s="9" t="s">
        <v>1136</v>
      </c>
      <c r="L62" s="9" t="s">
        <v>50</v>
      </c>
      <c r="N62">
        <v>0</v>
      </c>
      <c r="O62">
        <v>2</v>
      </c>
      <c r="P62">
        <v>2.5</v>
      </c>
      <c r="Q62">
        <v>0</v>
      </c>
      <c r="R62">
        <v>156</v>
      </c>
      <c r="S62">
        <v>132.5</v>
      </c>
      <c r="T62">
        <v>86</v>
      </c>
      <c r="U62" s="9" t="s">
        <v>1207</v>
      </c>
      <c r="V62">
        <v>1</v>
      </c>
      <c r="W62">
        <v>1</v>
      </c>
      <c r="X62" s="9" t="s">
        <v>1210</v>
      </c>
    </row>
    <row r="63" spans="1:24" x14ac:dyDescent="0.35">
      <c r="A63">
        <v>62</v>
      </c>
      <c r="B63" s="9" t="s">
        <v>286</v>
      </c>
      <c r="C63" s="9" t="s">
        <v>287</v>
      </c>
      <c r="D63" s="9" t="s">
        <v>54</v>
      </c>
      <c r="E63" s="9" t="s">
        <v>46</v>
      </c>
      <c r="F63" s="9" t="s">
        <v>56</v>
      </c>
      <c r="G63" s="9" t="s">
        <v>57</v>
      </c>
      <c r="H63" s="9" t="s">
        <v>54</v>
      </c>
      <c r="I63" s="9" t="s">
        <v>1162</v>
      </c>
      <c r="J63" s="9" t="s">
        <v>1163</v>
      </c>
      <c r="K63" s="9" t="s">
        <v>1149</v>
      </c>
      <c r="L63" s="9" t="s">
        <v>50</v>
      </c>
      <c r="N63">
        <v>0</v>
      </c>
      <c r="O63">
        <v>1</v>
      </c>
      <c r="P63">
        <v>2.5</v>
      </c>
      <c r="Q63">
        <v>0</v>
      </c>
      <c r="R63">
        <v>180</v>
      </c>
      <c r="S63">
        <v>135</v>
      </c>
      <c r="T63">
        <v>86</v>
      </c>
      <c r="U63" s="9" t="s">
        <v>1207</v>
      </c>
      <c r="V63">
        <v>1</v>
      </c>
      <c r="W63">
        <v>1</v>
      </c>
      <c r="X63" s="9" t="s">
        <v>1210</v>
      </c>
    </row>
    <row r="64" spans="1:24" x14ac:dyDescent="0.35">
      <c r="A64">
        <v>63</v>
      </c>
      <c r="B64" s="9" t="s">
        <v>362</v>
      </c>
      <c r="C64" s="9" t="s">
        <v>363</v>
      </c>
      <c r="D64" s="9" t="s">
        <v>54</v>
      </c>
      <c r="E64" s="9" t="s">
        <v>46</v>
      </c>
      <c r="F64" s="9" t="s">
        <v>56</v>
      </c>
      <c r="G64" s="9" t="s">
        <v>57</v>
      </c>
      <c r="H64" s="9" t="s">
        <v>54</v>
      </c>
      <c r="I64" s="9" t="s">
        <v>1188</v>
      </c>
      <c r="J64" s="9" t="s">
        <v>1189</v>
      </c>
      <c r="K64" s="9" t="s">
        <v>1131</v>
      </c>
      <c r="L64" s="9" t="s">
        <v>50</v>
      </c>
      <c r="N64">
        <v>0</v>
      </c>
      <c r="O64">
        <v>1</v>
      </c>
      <c r="P64">
        <v>2.5</v>
      </c>
      <c r="Q64">
        <v>0</v>
      </c>
      <c r="R64">
        <v>205</v>
      </c>
      <c r="S64">
        <v>137.5</v>
      </c>
      <c r="T64">
        <v>86</v>
      </c>
      <c r="U64" s="9" t="s">
        <v>1207</v>
      </c>
      <c r="V64">
        <v>1</v>
      </c>
      <c r="W64">
        <v>1</v>
      </c>
      <c r="X64" s="9" t="s">
        <v>1210</v>
      </c>
    </row>
    <row r="65" spans="1:24" x14ac:dyDescent="0.35">
      <c r="A65">
        <v>64</v>
      </c>
      <c r="B65" s="9" t="s">
        <v>402</v>
      </c>
      <c r="C65" s="9" t="s">
        <v>403</v>
      </c>
      <c r="D65" s="9" t="s">
        <v>45</v>
      </c>
      <c r="E65" s="9" t="s">
        <v>46</v>
      </c>
      <c r="F65" s="9" t="s">
        <v>56</v>
      </c>
      <c r="G65" s="9" t="s">
        <v>57</v>
      </c>
      <c r="H65" s="9" t="s">
        <v>54</v>
      </c>
      <c r="I65" s="9" t="s">
        <v>1196</v>
      </c>
      <c r="J65" s="9" t="s">
        <v>1197</v>
      </c>
      <c r="K65" s="9" t="s">
        <v>1136</v>
      </c>
      <c r="L65" s="9" t="s">
        <v>50</v>
      </c>
      <c r="N65">
        <v>0</v>
      </c>
      <c r="O65">
        <v>2</v>
      </c>
      <c r="P65">
        <v>2.5</v>
      </c>
      <c r="Q65">
        <v>0</v>
      </c>
      <c r="R65">
        <v>291</v>
      </c>
      <c r="S65">
        <v>140</v>
      </c>
      <c r="T65">
        <v>86</v>
      </c>
      <c r="U65" s="9" t="s">
        <v>1207</v>
      </c>
      <c r="V65">
        <v>0</v>
      </c>
      <c r="W65">
        <v>1</v>
      </c>
      <c r="X65" s="9" t="s">
        <v>1209</v>
      </c>
    </row>
    <row r="66" spans="1:24" x14ac:dyDescent="0.35">
      <c r="A66">
        <v>65</v>
      </c>
      <c r="B66" s="9" t="s">
        <v>422</v>
      </c>
      <c r="C66" s="9" t="s">
        <v>423</v>
      </c>
      <c r="D66" s="9" t="s">
        <v>54</v>
      </c>
      <c r="E66" s="9" t="s">
        <v>46</v>
      </c>
      <c r="F66" s="9" t="s">
        <v>56</v>
      </c>
      <c r="G66" s="9" t="s">
        <v>57</v>
      </c>
      <c r="H66" s="9" t="s">
        <v>54</v>
      </c>
      <c r="I66" s="9" t="s">
        <v>1155</v>
      </c>
      <c r="J66" s="9" t="s">
        <v>1156</v>
      </c>
      <c r="K66" s="9" t="s">
        <v>1131</v>
      </c>
      <c r="L66" s="9" t="s">
        <v>50</v>
      </c>
      <c r="N66">
        <v>0</v>
      </c>
      <c r="O66">
        <v>1</v>
      </c>
      <c r="P66">
        <v>2.5</v>
      </c>
      <c r="Q66">
        <v>0</v>
      </c>
      <c r="R66">
        <v>187</v>
      </c>
      <c r="S66">
        <v>142.5</v>
      </c>
      <c r="T66">
        <v>86</v>
      </c>
      <c r="U66" s="9" t="s">
        <v>1207</v>
      </c>
      <c r="V66">
        <v>1</v>
      </c>
      <c r="W66">
        <v>1</v>
      </c>
      <c r="X66" s="9" t="s">
        <v>1210</v>
      </c>
    </row>
    <row r="67" spans="1:24" x14ac:dyDescent="0.35">
      <c r="A67">
        <v>66</v>
      </c>
      <c r="B67" s="9" t="s">
        <v>436</v>
      </c>
      <c r="C67" s="9" t="s">
        <v>437</v>
      </c>
      <c r="D67" s="9" t="s">
        <v>54</v>
      </c>
      <c r="E67" s="9" t="s">
        <v>46</v>
      </c>
      <c r="F67" s="9" t="s">
        <v>112</v>
      </c>
      <c r="G67" s="9" t="s">
        <v>113</v>
      </c>
      <c r="H67" s="9" t="s">
        <v>54</v>
      </c>
      <c r="I67" s="9" t="s">
        <v>1211</v>
      </c>
      <c r="J67" s="9" t="s">
        <v>1212</v>
      </c>
      <c r="K67" s="9" t="s">
        <v>1160</v>
      </c>
      <c r="L67" s="9" t="s">
        <v>50</v>
      </c>
      <c r="N67">
        <v>0</v>
      </c>
      <c r="O67">
        <v>1</v>
      </c>
      <c r="P67">
        <v>2.5</v>
      </c>
      <c r="Q67">
        <v>0</v>
      </c>
      <c r="R67">
        <v>121</v>
      </c>
      <c r="S67">
        <v>145</v>
      </c>
      <c r="T67">
        <v>86</v>
      </c>
      <c r="U67" s="9" t="s">
        <v>1207</v>
      </c>
      <c r="V67">
        <v>1</v>
      </c>
      <c r="W67">
        <v>1</v>
      </c>
      <c r="X67" s="9" t="s">
        <v>1210</v>
      </c>
    </row>
    <row r="68" spans="1:24" x14ac:dyDescent="0.35">
      <c r="A68">
        <v>67</v>
      </c>
      <c r="B68" s="9" t="s">
        <v>653</v>
      </c>
      <c r="C68" s="9" t="s">
        <v>654</v>
      </c>
      <c r="D68" s="9" t="s">
        <v>54</v>
      </c>
      <c r="E68" s="9" t="s">
        <v>46</v>
      </c>
      <c r="F68" s="9" t="s">
        <v>76</v>
      </c>
      <c r="G68" s="9" t="s">
        <v>77</v>
      </c>
      <c r="H68" s="9" t="s">
        <v>54</v>
      </c>
      <c r="I68" s="9" t="s">
        <v>1158</v>
      </c>
      <c r="J68" s="9" t="s">
        <v>1159</v>
      </c>
      <c r="K68" s="9" t="s">
        <v>1160</v>
      </c>
      <c r="L68" s="9" t="s">
        <v>50</v>
      </c>
      <c r="N68">
        <v>0</v>
      </c>
      <c r="O68">
        <v>2</v>
      </c>
      <c r="P68">
        <v>2.5</v>
      </c>
      <c r="Q68">
        <v>0</v>
      </c>
      <c r="R68">
        <v>56</v>
      </c>
      <c r="S68">
        <v>147.5</v>
      </c>
      <c r="T68">
        <v>86</v>
      </c>
      <c r="U68" s="9" t="s">
        <v>1207</v>
      </c>
      <c r="V68">
        <v>1</v>
      </c>
      <c r="W68">
        <v>1</v>
      </c>
      <c r="X68" s="9" t="s">
        <v>1210</v>
      </c>
    </row>
    <row r="69" spans="1:24" x14ac:dyDescent="0.35">
      <c r="A69">
        <v>68</v>
      </c>
      <c r="B69" s="9" t="s">
        <v>721</v>
      </c>
      <c r="C69" s="9" t="s">
        <v>722</v>
      </c>
      <c r="D69" s="9" t="s">
        <v>54</v>
      </c>
      <c r="E69" s="9" t="s">
        <v>46</v>
      </c>
      <c r="F69" s="9" t="s">
        <v>56</v>
      </c>
      <c r="G69" s="9" t="s">
        <v>57</v>
      </c>
      <c r="H69" s="9" t="s">
        <v>54</v>
      </c>
      <c r="I69" s="9" t="s">
        <v>1188</v>
      </c>
      <c r="J69" s="9" t="s">
        <v>1189</v>
      </c>
      <c r="K69" s="9" t="s">
        <v>1131</v>
      </c>
      <c r="L69" s="9" t="s">
        <v>50</v>
      </c>
      <c r="N69">
        <v>0</v>
      </c>
      <c r="O69">
        <v>2</v>
      </c>
      <c r="P69">
        <v>2.5</v>
      </c>
      <c r="Q69">
        <v>0</v>
      </c>
      <c r="R69">
        <v>122</v>
      </c>
      <c r="S69">
        <v>150</v>
      </c>
      <c r="T69">
        <v>86</v>
      </c>
      <c r="U69" s="9" t="s">
        <v>1207</v>
      </c>
      <c r="V69">
        <v>0</v>
      </c>
      <c r="W69">
        <v>1</v>
      </c>
      <c r="X69" s="9" t="s">
        <v>1209</v>
      </c>
    </row>
    <row r="70" spans="1:24" x14ac:dyDescent="0.35">
      <c r="A70">
        <v>69</v>
      </c>
      <c r="B70" s="9" t="s">
        <v>809</v>
      </c>
      <c r="C70" s="9" t="s">
        <v>810</v>
      </c>
      <c r="D70" s="9" t="s">
        <v>54</v>
      </c>
      <c r="E70" s="9" t="s">
        <v>46</v>
      </c>
      <c r="F70" s="9" t="s">
        <v>112</v>
      </c>
      <c r="G70" s="9" t="s">
        <v>113</v>
      </c>
      <c r="H70" s="9" t="s">
        <v>54</v>
      </c>
      <c r="I70" s="9" t="s">
        <v>1171</v>
      </c>
      <c r="J70" s="9" t="s">
        <v>1172</v>
      </c>
      <c r="K70" s="9" t="s">
        <v>1149</v>
      </c>
      <c r="L70" s="9" t="s">
        <v>50</v>
      </c>
      <c r="N70">
        <v>0</v>
      </c>
      <c r="O70">
        <v>3</v>
      </c>
      <c r="P70">
        <v>2.5</v>
      </c>
      <c r="Q70">
        <v>0</v>
      </c>
      <c r="R70">
        <v>338</v>
      </c>
      <c r="S70">
        <v>152.5</v>
      </c>
      <c r="T70">
        <v>86</v>
      </c>
      <c r="U70" s="9" t="s">
        <v>1207</v>
      </c>
      <c r="V70">
        <v>0</v>
      </c>
      <c r="W70">
        <v>1</v>
      </c>
      <c r="X70" s="9" t="s">
        <v>1209</v>
      </c>
    </row>
    <row r="71" spans="1:24" x14ac:dyDescent="0.35">
      <c r="A71">
        <v>70</v>
      </c>
      <c r="B71" s="9" t="s">
        <v>895</v>
      </c>
      <c r="C71" s="9" t="s">
        <v>896</v>
      </c>
      <c r="D71" s="9" t="s">
        <v>54</v>
      </c>
      <c r="E71" s="9" t="s">
        <v>46</v>
      </c>
      <c r="F71" s="9" t="s">
        <v>112</v>
      </c>
      <c r="G71" s="9" t="s">
        <v>113</v>
      </c>
      <c r="H71" s="9" t="s">
        <v>54</v>
      </c>
      <c r="I71" s="9" t="s">
        <v>1143</v>
      </c>
      <c r="J71" s="9" t="s">
        <v>1144</v>
      </c>
      <c r="K71" s="9" t="s">
        <v>1131</v>
      </c>
      <c r="L71" s="9" t="s">
        <v>50</v>
      </c>
      <c r="N71">
        <v>0</v>
      </c>
      <c r="O71">
        <v>2</v>
      </c>
      <c r="P71">
        <v>2.5</v>
      </c>
      <c r="Q71">
        <v>0</v>
      </c>
      <c r="R71">
        <v>265</v>
      </c>
      <c r="S71">
        <v>155</v>
      </c>
      <c r="T71">
        <v>86</v>
      </c>
      <c r="U71" s="9" t="s">
        <v>1207</v>
      </c>
      <c r="V71">
        <v>0</v>
      </c>
      <c r="W71">
        <v>1</v>
      </c>
      <c r="X71" s="9" t="s">
        <v>1209</v>
      </c>
    </row>
    <row r="72" spans="1:24" x14ac:dyDescent="0.35">
      <c r="A72">
        <v>71</v>
      </c>
      <c r="B72" s="9" t="s">
        <v>977</v>
      </c>
      <c r="C72" s="9" t="s">
        <v>978</v>
      </c>
      <c r="D72" s="9" t="s">
        <v>54</v>
      </c>
      <c r="E72" s="9" t="s">
        <v>46</v>
      </c>
      <c r="F72" s="9" t="s">
        <v>56</v>
      </c>
      <c r="G72" s="9" t="s">
        <v>57</v>
      </c>
      <c r="H72" s="9" t="s">
        <v>54</v>
      </c>
      <c r="I72" s="9" t="s">
        <v>1147</v>
      </c>
      <c r="J72" s="9" t="s">
        <v>1148</v>
      </c>
      <c r="K72" s="9" t="s">
        <v>1149</v>
      </c>
      <c r="L72" s="9" t="s">
        <v>50</v>
      </c>
      <c r="N72">
        <v>0</v>
      </c>
      <c r="O72">
        <v>1</v>
      </c>
      <c r="P72">
        <v>2.5</v>
      </c>
      <c r="Q72">
        <v>0</v>
      </c>
      <c r="R72">
        <v>193</v>
      </c>
      <c r="S72">
        <v>157.5</v>
      </c>
      <c r="T72">
        <v>86</v>
      </c>
      <c r="U72" s="9" t="s">
        <v>1207</v>
      </c>
      <c r="V72">
        <v>1</v>
      </c>
      <c r="W72">
        <v>1</v>
      </c>
      <c r="X72" s="9" t="s">
        <v>1210</v>
      </c>
    </row>
    <row r="73" spans="1:24" x14ac:dyDescent="0.35">
      <c r="A73">
        <v>72</v>
      </c>
      <c r="B73" s="9" t="s">
        <v>989</v>
      </c>
      <c r="C73" s="9" t="s">
        <v>990</v>
      </c>
      <c r="D73" s="9" t="s">
        <v>45</v>
      </c>
      <c r="E73" s="9" t="s">
        <v>46</v>
      </c>
      <c r="F73" s="9" t="s">
        <v>56</v>
      </c>
      <c r="G73" s="9" t="s">
        <v>57</v>
      </c>
      <c r="H73" s="9" t="s">
        <v>54</v>
      </c>
      <c r="I73" s="9" t="s">
        <v>1147</v>
      </c>
      <c r="J73" s="9" t="s">
        <v>1148</v>
      </c>
      <c r="K73" s="9" t="s">
        <v>1149</v>
      </c>
      <c r="L73" s="9" t="s">
        <v>50</v>
      </c>
      <c r="N73">
        <v>0</v>
      </c>
      <c r="O73">
        <v>1</v>
      </c>
      <c r="P73">
        <v>2.5</v>
      </c>
      <c r="Q73">
        <v>0</v>
      </c>
      <c r="R73">
        <v>67</v>
      </c>
      <c r="S73">
        <v>160</v>
      </c>
      <c r="T73">
        <v>86</v>
      </c>
      <c r="U73" s="9" t="s">
        <v>1207</v>
      </c>
      <c r="V73">
        <v>1</v>
      </c>
      <c r="W73">
        <v>1</v>
      </c>
      <c r="X73" s="9" t="s">
        <v>1210</v>
      </c>
    </row>
    <row r="74" spans="1:24" x14ac:dyDescent="0.35">
      <c r="A74">
        <v>73</v>
      </c>
      <c r="B74" s="9" t="s">
        <v>1015</v>
      </c>
      <c r="C74" s="9" t="s">
        <v>1016</v>
      </c>
      <c r="D74" s="9" t="s">
        <v>54</v>
      </c>
      <c r="E74" s="9" t="s">
        <v>46</v>
      </c>
      <c r="F74" s="9" t="s">
        <v>56</v>
      </c>
      <c r="G74" s="9" t="s">
        <v>57</v>
      </c>
      <c r="H74" s="9" t="s">
        <v>54</v>
      </c>
      <c r="I74" s="9" t="s">
        <v>1152</v>
      </c>
      <c r="J74" s="9" t="s">
        <v>1153</v>
      </c>
      <c r="K74" s="9" t="s">
        <v>1131</v>
      </c>
      <c r="L74" s="9" t="s">
        <v>50</v>
      </c>
      <c r="N74">
        <v>0</v>
      </c>
      <c r="O74">
        <v>1</v>
      </c>
      <c r="P74">
        <v>2.5</v>
      </c>
      <c r="Q74">
        <v>0</v>
      </c>
      <c r="R74">
        <v>34</v>
      </c>
      <c r="S74">
        <v>162.5</v>
      </c>
      <c r="T74">
        <v>86</v>
      </c>
      <c r="U74" s="9" t="s">
        <v>1213</v>
      </c>
      <c r="V74">
        <v>0</v>
      </c>
      <c r="W74">
        <v>1</v>
      </c>
      <c r="X74" s="9" t="s">
        <v>1214</v>
      </c>
    </row>
    <row r="75" spans="1:24" x14ac:dyDescent="0.35">
      <c r="A75">
        <v>74</v>
      </c>
      <c r="B75" s="9" t="s">
        <v>1025</v>
      </c>
      <c r="C75" s="9" t="s">
        <v>1026</v>
      </c>
      <c r="D75" s="9" t="s">
        <v>54</v>
      </c>
      <c r="E75" s="9" t="s">
        <v>46</v>
      </c>
      <c r="F75" s="9" t="s">
        <v>56</v>
      </c>
      <c r="G75" s="9" t="s">
        <v>57</v>
      </c>
      <c r="H75" s="9" t="s">
        <v>54</v>
      </c>
      <c r="I75" s="9" t="s">
        <v>1129</v>
      </c>
      <c r="J75" s="9" t="s">
        <v>1130</v>
      </c>
      <c r="K75" s="9" t="s">
        <v>1131</v>
      </c>
      <c r="L75" s="9" t="s">
        <v>50</v>
      </c>
      <c r="N75">
        <v>0</v>
      </c>
      <c r="O75">
        <v>1</v>
      </c>
      <c r="P75">
        <v>2.5</v>
      </c>
      <c r="Q75">
        <v>0</v>
      </c>
      <c r="R75">
        <v>37</v>
      </c>
      <c r="S75">
        <v>165</v>
      </c>
      <c r="T75">
        <v>86</v>
      </c>
      <c r="U75" s="9" t="s">
        <v>1207</v>
      </c>
      <c r="V75">
        <v>1</v>
      </c>
      <c r="W75">
        <v>1</v>
      </c>
      <c r="X75" s="9" t="s">
        <v>1210</v>
      </c>
    </row>
    <row r="76" spans="1:24" x14ac:dyDescent="0.35">
      <c r="A76">
        <v>75</v>
      </c>
      <c r="B76" s="9" t="s">
        <v>1065</v>
      </c>
      <c r="C76" s="9" t="s">
        <v>1066</v>
      </c>
      <c r="D76" s="9" t="s">
        <v>54</v>
      </c>
      <c r="E76" s="9" t="s">
        <v>46</v>
      </c>
      <c r="F76" s="9" t="s">
        <v>112</v>
      </c>
      <c r="G76" s="9" t="s">
        <v>113</v>
      </c>
      <c r="H76" s="9" t="s">
        <v>54</v>
      </c>
      <c r="I76" s="9" t="s">
        <v>1137</v>
      </c>
      <c r="J76" s="9" t="s">
        <v>1138</v>
      </c>
      <c r="K76" s="9" t="s">
        <v>1136</v>
      </c>
      <c r="L76" s="9" t="s">
        <v>50</v>
      </c>
      <c r="N76">
        <v>0</v>
      </c>
      <c r="O76">
        <v>2</v>
      </c>
      <c r="P76">
        <v>2.5</v>
      </c>
      <c r="Q76">
        <v>0</v>
      </c>
      <c r="R76">
        <v>263</v>
      </c>
      <c r="S76">
        <v>167.5</v>
      </c>
      <c r="T76">
        <v>86</v>
      </c>
      <c r="U76" s="9" t="s">
        <v>1207</v>
      </c>
      <c r="V76">
        <v>1</v>
      </c>
      <c r="W76">
        <v>1</v>
      </c>
      <c r="X76" s="9" t="s">
        <v>1210</v>
      </c>
    </row>
    <row r="77" spans="1:24" x14ac:dyDescent="0.35">
      <c r="A77">
        <v>76</v>
      </c>
      <c r="B77" s="9" t="s">
        <v>1079</v>
      </c>
      <c r="C77" s="9" t="s">
        <v>1080</v>
      </c>
      <c r="D77" s="9" t="s">
        <v>54</v>
      </c>
      <c r="E77" s="9" t="s">
        <v>46</v>
      </c>
      <c r="F77" s="9" t="s">
        <v>56</v>
      </c>
      <c r="G77" s="9" t="s">
        <v>57</v>
      </c>
      <c r="H77" s="9" t="s">
        <v>54</v>
      </c>
      <c r="I77" s="9" t="s">
        <v>1188</v>
      </c>
      <c r="J77" s="9" t="s">
        <v>1189</v>
      </c>
      <c r="K77" s="9" t="s">
        <v>1131</v>
      </c>
      <c r="L77" s="9" t="s">
        <v>50</v>
      </c>
      <c r="N77">
        <v>0</v>
      </c>
      <c r="O77">
        <v>4</v>
      </c>
      <c r="P77">
        <v>2.5</v>
      </c>
      <c r="Q77">
        <v>0</v>
      </c>
      <c r="R77">
        <v>523</v>
      </c>
      <c r="S77">
        <v>170</v>
      </c>
      <c r="T77">
        <v>86</v>
      </c>
      <c r="U77" s="9" t="s">
        <v>1207</v>
      </c>
      <c r="V77">
        <v>1</v>
      </c>
      <c r="W77">
        <v>1</v>
      </c>
      <c r="X77" s="9" t="s">
        <v>1210</v>
      </c>
    </row>
    <row r="78" spans="1:24" x14ac:dyDescent="0.35">
      <c r="A78">
        <v>77</v>
      </c>
      <c r="B78" s="9" t="s">
        <v>248</v>
      </c>
      <c r="C78" s="9" t="s">
        <v>249</v>
      </c>
      <c r="D78" s="9" t="s">
        <v>134</v>
      </c>
      <c r="E78" s="9" t="s">
        <v>46</v>
      </c>
      <c r="F78" s="9" t="s">
        <v>56</v>
      </c>
      <c r="G78" s="9" t="s">
        <v>57</v>
      </c>
      <c r="H78" s="9" t="s">
        <v>54</v>
      </c>
      <c r="I78" s="9" t="s">
        <v>1145</v>
      </c>
      <c r="J78" s="9" t="s">
        <v>1146</v>
      </c>
      <c r="K78" s="9" t="s">
        <v>1136</v>
      </c>
      <c r="L78" s="9" t="s">
        <v>135</v>
      </c>
      <c r="N78">
        <v>0</v>
      </c>
      <c r="O78">
        <v>4</v>
      </c>
      <c r="P78">
        <v>0</v>
      </c>
      <c r="Q78">
        <v>8</v>
      </c>
      <c r="R78">
        <v>436</v>
      </c>
      <c r="S78">
        <v>170</v>
      </c>
      <c r="T78">
        <v>86</v>
      </c>
      <c r="U78" s="9" t="s">
        <v>1207</v>
      </c>
      <c r="V78">
        <v>1</v>
      </c>
      <c r="W78">
        <v>0</v>
      </c>
      <c r="X78" s="9" t="s">
        <v>1215</v>
      </c>
    </row>
    <row r="79" spans="1:24" x14ac:dyDescent="0.35">
      <c r="A79">
        <v>78</v>
      </c>
      <c r="B79" s="9" t="s">
        <v>783</v>
      </c>
      <c r="C79" s="9" t="s">
        <v>784</v>
      </c>
      <c r="D79" s="9" t="s">
        <v>134</v>
      </c>
      <c r="E79" s="9" t="s">
        <v>46</v>
      </c>
      <c r="F79" s="9" t="s">
        <v>112</v>
      </c>
      <c r="G79" s="9" t="s">
        <v>113</v>
      </c>
      <c r="H79" s="9" t="s">
        <v>54</v>
      </c>
      <c r="I79" s="9" t="s">
        <v>1129</v>
      </c>
      <c r="J79" s="9" t="s">
        <v>1130</v>
      </c>
      <c r="K79" s="9" t="s">
        <v>1131</v>
      </c>
      <c r="L79" s="9" t="s">
        <v>135</v>
      </c>
      <c r="N79">
        <v>0</v>
      </c>
      <c r="O79">
        <v>4</v>
      </c>
      <c r="P79">
        <v>0</v>
      </c>
      <c r="Q79">
        <v>8</v>
      </c>
      <c r="R79">
        <v>630</v>
      </c>
      <c r="S79">
        <v>170</v>
      </c>
      <c r="T79">
        <v>86</v>
      </c>
      <c r="U79" s="9" t="s">
        <v>1207</v>
      </c>
      <c r="V79">
        <v>1</v>
      </c>
      <c r="W79">
        <v>0</v>
      </c>
      <c r="X79" s="9" t="s">
        <v>1215</v>
      </c>
    </row>
    <row r="80" spans="1:24" x14ac:dyDescent="0.35">
      <c r="A80">
        <v>79</v>
      </c>
      <c r="B80" s="9" t="s">
        <v>827</v>
      </c>
      <c r="C80" s="9" t="s">
        <v>828</v>
      </c>
      <c r="D80" s="9" t="s">
        <v>134</v>
      </c>
      <c r="E80" s="9" t="s">
        <v>46</v>
      </c>
      <c r="F80" s="9" t="s">
        <v>112</v>
      </c>
      <c r="G80" s="9" t="s">
        <v>113</v>
      </c>
      <c r="H80" s="9" t="s">
        <v>54</v>
      </c>
      <c r="I80" s="9" t="s">
        <v>1167</v>
      </c>
      <c r="J80" s="9" t="s">
        <v>1168</v>
      </c>
      <c r="K80" s="9" t="s">
        <v>1136</v>
      </c>
      <c r="L80" s="9" t="s">
        <v>135</v>
      </c>
      <c r="N80">
        <v>0</v>
      </c>
      <c r="O80">
        <v>2</v>
      </c>
      <c r="P80">
        <v>0</v>
      </c>
      <c r="Q80">
        <v>8</v>
      </c>
      <c r="R80">
        <v>300</v>
      </c>
      <c r="S80">
        <v>170</v>
      </c>
      <c r="T80">
        <v>86</v>
      </c>
      <c r="U80" s="9" t="s">
        <v>1207</v>
      </c>
      <c r="V80">
        <v>1</v>
      </c>
      <c r="W80">
        <v>0</v>
      </c>
      <c r="X80" s="9" t="s">
        <v>1215</v>
      </c>
    </row>
    <row r="81" spans="1:24" x14ac:dyDescent="0.35">
      <c r="A81">
        <v>80</v>
      </c>
      <c r="B81" s="9" t="s">
        <v>867</v>
      </c>
      <c r="C81" s="9" t="s">
        <v>868</v>
      </c>
      <c r="D81" s="9" t="s">
        <v>134</v>
      </c>
      <c r="E81" s="9" t="s">
        <v>46</v>
      </c>
      <c r="F81" s="9" t="s">
        <v>56</v>
      </c>
      <c r="G81" s="9" t="s">
        <v>57</v>
      </c>
      <c r="H81" s="9" t="s">
        <v>54</v>
      </c>
      <c r="I81" s="9" t="s">
        <v>1193</v>
      </c>
      <c r="J81" s="9" t="s">
        <v>1194</v>
      </c>
      <c r="K81" s="9" t="s">
        <v>1149</v>
      </c>
      <c r="L81" s="9" t="s">
        <v>135</v>
      </c>
      <c r="N81">
        <v>0</v>
      </c>
      <c r="O81">
        <v>2</v>
      </c>
      <c r="P81">
        <v>0</v>
      </c>
      <c r="Q81">
        <v>8</v>
      </c>
      <c r="R81">
        <v>152</v>
      </c>
      <c r="S81">
        <v>170</v>
      </c>
      <c r="T81">
        <v>86</v>
      </c>
      <c r="U81" s="9" t="s">
        <v>1207</v>
      </c>
      <c r="V81">
        <v>1</v>
      </c>
      <c r="W81">
        <v>0</v>
      </c>
      <c r="X81" s="9" t="s">
        <v>1215</v>
      </c>
    </row>
    <row r="82" spans="1:24" x14ac:dyDescent="0.35">
      <c r="A82">
        <v>81</v>
      </c>
      <c r="B82" s="9" t="s">
        <v>1045</v>
      </c>
      <c r="C82" s="9" t="s">
        <v>1046</v>
      </c>
      <c r="D82" s="9" t="s">
        <v>134</v>
      </c>
      <c r="E82" s="9" t="s">
        <v>46</v>
      </c>
      <c r="F82" s="9" t="s">
        <v>76</v>
      </c>
      <c r="G82" s="9" t="s">
        <v>77</v>
      </c>
      <c r="H82" s="9" t="s">
        <v>54</v>
      </c>
      <c r="I82" s="9" t="s">
        <v>1193</v>
      </c>
      <c r="J82" s="9" t="s">
        <v>1194</v>
      </c>
      <c r="K82" s="9" t="s">
        <v>1149</v>
      </c>
      <c r="L82" s="9" t="s">
        <v>135</v>
      </c>
      <c r="N82">
        <v>0</v>
      </c>
      <c r="O82">
        <v>2</v>
      </c>
      <c r="P82">
        <v>0</v>
      </c>
      <c r="Q82">
        <v>8</v>
      </c>
      <c r="R82">
        <v>263</v>
      </c>
      <c r="S82">
        <v>170</v>
      </c>
      <c r="T82">
        <v>86</v>
      </c>
      <c r="U82" s="9" t="s">
        <v>1207</v>
      </c>
      <c r="V82">
        <v>0</v>
      </c>
      <c r="W82">
        <v>0</v>
      </c>
      <c r="X82" s="9" t="s">
        <v>1216</v>
      </c>
    </row>
    <row r="83" spans="1:24" x14ac:dyDescent="0.35">
      <c r="A83">
        <v>82</v>
      </c>
      <c r="B83" s="9" t="s">
        <v>98</v>
      </c>
      <c r="C83" s="9" t="s">
        <v>99</v>
      </c>
      <c r="D83" s="9" t="s">
        <v>54</v>
      </c>
      <c r="E83" s="9" t="s">
        <v>46</v>
      </c>
      <c r="F83" s="9" t="s">
        <v>76</v>
      </c>
      <c r="G83" s="9" t="s">
        <v>77</v>
      </c>
      <c r="H83" s="9" t="s">
        <v>54</v>
      </c>
      <c r="I83" s="9" t="s">
        <v>1137</v>
      </c>
      <c r="J83" s="9" t="s">
        <v>1138</v>
      </c>
      <c r="K83" s="9" t="s">
        <v>1136</v>
      </c>
      <c r="L83" s="9" t="s">
        <v>50</v>
      </c>
      <c r="M83">
        <v>28</v>
      </c>
      <c r="N83">
        <v>10</v>
      </c>
      <c r="O83">
        <v>1</v>
      </c>
      <c r="P83">
        <v>2.5</v>
      </c>
      <c r="Q83">
        <v>0</v>
      </c>
      <c r="R83">
        <v>169</v>
      </c>
      <c r="S83">
        <v>172.5</v>
      </c>
      <c r="T83">
        <v>84</v>
      </c>
      <c r="U83" s="9" t="s">
        <v>1150</v>
      </c>
      <c r="V83">
        <v>0</v>
      </c>
      <c r="W83">
        <v>1</v>
      </c>
      <c r="X83" s="9" t="s">
        <v>1217</v>
      </c>
    </row>
    <row r="84" spans="1:24" x14ac:dyDescent="0.35">
      <c r="A84">
        <v>83</v>
      </c>
      <c r="B84" s="9" t="s">
        <v>254</v>
      </c>
      <c r="C84" s="9" t="s">
        <v>255</v>
      </c>
      <c r="D84" s="9" t="s">
        <v>54</v>
      </c>
      <c r="E84" s="9" t="s">
        <v>46</v>
      </c>
      <c r="F84" s="9" t="s">
        <v>76</v>
      </c>
      <c r="G84" s="9" t="s">
        <v>77</v>
      </c>
      <c r="H84" s="9" t="s">
        <v>54</v>
      </c>
      <c r="I84" s="9" t="s">
        <v>1180</v>
      </c>
      <c r="J84" s="9" t="s">
        <v>1181</v>
      </c>
      <c r="K84" s="9" t="s">
        <v>1160</v>
      </c>
      <c r="L84" s="9" t="s">
        <v>50</v>
      </c>
      <c r="M84">
        <v>31</v>
      </c>
      <c r="N84">
        <v>9</v>
      </c>
      <c r="O84">
        <v>2</v>
      </c>
      <c r="P84">
        <v>5</v>
      </c>
      <c r="Q84">
        <v>0</v>
      </c>
      <c r="R84">
        <v>302</v>
      </c>
      <c r="S84">
        <v>177.5</v>
      </c>
      <c r="T84">
        <v>84</v>
      </c>
      <c r="U84" s="9" t="s">
        <v>1150</v>
      </c>
      <c r="V84">
        <v>0</v>
      </c>
      <c r="W84">
        <v>1</v>
      </c>
      <c r="X84" s="9" t="s">
        <v>1218</v>
      </c>
    </row>
    <row r="85" spans="1:24" x14ac:dyDescent="0.35">
      <c r="A85">
        <v>84</v>
      </c>
      <c r="B85" s="9" t="s">
        <v>907</v>
      </c>
      <c r="C85" s="9" t="s">
        <v>908</v>
      </c>
      <c r="D85" s="9" t="s">
        <v>54</v>
      </c>
      <c r="E85" s="9" t="s">
        <v>46</v>
      </c>
      <c r="F85" s="9" t="s">
        <v>76</v>
      </c>
      <c r="G85" s="9" t="s">
        <v>77</v>
      </c>
      <c r="H85" s="9" t="s">
        <v>54</v>
      </c>
      <c r="I85" s="9" t="s">
        <v>1155</v>
      </c>
      <c r="J85" s="9" t="s">
        <v>1156</v>
      </c>
      <c r="K85" s="9" t="s">
        <v>1131</v>
      </c>
      <c r="L85" s="9" t="s">
        <v>50</v>
      </c>
      <c r="M85">
        <v>60</v>
      </c>
      <c r="N85">
        <v>2</v>
      </c>
      <c r="O85">
        <v>2</v>
      </c>
      <c r="P85">
        <v>2.5</v>
      </c>
      <c r="Q85">
        <v>0</v>
      </c>
      <c r="R85">
        <v>136</v>
      </c>
      <c r="S85">
        <v>180</v>
      </c>
      <c r="T85">
        <v>81</v>
      </c>
      <c r="U85" s="9" t="s">
        <v>1150</v>
      </c>
      <c r="V85">
        <v>0</v>
      </c>
      <c r="W85">
        <v>1</v>
      </c>
      <c r="X85" s="9" t="s">
        <v>1219</v>
      </c>
    </row>
    <row r="86" spans="1:24" x14ac:dyDescent="0.35">
      <c r="A86">
        <v>85</v>
      </c>
      <c r="B86" s="9" t="s">
        <v>266</v>
      </c>
      <c r="C86" s="9" t="s">
        <v>267</v>
      </c>
      <c r="D86" s="9" t="s">
        <v>68</v>
      </c>
      <c r="E86" s="9" t="s">
        <v>46</v>
      </c>
      <c r="F86" s="9" t="s">
        <v>47</v>
      </c>
      <c r="G86" s="9" t="s">
        <v>48</v>
      </c>
      <c r="H86" s="9" t="s">
        <v>49</v>
      </c>
      <c r="I86" s="9" t="s">
        <v>1193</v>
      </c>
      <c r="J86" s="9" t="s">
        <v>1194</v>
      </c>
      <c r="K86" s="9" t="s">
        <v>1149</v>
      </c>
      <c r="L86" s="9" t="s">
        <v>65</v>
      </c>
      <c r="N86">
        <v>0</v>
      </c>
      <c r="O86">
        <v>1</v>
      </c>
      <c r="P86">
        <v>0</v>
      </c>
      <c r="Q86">
        <v>0</v>
      </c>
      <c r="R86">
        <v>203</v>
      </c>
      <c r="S86">
        <v>180</v>
      </c>
      <c r="T86">
        <v>79</v>
      </c>
      <c r="U86" s="9" t="s">
        <v>1141</v>
      </c>
      <c r="V86">
        <v>1</v>
      </c>
      <c r="W86">
        <v>1</v>
      </c>
      <c r="X86" s="9" t="s">
        <v>1142</v>
      </c>
    </row>
    <row r="87" spans="1:24" x14ac:dyDescent="0.35">
      <c r="A87">
        <v>86</v>
      </c>
      <c r="B87" s="9" t="s">
        <v>550</v>
      </c>
      <c r="C87" s="9" t="s">
        <v>551</v>
      </c>
      <c r="D87" s="9" t="s">
        <v>45</v>
      </c>
      <c r="E87" s="9" t="s">
        <v>46</v>
      </c>
      <c r="F87" s="9" t="s">
        <v>47</v>
      </c>
      <c r="G87" s="9" t="s">
        <v>48</v>
      </c>
      <c r="H87" s="9" t="s">
        <v>49</v>
      </c>
      <c r="I87" s="9" t="s">
        <v>1147</v>
      </c>
      <c r="J87" s="9" t="s">
        <v>1148</v>
      </c>
      <c r="K87" s="9" t="s">
        <v>1149</v>
      </c>
      <c r="L87" s="9" t="s">
        <v>50</v>
      </c>
      <c r="N87">
        <v>0</v>
      </c>
      <c r="O87">
        <v>2</v>
      </c>
      <c r="P87">
        <v>2.5</v>
      </c>
      <c r="Q87">
        <v>0</v>
      </c>
      <c r="R87">
        <v>349</v>
      </c>
      <c r="S87">
        <v>182.5</v>
      </c>
      <c r="T87">
        <v>79</v>
      </c>
      <c r="U87" s="9" t="s">
        <v>1141</v>
      </c>
      <c r="V87">
        <v>0</v>
      </c>
      <c r="W87">
        <v>0</v>
      </c>
      <c r="X87" s="9" t="s">
        <v>1142</v>
      </c>
    </row>
    <row r="88" spans="1:24" x14ac:dyDescent="0.35">
      <c r="A88">
        <v>87</v>
      </c>
      <c r="B88" s="9" t="s">
        <v>839</v>
      </c>
      <c r="C88" s="9" t="s">
        <v>840</v>
      </c>
      <c r="D88" s="9" t="s">
        <v>45</v>
      </c>
      <c r="E88" s="9" t="s">
        <v>46</v>
      </c>
      <c r="F88" s="9" t="s">
        <v>47</v>
      </c>
      <c r="G88" s="9" t="s">
        <v>48</v>
      </c>
      <c r="H88" s="9" t="s">
        <v>49</v>
      </c>
      <c r="I88" s="9" t="s">
        <v>1180</v>
      </c>
      <c r="J88" s="9" t="s">
        <v>1181</v>
      </c>
      <c r="K88" s="9" t="s">
        <v>1160</v>
      </c>
      <c r="L88" s="9" t="s">
        <v>50</v>
      </c>
      <c r="N88">
        <v>0</v>
      </c>
      <c r="O88">
        <v>1</v>
      </c>
      <c r="P88">
        <v>2.5</v>
      </c>
      <c r="Q88">
        <v>0</v>
      </c>
      <c r="R88">
        <v>114</v>
      </c>
      <c r="S88">
        <v>185</v>
      </c>
      <c r="T88">
        <v>79</v>
      </c>
      <c r="U88" s="9" t="s">
        <v>1141</v>
      </c>
      <c r="V88">
        <v>0</v>
      </c>
      <c r="W88">
        <v>0</v>
      </c>
      <c r="X88" s="9" t="s">
        <v>1142</v>
      </c>
    </row>
    <row r="89" spans="1:24" x14ac:dyDescent="0.35">
      <c r="A89">
        <v>88</v>
      </c>
      <c r="B89" s="9" t="s">
        <v>927</v>
      </c>
      <c r="C89" s="9" t="s">
        <v>928</v>
      </c>
      <c r="D89" s="9" t="s">
        <v>54</v>
      </c>
      <c r="E89" s="9" t="s">
        <v>46</v>
      </c>
      <c r="F89" s="9" t="s">
        <v>63</v>
      </c>
      <c r="G89" s="9" t="s">
        <v>64</v>
      </c>
      <c r="H89" s="9" t="s">
        <v>49</v>
      </c>
      <c r="I89" s="9" t="s">
        <v>1134</v>
      </c>
      <c r="J89" s="9" t="s">
        <v>1135</v>
      </c>
      <c r="K89" s="9" t="s">
        <v>1136</v>
      </c>
      <c r="L89" s="9" t="s">
        <v>50</v>
      </c>
      <c r="N89">
        <v>0</v>
      </c>
      <c r="O89">
        <v>1</v>
      </c>
      <c r="P89">
        <v>2.5</v>
      </c>
      <c r="Q89">
        <v>0</v>
      </c>
      <c r="R89">
        <v>123</v>
      </c>
      <c r="S89">
        <v>187.5</v>
      </c>
      <c r="T89">
        <v>79</v>
      </c>
      <c r="U89" s="9" t="s">
        <v>1141</v>
      </c>
      <c r="V89">
        <v>0</v>
      </c>
      <c r="W89">
        <v>0</v>
      </c>
      <c r="X89" s="9" t="s">
        <v>1142</v>
      </c>
    </row>
    <row r="90" spans="1:24" x14ac:dyDescent="0.35">
      <c r="A90">
        <v>89</v>
      </c>
      <c r="B90" s="9" t="s">
        <v>126</v>
      </c>
      <c r="C90" s="9" t="s">
        <v>127</v>
      </c>
      <c r="D90" s="9" t="s">
        <v>54</v>
      </c>
      <c r="E90" s="9" t="s">
        <v>46</v>
      </c>
      <c r="F90" s="9" t="s">
        <v>47</v>
      </c>
      <c r="G90" s="9" t="s">
        <v>48</v>
      </c>
      <c r="H90" s="9" t="s">
        <v>49</v>
      </c>
      <c r="I90" s="9" t="s">
        <v>1190</v>
      </c>
      <c r="J90" s="9" t="s">
        <v>1191</v>
      </c>
      <c r="K90" s="9" t="s">
        <v>1149</v>
      </c>
      <c r="L90" s="9" t="s">
        <v>50</v>
      </c>
      <c r="M90">
        <v>33</v>
      </c>
      <c r="N90">
        <v>13</v>
      </c>
      <c r="O90">
        <v>4</v>
      </c>
      <c r="P90">
        <v>2.5</v>
      </c>
      <c r="Q90">
        <v>0</v>
      </c>
      <c r="R90">
        <v>449</v>
      </c>
      <c r="S90">
        <v>190</v>
      </c>
      <c r="T90">
        <v>77</v>
      </c>
      <c r="U90" s="9" t="s">
        <v>1150</v>
      </c>
      <c r="V90">
        <v>0</v>
      </c>
      <c r="W90">
        <v>0</v>
      </c>
      <c r="X90" s="9" t="s">
        <v>1220</v>
      </c>
    </row>
    <row r="91" spans="1:24" x14ac:dyDescent="0.35">
      <c r="A91">
        <v>90</v>
      </c>
      <c r="B91" s="9" t="s">
        <v>875</v>
      </c>
      <c r="C91" s="9" t="s">
        <v>876</v>
      </c>
      <c r="D91" s="9" t="s">
        <v>54</v>
      </c>
      <c r="E91" s="9" t="s">
        <v>46</v>
      </c>
      <c r="F91" s="9" t="s">
        <v>47</v>
      </c>
      <c r="G91" s="9" t="s">
        <v>48</v>
      </c>
      <c r="H91" s="9" t="s">
        <v>49</v>
      </c>
      <c r="I91" s="9" t="s">
        <v>1152</v>
      </c>
      <c r="J91" s="9" t="s">
        <v>1153</v>
      </c>
      <c r="K91" s="9" t="s">
        <v>1131</v>
      </c>
      <c r="L91" s="9" t="s">
        <v>50</v>
      </c>
      <c r="M91">
        <v>30</v>
      </c>
      <c r="N91">
        <v>14</v>
      </c>
      <c r="O91">
        <v>3</v>
      </c>
      <c r="P91">
        <v>5</v>
      </c>
      <c r="Q91">
        <v>0</v>
      </c>
      <c r="R91">
        <v>522</v>
      </c>
      <c r="S91">
        <v>195</v>
      </c>
      <c r="T91">
        <v>77</v>
      </c>
      <c r="U91" s="9" t="s">
        <v>1150</v>
      </c>
      <c r="V91">
        <v>0</v>
      </c>
      <c r="W91">
        <v>0</v>
      </c>
      <c r="X91" s="9" t="s">
        <v>1221</v>
      </c>
    </row>
    <row r="92" spans="1:24" x14ac:dyDescent="0.35">
      <c r="A92">
        <v>91</v>
      </c>
      <c r="B92" s="9" t="s">
        <v>1031</v>
      </c>
      <c r="C92" s="9" t="s">
        <v>1032</v>
      </c>
      <c r="D92" s="9" t="s">
        <v>54</v>
      </c>
      <c r="E92" s="9" t="s">
        <v>46</v>
      </c>
      <c r="F92" s="9" t="s">
        <v>63</v>
      </c>
      <c r="G92" s="9" t="s">
        <v>64</v>
      </c>
      <c r="H92" s="9" t="s">
        <v>49</v>
      </c>
      <c r="I92" s="9" t="s">
        <v>1193</v>
      </c>
      <c r="J92" s="9" t="s">
        <v>1194</v>
      </c>
      <c r="K92" s="9" t="s">
        <v>1149</v>
      </c>
      <c r="L92" s="9" t="s">
        <v>50</v>
      </c>
      <c r="M92">
        <v>39</v>
      </c>
      <c r="N92">
        <v>12</v>
      </c>
      <c r="O92">
        <v>3</v>
      </c>
      <c r="P92">
        <v>5</v>
      </c>
      <c r="Q92">
        <v>0</v>
      </c>
      <c r="R92">
        <v>158</v>
      </c>
      <c r="S92">
        <v>200</v>
      </c>
      <c r="T92">
        <v>77</v>
      </c>
      <c r="U92" s="9" t="s">
        <v>1150</v>
      </c>
      <c r="V92">
        <v>0</v>
      </c>
      <c r="W92">
        <v>0</v>
      </c>
      <c r="X92" s="9" t="s">
        <v>1222</v>
      </c>
    </row>
    <row r="93" spans="1:24" x14ac:dyDescent="0.35">
      <c r="A93">
        <v>92</v>
      </c>
      <c r="B93" s="9" t="s">
        <v>83</v>
      </c>
      <c r="C93" s="9" t="s">
        <v>84</v>
      </c>
      <c r="D93" s="9" t="s">
        <v>68</v>
      </c>
      <c r="E93" s="9" t="s">
        <v>46</v>
      </c>
      <c r="F93" s="9" t="s">
        <v>47</v>
      </c>
      <c r="G93" s="9" t="s">
        <v>48</v>
      </c>
      <c r="H93" s="9" t="s">
        <v>49</v>
      </c>
      <c r="I93" s="9" t="s">
        <v>1196</v>
      </c>
      <c r="J93" s="9" t="s">
        <v>1197</v>
      </c>
      <c r="K93" s="9" t="s">
        <v>1136</v>
      </c>
      <c r="L93" s="9" t="s">
        <v>65</v>
      </c>
      <c r="N93">
        <v>0</v>
      </c>
      <c r="O93">
        <v>3</v>
      </c>
      <c r="P93">
        <v>0</v>
      </c>
      <c r="Q93">
        <v>0</v>
      </c>
      <c r="R93">
        <v>297</v>
      </c>
      <c r="S93">
        <v>200</v>
      </c>
      <c r="T93">
        <v>75</v>
      </c>
      <c r="U93" s="9" t="s">
        <v>1207</v>
      </c>
      <c r="V93">
        <v>1</v>
      </c>
      <c r="W93">
        <v>0</v>
      </c>
      <c r="X93" s="9" t="s">
        <v>1208</v>
      </c>
    </row>
    <row r="94" spans="1:24" x14ac:dyDescent="0.35">
      <c r="A94">
        <v>93</v>
      </c>
      <c r="B94" s="9" t="s">
        <v>316</v>
      </c>
      <c r="C94" s="9" t="s">
        <v>317</v>
      </c>
      <c r="D94" s="9" t="s">
        <v>54</v>
      </c>
      <c r="E94" s="9" t="s">
        <v>46</v>
      </c>
      <c r="F94" s="9" t="s">
        <v>69</v>
      </c>
      <c r="G94" s="9" t="s">
        <v>70</v>
      </c>
      <c r="H94" s="9" t="s">
        <v>49</v>
      </c>
      <c r="I94" s="9" t="s">
        <v>1180</v>
      </c>
      <c r="J94" s="9" t="s">
        <v>1181</v>
      </c>
      <c r="K94" s="9" t="s">
        <v>1160</v>
      </c>
      <c r="L94" s="9" t="s">
        <v>50</v>
      </c>
      <c r="N94">
        <v>0</v>
      </c>
      <c r="O94">
        <v>1</v>
      </c>
      <c r="P94">
        <v>0</v>
      </c>
      <c r="Q94">
        <v>0</v>
      </c>
      <c r="R94">
        <v>61</v>
      </c>
      <c r="S94">
        <v>200</v>
      </c>
      <c r="T94">
        <v>75</v>
      </c>
      <c r="U94" s="9" t="s">
        <v>1213</v>
      </c>
      <c r="V94">
        <v>0</v>
      </c>
      <c r="W94">
        <v>0</v>
      </c>
      <c r="X94" s="9" t="s">
        <v>1223</v>
      </c>
    </row>
    <row r="95" spans="1:24" x14ac:dyDescent="0.35">
      <c r="A95">
        <v>94</v>
      </c>
      <c r="B95" s="9" t="s">
        <v>374</v>
      </c>
      <c r="C95" s="9" t="s">
        <v>375</v>
      </c>
      <c r="D95" s="9" t="s">
        <v>68</v>
      </c>
      <c r="E95" s="9" t="s">
        <v>46</v>
      </c>
      <c r="F95" s="9" t="s">
        <v>69</v>
      </c>
      <c r="G95" s="9" t="s">
        <v>70</v>
      </c>
      <c r="H95" s="9" t="s">
        <v>49</v>
      </c>
      <c r="I95" s="9" t="s">
        <v>1139</v>
      </c>
      <c r="J95" s="9" t="s">
        <v>1140</v>
      </c>
      <c r="K95" s="9" t="s">
        <v>1131</v>
      </c>
      <c r="L95" s="9" t="s">
        <v>65</v>
      </c>
      <c r="N95">
        <v>0</v>
      </c>
      <c r="O95">
        <v>1</v>
      </c>
      <c r="P95">
        <v>0</v>
      </c>
      <c r="Q95">
        <v>0</v>
      </c>
      <c r="R95">
        <v>207</v>
      </c>
      <c r="S95">
        <v>200</v>
      </c>
      <c r="T95">
        <v>75</v>
      </c>
      <c r="U95" s="9" t="s">
        <v>1207</v>
      </c>
      <c r="V95">
        <v>1</v>
      </c>
      <c r="W95">
        <v>0</v>
      </c>
      <c r="X95" s="9" t="s">
        <v>1208</v>
      </c>
    </row>
    <row r="96" spans="1:24" x14ac:dyDescent="0.35">
      <c r="A96">
        <v>95</v>
      </c>
      <c r="B96" s="9" t="s">
        <v>490</v>
      </c>
      <c r="C96" s="9" t="s">
        <v>491</v>
      </c>
      <c r="D96" s="9" t="s">
        <v>61</v>
      </c>
      <c r="E96" s="9" t="s">
        <v>46</v>
      </c>
      <c r="F96" s="9" t="s">
        <v>69</v>
      </c>
      <c r="G96" s="9" t="s">
        <v>70</v>
      </c>
      <c r="H96" s="9" t="s">
        <v>49</v>
      </c>
      <c r="I96" s="9" t="s">
        <v>1211</v>
      </c>
      <c r="J96" s="9" t="s">
        <v>1212</v>
      </c>
      <c r="K96" s="9" t="s">
        <v>1160</v>
      </c>
      <c r="L96" s="9" t="s">
        <v>65</v>
      </c>
      <c r="N96">
        <v>0</v>
      </c>
      <c r="O96">
        <v>1</v>
      </c>
      <c r="P96">
        <v>0</v>
      </c>
      <c r="Q96">
        <v>0</v>
      </c>
      <c r="R96">
        <v>51</v>
      </c>
      <c r="S96">
        <v>200</v>
      </c>
      <c r="T96">
        <v>75</v>
      </c>
      <c r="U96" s="9" t="s">
        <v>1207</v>
      </c>
      <c r="V96">
        <v>1</v>
      </c>
      <c r="W96">
        <v>0</v>
      </c>
      <c r="X96" s="9" t="s">
        <v>1208</v>
      </c>
    </row>
    <row r="97" spans="1:24" x14ac:dyDescent="0.35">
      <c r="A97">
        <v>96</v>
      </c>
      <c r="B97" s="9" t="s">
        <v>905</v>
      </c>
      <c r="C97" s="9" t="s">
        <v>906</v>
      </c>
      <c r="D97" s="9" t="s">
        <v>61</v>
      </c>
      <c r="E97" s="9" t="s">
        <v>46</v>
      </c>
      <c r="F97" s="9" t="s">
        <v>69</v>
      </c>
      <c r="G97" s="9" t="s">
        <v>70</v>
      </c>
      <c r="H97" s="9" t="s">
        <v>49</v>
      </c>
      <c r="I97" s="9" t="s">
        <v>1196</v>
      </c>
      <c r="J97" s="9" t="s">
        <v>1197</v>
      </c>
      <c r="K97" s="9" t="s">
        <v>1136</v>
      </c>
      <c r="L97" s="9" t="s">
        <v>65</v>
      </c>
      <c r="N97">
        <v>0</v>
      </c>
      <c r="O97">
        <v>3</v>
      </c>
      <c r="P97">
        <v>0</v>
      </c>
      <c r="Q97">
        <v>0</v>
      </c>
      <c r="R97">
        <v>330</v>
      </c>
      <c r="S97">
        <v>200</v>
      </c>
      <c r="T97">
        <v>75</v>
      </c>
      <c r="U97" s="9" t="s">
        <v>1207</v>
      </c>
      <c r="V97">
        <v>1</v>
      </c>
      <c r="W97">
        <v>0</v>
      </c>
      <c r="X97" s="9" t="s">
        <v>1208</v>
      </c>
    </row>
    <row r="98" spans="1:24" x14ac:dyDescent="0.35">
      <c r="A98">
        <v>97</v>
      </c>
      <c r="B98" s="9" t="s">
        <v>957</v>
      </c>
      <c r="C98" s="9" t="s">
        <v>958</v>
      </c>
      <c r="D98" s="9" t="s">
        <v>68</v>
      </c>
      <c r="E98" s="9" t="s">
        <v>46</v>
      </c>
      <c r="F98" s="9" t="s">
        <v>69</v>
      </c>
      <c r="G98" s="9" t="s">
        <v>70</v>
      </c>
      <c r="H98" s="9" t="s">
        <v>49</v>
      </c>
      <c r="I98" s="9" t="s">
        <v>1183</v>
      </c>
      <c r="J98" s="9" t="s">
        <v>1184</v>
      </c>
      <c r="K98" s="9" t="s">
        <v>1160</v>
      </c>
      <c r="L98" s="9" t="s">
        <v>65</v>
      </c>
      <c r="N98">
        <v>0</v>
      </c>
      <c r="O98">
        <v>2</v>
      </c>
      <c r="P98">
        <v>0</v>
      </c>
      <c r="Q98">
        <v>0</v>
      </c>
      <c r="R98">
        <v>173</v>
      </c>
      <c r="S98">
        <v>200</v>
      </c>
      <c r="T98">
        <v>75</v>
      </c>
      <c r="U98" s="9" t="s">
        <v>1207</v>
      </c>
      <c r="V98">
        <v>1</v>
      </c>
      <c r="W98">
        <v>0</v>
      </c>
      <c r="X98" s="9" t="s">
        <v>1208</v>
      </c>
    </row>
    <row r="99" spans="1:24" x14ac:dyDescent="0.35">
      <c r="A99">
        <v>98</v>
      </c>
      <c r="B99" s="9" t="s">
        <v>1011</v>
      </c>
      <c r="C99" s="9" t="s">
        <v>1012</v>
      </c>
      <c r="D99" s="9" t="s">
        <v>61</v>
      </c>
      <c r="E99" s="9" t="s">
        <v>46</v>
      </c>
      <c r="F99" s="9" t="s">
        <v>69</v>
      </c>
      <c r="G99" s="9" t="s">
        <v>70</v>
      </c>
      <c r="H99" s="9" t="s">
        <v>49</v>
      </c>
      <c r="I99" s="9" t="s">
        <v>1167</v>
      </c>
      <c r="J99" s="9" t="s">
        <v>1168</v>
      </c>
      <c r="K99" s="9" t="s">
        <v>1136</v>
      </c>
      <c r="L99" s="9" t="s">
        <v>65</v>
      </c>
      <c r="N99">
        <v>0</v>
      </c>
      <c r="O99">
        <v>2</v>
      </c>
      <c r="P99">
        <v>0</v>
      </c>
      <c r="Q99">
        <v>0</v>
      </c>
      <c r="R99">
        <v>212</v>
      </c>
      <c r="S99">
        <v>200</v>
      </c>
      <c r="T99">
        <v>75</v>
      </c>
      <c r="U99" s="9" t="s">
        <v>1207</v>
      </c>
      <c r="V99">
        <v>1</v>
      </c>
      <c r="W99">
        <v>0</v>
      </c>
      <c r="X99" s="9" t="s">
        <v>1208</v>
      </c>
    </row>
    <row r="100" spans="1:24" x14ac:dyDescent="0.35">
      <c r="A100">
        <v>99</v>
      </c>
      <c r="B100" s="9" t="s">
        <v>128</v>
      </c>
      <c r="C100" s="9" t="s">
        <v>129</v>
      </c>
      <c r="D100" s="9" t="s">
        <v>45</v>
      </c>
      <c r="E100" s="9" t="s">
        <v>46</v>
      </c>
      <c r="F100" s="9" t="s">
        <v>63</v>
      </c>
      <c r="G100" s="9" t="s">
        <v>64</v>
      </c>
      <c r="H100" s="9" t="s">
        <v>49</v>
      </c>
      <c r="I100" s="9" t="s">
        <v>1211</v>
      </c>
      <c r="J100" s="9" t="s">
        <v>1212</v>
      </c>
      <c r="K100" s="9" t="s">
        <v>1160</v>
      </c>
      <c r="L100" s="9" t="s">
        <v>50</v>
      </c>
      <c r="N100">
        <v>0</v>
      </c>
      <c r="O100">
        <v>2</v>
      </c>
      <c r="P100">
        <v>2.5</v>
      </c>
      <c r="Q100">
        <v>0</v>
      </c>
      <c r="R100">
        <v>231</v>
      </c>
      <c r="S100">
        <v>202.5</v>
      </c>
      <c r="T100">
        <v>75</v>
      </c>
      <c r="U100" s="9" t="s">
        <v>1207</v>
      </c>
      <c r="V100">
        <v>1</v>
      </c>
      <c r="W100">
        <v>0</v>
      </c>
      <c r="X100" s="9" t="s">
        <v>1210</v>
      </c>
    </row>
    <row r="101" spans="1:24" x14ac:dyDescent="0.35">
      <c r="A101">
        <v>100</v>
      </c>
      <c r="B101" s="9" t="s">
        <v>172</v>
      </c>
      <c r="C101" s="9" t="s">
        <v>173</v>
      </c>
      <c r="D101" s="9" t="s">
        <v>45</v>
      </c>
      <c r="E101" s="9" t="s">
        <v>46</v>
      </c>
      <c r="F101" s="9" t="s">
        <v>47</v>
      </c>
      <c r="G101" s="9" t="s">
        <v>48</v>
      </c>
      <c r="H101" s="9" t="s">
        <v>49</v>
      </c>
      <c r="I101" s="9" t="s">
        <v>1171</v>
      </c>
      <c r="J101" s="9" t="s">
        <v>1172</v>
      </c>
      <c r="K101" s="9" t="s">
        <v>1149</v>
      </c>
      <c r="L101" s="9" t="s">
        <v>50</v>
      </c>
      <c r="N101">
        <v>0</v>
      </c>
      <c r="O101">
        <v>4</v>
      </c>
      <c r="P101">
        <v>2.5</v>
      </c>
      <c r="Q101">
        <v>0</v>
      </c>
      <c r="R101">
        <v>409</v>
      </c>
      <c r="S101">
        <v>205</v>
      </c>
      <c r="T101">
        <v>75</v>
      </c>
      <c r="U101" s="9" t="s">
        <v>1207</v>
      </c>
      <c r="V101">
        <v>0</v>
      </c>
      <c r="W101">
        <v>0</v>
      </c>
      <c r="X101" s="9" t="s">
        <v>1209</v>
      </c>
    </row>
    <row r="102" spans="1:24" x14ac:dyDescent="0.35">
      <c r="A102">
        <v>101</v>
      </c>
      <c r="B102" s="9" t="s">
        <v>312</v>
      </c>
      <c r="C102" s="9" t="s">
        <v>313</v>
      </c>
      <c r="D102" s="9" t="s">
        <v>54</v>
      </c>
      <c r="E102" s="9" t="s">
        <v>46</v>
      </c>
      <c r="F102" s="9" t="s">
        <v>47</v>
      </c>
      <c r="G102" s="9" t="s">
        <v>48</v>
      </c>
      <c r="H102" s="9" t="s">
        <v>49</v>
      </c>
      <c r="I102" s="9" t="s">
        <v>1143</v>
      </c>
      <c r="J102" s="9" t="s">
        <v>1144</v>
      </c>
      <c r="K102" s="9" t="s">
        <v>1131</v>
      </c>
      <c r="L102" s="9" t="s">
        <v>50</v>
      </c>
      <c r="N102">
        <v>0</v>
      </c>
      <c r="O102">
        <v>1</v>
      </c>
      <c r="P102">
        <v>2.5</v>
      </c>
      <c r="Q102">
        <v>0</v>
      </c>
      <c r="R102">
        <v>194</v>
      </c>
      <c r="S102">
        <v>207.5</v>
      </c>
      <c r="T102">
        <v>75</v>
      </c>
      <c r="U102" s="9" t="s">
        <v>1207</v>
      </c>
      <c r="V102">
        <v>1</v>
      </c>
      <c r="W102">
        <v>0</v>
      </c>
      <c r="X102" s="9" t="s">
        <v>1210</v>
      </c>
    </row>
    <row r="103" spans="1:24" x14ac:dyDescent="0.35">
      <c r="A103">
        <v>102</v>
      </c>
      <c r="B103" s="9" t="s">
        <v>408</v>
      </c>
      <c r="C103" s="9" t="s">
        <v>409</v>
      </c>
      <c r="D103" s="9" t="s">
        <v>54</v>
      </c>
      <c r="E103" s="9" t="s">
        <v>46</v>
      </c>
      <c r="F103" s="9" t="s">
        <v>63</v>
      </c>
      <c r="G103" s="9" t="s">
        <v>64</v>
      </c>
      <c r="H103" s="9" t="s">
        <v>49</v>
      </c>
      <c r="I103" s="9" t="s">
        <v>1129</v>
      </c>
      <c r="J103" s="9" t="s">
        <v>1130</v>
      </c>
      <c r="K103" s="9" t="s">
        <v>1131</v>
      </c>
      <c r="L103" s="9" t="s">
        <v>50</v>
      </c>
      <c r="N103">
        <v>0</v>
      </c>
      <c r="O103">
        <v>3</v>
      </c>
      <c r="P103">
        <v>2.5</v>
      </c>
      <c r="Q103">
        <v>0</v>
      </c>
      <c r="R103">
        <v>394</v>
      </c>
      <c r="S103">
        <v>210</v>
      </c>
      <c r="T103">
        <v>75</v>
      </c>
      <c r="U103" s="9" t="s">
        <v>1207</v>
      </c>
      <c r="V103">
        <v>1</v>
      </c>
      <c r="W103">
        <v>0</v>
      </c>
      <c r="X103" s="9" t="s">
        <v>1210</v>
      </c>
    </row>
    <row r="104" spans="1:24" x14ac:dyDescent="0.35">
      <c r="A104">
        <v>103</v>
      </c>
      <c r="B104" s="9" t="s">
        <v>448</v>
      </c>
      <c r="C104" s="9" t="s">
        <v>449</v>
      </c>
      <c r="D104" s="9" t="s">
        <v>54</v>
      </c>
      <c r="E104" s="9" t="s">
        <v>46</v>
      </c>
      <c r="F104" s="9" t="s">
        <v>47</v>
      </c>
      <c r="G104" s="9" t="s">
        <v>48</v>
      </c>
      <c r="H104" s="9" t="s">
        <v>49</v>
      </c>
      <c r="I104" s="9" t="s">
        <v>1152</v>
      </c>
      <c r="J104" s="9" t="s">
        <v>1153</v>
      </c>
      <c r="K104" s="9" t="s">
        <v>1131</v>
      </c>
      <c r="L104" s="9" t="s">
        <v>50</v>
      </c>
      <c r="N104">
        <v>0</v>
      </c>
      <c r="O104">
        <v>1</v>
      </c>
      <c r="P104">
        <v>2.5</v>
      </c>
      <c r="Q104">
        <v>0</v>
      </c>
      <c r="R104">
        <v>224</v>
      </c>
      <c r="S104">
        <v>212.5</v>
      </c>
      <c r="T104">
        <v>75</v>
      </c>
      <c r="U104" s="9" t="s">
        <v>1207</v>
      </c>
      <c r="V104">
        <v>1</v>
      </c>
      <c r="W104">
        <v>0</v>
      </c>
      <c r="X104" s="9" t="s">
        <v>1210</v>
      </c>
    </row>
    <row r="105" spans="1:24" x14ac:dyDescent="0.35">
      <c r="A105">
        <v>104</v>
      </c>
      <c r="B105" s="9" t="s">
        <v>450</v>
      </c>
      <c r="C105" s="9" t="s">
        <v>451</v>
      </c>
      <c r="D105" s="9" t="s">
        <v>68</v>
      </c>
      <c r="E105" s="9" t="s">
        <v>46</v>
      </c>
      <c r="F105" s="9" t="s">
        <v>63</v>
      </c>
      <c r="G105" s="9" t="s">
        <v>64</v>
      </c>
      <c r="H105" s="9" t="s">
        <v>49</v>
      </c>
      <c r="I105" s="9" t="s">
        <v>1176</v>
      </c>
      <c r="J105" s="9" t="s">
        <v>1177</v>
      </c>
      <c r="K105" s="9" t="s">
        <v>1160</v>
      </c>
      <c r="L105" s="9" t="s">
        <v>65</v>
      </c>
      <c r="N105">
        <v>0</v>
      </c>
      <c r="O105">
        <v>4</v>
      </c>
      <c r="P105">
        <v>2.5</v>
      </c>
      <c r="Q105">
        <v>0</v>
      </c>
      <c r="R105">
        <v>757</v>
      </c>
      <c r="S105">
        <v>215</v>
      </c>
      <c r="T105">
        <v>75</v>
      </c>
      <c r="U105" s="9" t="s">
        <v>1207</v>
      </c>
      <c r="V105">
        <v>0</v>
      </c>
      <c r="W105">
        <v>0</v>
      </c>
      <c r="X105" s="9" t="s">
        <v>1224</v>
      </c>
    </row>
    <row r="106" spans="1:24" x14ac:dyDescent="0.35">
      <c r="A106">
        <v>105</v>
      </c>
      <c r="B106" s="9" t="s">
        <v>520</v>
      </c>
      <c r="C106" s="9" t="s">
        <v>521</v>
      </c>
      <c r="D106" s="9" t="s">
        <v>61</v>
      </c>
      <c r="E106" s="9" t="s">
        <v>46</v>
      </c>
      <c r="F106" s="9" t="s">
        <v>63</v>
      </c>
      <c r="G106" s="9" t="s">
        <v>64</v>
      </c>
      <c r="H106" s="9" t="s">
        <v>49</v>
      </c>
      <c r="I106" s="9" t="s">
        <v>1176</v>
      </c>
      <c r="J106" s="9" t="s">
        <v>1177</v>
      </c>
      <c r="K106" s="9" t="s">
        <v>1160</v>
      </c>
      <c r="L106" s="9" t="s">
        <v>65</v>
      </c>
      <c r="N106">
        <v>0</v>
      </c>
      <c r="O106">
        <v>3</v>
      </c>
      <c r="P106">
        <v>2.5</v>
      </c>
      <c r="Q106">
        <v>0</v>
      </c>
      <c r="R106">
        <v>250</v>
      </c>
      <c r="S106">
        <v>217.5</v>
      </c>
      <c r="T106">
        <v>75</v>
      </c>
      <c r="U106" s="9" t="s">
        <v>1207</v>
      </c>
      <c r="V106">
        <v>0</v>
      </c>
      <c r="W106">
        <v>0</v>
      </c>
      <c r="X106" s="9" t="s">
        <v>1224</v>
      </c>
    </row>
    <row r="107" spans="1:24" x14ac:dyDescent="0.35">
      <c r="A107">
        <v>106</v>
      </c>
      <c r="B107" s="9" t="s">
        <v>546</v>
      </c>
      <c r="C107" s="9" t="s">
        <v>547</v>
      </c>
      <c r="D107" s="9" t="s">
        <v>45</v>
      </c>
      <c r="E107" s="9" t="s">
        <v>46</v>
      </c>
      <c r="F107" s="9" t="s">
        <v>47</v>
      </c>
      <c r="G107" s="9" t="s">
        <v>48</v>
      </c>
      <c r="H107" s="9" t="s">
        <v>49</v>
      </c>
      <c r="I107" s="9" t="s">
        <v>1162</v>
      </c>
      <c r="J107" s="9" t="s">
        <v>1163</v>
      </c>
      <c r="K107" s="9" t="s">
        <v>1149</v>
      </c>
      <c r="L107" s="9" t="s">
        <v>50</v>
      </c>
      <c r="N107">
        <v>0</v>
      </c>
      <c r="O107">
        <v>3</v>
      </c>
      <c r="P107">
        <v>2.5</v>
      </c>
      <c r="Q107">
        <v>0</v>
      </c>
      <c r="R107">
        <v>239</v>
      </c>
      <c r="S107">
        <v>220</v>
      </c>
      <c r="T107">
        <v>75</v>
      </c>
      <c r="U107" s="9" t="s">
        <v>1207</v>
      </c>
      <c r="V107">
        <v>1</v>
      </c>
      <c r="W107">
        <v>0</v>
      </c>
      <c r="X107" s="9" t="s">
        <v>1210</v>
      </c>
    </row>
    <row r="108" spans="1:24" x14ac:dyDescent="0.35">
      <c r="A108">
        <v>107</v>
      </c>
      <c r="B108" s="9" t="s">
        <v>595</v>
      </c>
      <c r="C108" s="9" t="s">
        <v>596</v>
      </c>
      <c r="D108" s="9" t="s">
        <v>54</v>
      </c>
      <c r="E108" s="9" t="s">
        <v>46</v>
      </c>
      <c r="F108" s="9" t="s">
        <v>69</v>
      </c>
      <c r="G108" s="9" t="s">
        <v>70</v>
      </c>
      <c r="H108" s="9" t="s">
        <v>49</v>
      </c>
      <c r="I108" s="9" t="s">
        <v>1190</v>
      </c>
      <c r="J108" s="9" t="s">
        <v>1191</v>
      </c>
      <c r="K108" s="9" t="s">
        <v>1149</v>
      </c>
      <c r="L108" s="9" t="s">
        <v>50</v>
      </c>
      <c r="N108">
        <v>0</v>
      </c>
      <c r="O108">
        <v>1</v>
      </c>
      <c r="P108">
        <v>2.5</v>
      </c>
      <c r="Q108">
        <v>0</v>
      </c>
      <c r="R108">
        <v>22</v>
      </c>
      <c r="S108">
        <v>222.5</v>
      </c>
      <c r="T108">
        <v>75</v>
      </c>
      <c r="U108" s="9" t="s">
        <v>1207</v>
      </c>
      <c r="V108">
        <v>1</v>
      </c>
      <c r="W108">
        <v>0</v>
      </c>
      <c r="X108" s="9" t="s">
        <v>1210</v>
      </c>
    </row>
    <row r="109" spans="1:24" x14ac:dyDescent="0.35">
      <c r="A109">
        <v>108</v>
      </c>
      <c r="B109" s="9" t="s">
        <v>623</v>
      </c>
      <c r="C109" s="9" t="s">
        <v>624</v>
      </c>
      <c r="D109" s="9" t="s">
        <v>54</v>
      </c>
      <c r="E109" s="9" t="s">
        <v>46</v>
      </c>
      <c r="F109" s="9" t="s">
        <v>63</v>
      </c>
      <c r="G109" s="9" t="s">
        <v>64</v>
      </c>
      <c r="H109" s="9" t="s">
        <v>49</v>
      </c>
      <c r="I109" s="9" t="s">
        <v>1180</v>
      </c>
      <c r="J109" s="9" t="s">
        <v>1181</v>
      </c>
      <c r="K109" s="9" t="s">
        <v>1160</v>
      </c>
      <c r="L109" s="9" t="s">
        <v>50</v>
      </c>
      <c r="N109">
        <v>0</v>
      </c>
      <c r="O109">
        <v>3</v>
      </c>
      <c r="P109">
        <v>2.5</v>
      </c>
      <c r="Q109">
        <v>0</v>
      </c>
      <c r="R109">
        <v>474</v>
      </c>
      <c r="S109">
        <v>225</v>
      </c>
      <c r="T109">
        <v>75</v>
      </c>
      <c r="U109" s="9" t="s">
        <v>1207</v>
      </c>
      <c r="V109">
        <v>1</v>
      </c>
      <c r="W109">
        <v>0</v>
      </c>
      <c r="X109" s="9" t="s">
        <v>1210</v>
      </c>
    </row>
    <row r="110" spans="1:24" x14ac:dyDescent="0.35">
      <c r="A110">
        <v>109</v>
      </c>
      <c r="B110" s="9" t="s">
        <v>683</v>
      </c>
      <c r="C110" s="9" t="s">
        <v>684</v>
      </c>
      <c r="D110" s="9" t="s">
        <v>54</v>
      </c>
      <c r="E110" s="9" t="s">
        <v>46</v>
      </c>
      <c r="F110" s="9" t="s">
        <v>69</v>
      </c>
      <c r="G110" s="9" t="s">
        <v>70</v>
      </c>
      <c r="H110" s="9" t="s">
        <v>49</v>
      </c>
      <c r="I110" s="9" t="s">
        <v>1155</v>
      </c>
      <c r="J110" s="9" t="s">
        <v>1156</v>
      </c>
      <c r="K110" s="9" t="s">
        <v>1131</v>
      </c>
      <c r="L110" s="9" t="s">
        <v>50</v>
      </c>
      <c r="N110">
        <v>0</v>
      </c>
      <c r="O110">
        <v>2</v>
      </c>
      <c r="P110">
        <v>2.5</v>
      </c>
      <c r="Q110">
        <v>0</v>
      </c>
      <c r="R110">
        <v>357</v>
      </c>
      <c r="S110">
        <v>227.5</v>
      </c>
      <c r="T110">
        <v>75</v>
      </c>
      <c r="U110" s="9" t="s">
        <v>1207</v>
      </c>
      <c r="V110">
        <v>1</v>
      </c>
      <c r="W110">
        <v>0</v>
      </c>
      <c r="X110" s="9" t="s">
        <v>1210</v>
      </c>
    </row>
    <row r="111" spans="1:24" x14ac:dyDescent="0.35">
      <c r="A111">
        <v>110</v>
      </c>
      <c r="B111" s="9" t="s">
        <v>803</v>
      </c>
      <c r="C111" s="9" t="s">
        <v>804</v>
      </c>
      <c r="D111" s="9" t="s">
        <v>54</v>
      </c>
      <c r="E111" s="9" t="s">
        <v>46</v>
      </c>
      <c r="F111" s="9" t="s">
        <v>69</v>
      </c>
      <c r="G111" s="9" t="s">
        <v>70</v>
      </c>
      <c r="H111" s="9" t="s">
        <v>49</v>
      </c>
      <c r="I111" s="9" t="s">
        <v>1143</v>
      </c>
      <c r="J111" s="9" t="s">
        <v>1144</v>
      </c>
      <c r="K111" s="9" t="s">
        <v>1131</v>
      </c>
      <c r="L111" s="9" t="s">
        <v>50</v>
      </c>
      <c r="N111">
        <v>0</v>
      </c>
      <c r="O111">
        <v>1</v>
      </c>
      <c r="P111">
        <v>2.5</v>
      </c>
      <c r="Q111">
        <v>0</v>
      </c>
      <c r="R111">
        <v>94</v>
      </c>
      <c r="S111">
        <v>230</v>
      </c>
      <c r="T111">
        <v>75</v>
      </c>
      <c r="U111" s="9" t="s">
        <v>1207</v>
      </c>
      <c r="V111">
        <v>1</v>
      </c>
      <c r="W111">
        <v>0</v>
      </c>
      <c r="X111" s="9" t="s">
        <v>1210</v>
      </c>
    </row>
    <row r="112" spans="1:24" x14ac:dyDescent="0.35">
      <c r="A112">
        <v>111</v>
      </c>
      <c r="B112" s="9" t="s">
        <v>1095</v>
      </c>
      <c r="C112" s="9" t="s">
        <v>1096</v>
      </c>
      <c r="D112" s="9" t="s">
        <v>45</v>
      </c>
      <c r="E112" s="9" t="s">
        <v>46</v>
      </c>
      <c r="F112" s="9" t="s">
        <v>63</v>
      </c>
      <c r="G112" s="9" t="s">
        <v>64</v>
      </c>
      <c r="H112" s="9" t="s">
        <v>49</v>
      </c>
      <c r="I112" s="9" t="s">
        <v>1155</v>
      </c>
      <c r="J112" s="9" t="s">
        <v>1156</v>
      </c>
      <c r="K112" s="9" t="s">
        <v>1131</v>
      </c>
      <c r="L112" s="9" t="s">
        <v>50</v>
      </c>
      <c r="N112">
        <v>0</v>
      </c>
      <c r="O112">
        <v>1</v>
      </c>
      <c r="P112">
        <v>2.5</v>
      </c>
      <c r="Q112">
        <v>0</v>
      </c>
      <c r="R112">
        <v>187</v>
      </c>
      <c r="S112">
        <v>232.5</v>
      </c>
      <c r="T112">
        <v>75</v>
      </c>
      <c r="U112" s="9" t="s">
        <v>1207</v>
      </c>
      <c r="V112">
        <v>1</v>
      </c>
      <c r="W112">
        <v>0</v>
      </c>
      <c r="X112" s="9" t="s">
        <v>1210</v>
      </c>
    </row>
    <row r="113" spans="1:24" x14ac:dyDescent="0.35">
      <c r="A113">
        <v>112</v>
      </c>
      <c r="B113" s="9" t="s">
        <v>1107</v>
      </c>
      <c r="C113" s="9" t="s">
        <v>1108</v>
      </c>
      <c r="D113" s="9" t="s">
        <v>54</v>
      </c>
      <c r="E113" s="9" t="s">
        <v>46</v>
      </c>
      <c r="F113" s="9" t="s">
        <v>47</v>
      </c>
      <c r="G113" s="9" t="s">
        <v>48</v>
      </c>
      <c r="H113" s="9" t="s">
        <v>49</v>
      </c>
      <c r="I113" s="9" t="s">
        <v>1162</v>
      </c>
      <c r="J113" s="9" t="s">
        <v>1163</v>
      </c>
      <c r="K113" s="9" t="s">
        <v>1149</v>
      </c>
      <c r="L113" s="9" t="s">
        <v>50</v>
      </c>
      <c r="N113">
        <v>0</v>
      </c>
      <c r="O113">
        <v>1</v>
      </c>
      <c r="P113">
        <v>2.5</v>
      </c>
      <c r="Q113">
        <v>0</v>
      </c>
      <c r="R113">
        <v>25</v>
      </c>
      <c r="S113">
        <v>235</v>
      </c>
      <c r="T113">
        <v>75</v>
      </c>
      <c r="U113" s="9" t="s">
        <v>1207</v>
      </c>
      <c r="V113">
        <v>1</v>
      </c>
      <c r="W113">
        <v>0</v>
      </c>
      <c r="X113" s="9" t="s">
        <v>1210</v>
      </c>
    </row>
    <row r="114" spans="1:24" x14ac:dyDescent="0.35">
      <c r="A114">
        <v>113</v>
      </c>
      <c r="B114" s="9" t="s">
        <v>300</v>
      </c>
      <c r="C114" s="9" t="s">
        <v>301</v>
      </c>
      <c r="D114" s="9" t="s">
        <v>54</v>
      </c>
      <c r="E114" s="9" t="s">
        <v>46</v>
      </c>
      <c r="F114" s="9" t="s">
        <v>47</v>
      </c>
      <c r="G114" s="9" t="s">
        <v>48</v>
      </c>
      <c r="H114" s="9" t="s">
        <v>49</v>
      </c>
      <c r="I114" s="9" t="s">
        <v>1180</v>
      </c>
      <c r="J114" s="9" t="s">
        <v>1181</v>
      </c>
      <c r="K114" s="9" t="s">
        <v>1160</v>
      </c>
      <c r="L114" s="9" t="s">
        <v>50</v>
      </c>
      <c r="N114">
        <v>0</v>
      </c>
      <c r="O114">
        <v>4</v>
      </c>
      <c r="P114">
        <v>5</v>
      </c>
      <c r="Q114">
        <v>0</v>
      </c>
      <c r="R114">
        <v>397</v>
      </c>
      <c r="S114">
        <v>240</v>
      </c>
      <c r="T114">
        <v>75</v>
      </c>
      <c r="U114" s="9" t="s">
        <v>1207</v>
      </c>
      <c r="V114">
        <v>0</v>
      </c>
      <c r="W114">
        <v>0</v>
      </c>
      <c r="X114" s="9" t="s">
        <v>1209</v>
      </c>
    </row>
    <row r="115" spans="1:24" x14ac:dyDescent="0.35">
      <c r="A115">
        <v>114</v>
      </c>
      <c r="B115" s="9" t="s">
        <v>502</v>
      </c>
      <c r="C115" s="9" t="s">
        <v>503</v>
      </c>
      <c r="D115" s="9" t="s">
        <v>54</v>
      </c>
      <c r="E115" s="9" t="s">
        <v>46</v>
      </c>
      <c r="F115" s="9" t="s">
        <v>47</v>
      </c>
      <c r="G115" s="9" t="s">
        <v>48</v>
      </c>
      <c r="H115" s="9" t="s">
        <v>49</v>
      </c>
      <c r="I115" s="9" t="s">
        <v>1183</v>
      </c>
      <c r="J115" s="9" t="s">
        <v>1184</v>
      </c>
      <c r="K115" s="9" t="s">
        <v>1160</v>
      </c>
      <c r="L115" s="9" t="s">
        <v>50</v>
      </c>
      <c r="N115">
        <v>0</v>
      </c>
      <c r="O115">
        <v>3</v>
      </c>
      <c r="P115">
        <v>5</v>
      </c>
      <c r="Q115">
        <v>0</v>
      </c>
      <c r="R115">
        <v>350</v>
      </c>
      <c r="S115">
        <v>245</v>
      </c>
      <c r="T115">
        <v>75</v>
      </c>
      <c r="U115" s="9" t="s">
        <v>1207</v>
      </c>
      <c r="V115">
        <v>0</v>
      </c>
      <c r="W115">
        <v>0</v>
      </c>
      <c r="X115" s="9" t="s">
        <v>1209</v>
      </c>
    </row>
    <row r="116" spans="1:24" x14ac:dyDescent="0.35">
      <c r="A116">
        <v>115</v>
      </c>
      <c r="B116" s="9" t="s">
        <v>158</v>
      </c>
      <c r="C116" s="9" t="s">
        <v>159</v>
      </c>
      <c r="D116" s="9" t="s">
        <v>134</v>
      </c>
      <c r="E116" s="9" t="s">
        <v>46</v>
      </c>
      <c r="F116" s="9" t="s">
        <v>47</v>
      </c>
      <c r="G116" s="9" t="s">
        <v>48</v>
      </c>
      <c r="H116" s="9" t="s">
        <v>49</v>
      </c>
      <c r="I116" s="9" t="s">
        <v>1129</v>
      </c>
      <c r="J116" s="9" t="s">
        <v>1130</v>
      </c>
      <c r="K116" s="9" t="s">
        <v>1131</v>
      </c>
      <c r="L116" s="9" t="s">
        <v>135</v>
      </c>
      <c r="N116">
        <v>0</v>
      </c>
      <c r="O116">
        <v>3</v>
      </c>
      <c r="P116">
        <v>0</v>
      </c>
      <c r="Q116">
        <v>8</v>
      </c>
      <c r="R116">
        <v>310</v>
      </c>
      <c r="S116">
        <v>245</v>
      </c>
      <c r="T116">
        <v>75</v>
      </c>
      <c r="U116" s="9" t="s">
        <v>1207</v>
      </c>
      <c r="V116">
        <v>0</v>
      </c>
      <c r="W116">
        <v>0</v>
      </c>
      <c r="X116" s="9" t="s">
        <v>1216</v>
      </c>
    </row>
    <row r="117" spans="1:24" x14ac:dyDescent="0.35">
      <c r="A117">
        <v>116</v>
      </c>
      <c r="B117" s="9" t="s">
        <v>386</v>
      </c>
      <c r="C117" s="9" t="s">
        <v>387</v>
      </c>
      <c r="D117" s="9" t="s">
        <v>134</v>
      </c>
      <c r="E117" s="9" t="s">
        <v>46</v>
      </c>
      <c r="F117" s="9" t="s">
        <v>69</v>
      </c>
      <c r="G117" s="9" t="s">
        <v>70</v>
      </c>
      <c r="H117" s="9" t="s">
        <v>49</v>
      </c>
      <c r="I117" s="9" t="s">
        <v>1196</v>
      </c>
      <c r="J117" s="9" t="s">
        <v>1197</v>
      </c>
      <c r="K117" s="9" t="s">
        <v>1136</v>
      </c>
      <c r="L117" s="9" t="s">
        <v>135</v>
      </c>
      <c r="N117">
        <v>0</v>
      </c>
      <c r="O117">
        <v>4</v>
      </c>
      <c r="P117">
        <v>0</v>
      </c>
      <c r="Q117">
        <v>8</v>
      </c>
      <c r="R117">
        <v>714</v>
      </c>
      <c r="S117">
        <v>245</v>
      </c>
      <c r="T117">
        <v>75</v>
      </c>
      <c r="U117" s="9" t="s">
        <v>1207</v>
      </c>
      <c r="V117">
        <v>0</v>
      </c>
      <c r="W117">
        <v>0</v>
      </c>
      <c r="X117" s="9" t="s">
        <v>1216</v>
      </c>
    </row>
    <row r="118" spans="1:24" x14ac:dyDescent="0.35">
      <c r="A118">
        <v>117</v>
      </c>
      <c r="B118" s="9" t="s">
        <v>444</v>
      </c>
      <c r="C118" s="9" t="s">
        <v>445</v>
      </c>
      <c r="D118" s="9" t="s">
        <v>134</v>
      </c>
      <c r="E118" s="9" t="s">
        <v>46</v>
      </c>
      <c r="F118" s="9" t="s">
        <v>69</v>
      </c>
      <c r="G118" s="9" t="s">
        <v>70</v>
      </c>
      <c r="H118" s="9" t="s">
        <v>49</v>
      </c>
      <c r="I118" s="9" t="s">
        <v>1196</v>
      </c>
      <c r="J118" s="9" t="s">
        <v>1197</v>
      </c>
      <c r="K118" s="9" t="s">
        <v>1136</v>
      </c>
      <c r="L118" s="9" t="s">
        <v>135</v>
      </c>
      <c r="N118">
        <v>0</v>
      </c>
      <c r="O118">
        <v>2</v>
      </c>
      <c r="P118">
        <v>0</v>
      </c>
      <c r="Q118">
        <v>8</v>
      </c>
      <c r="R118">
        <v>210</v>
      </c>
      <c r="S118">
        <v>245</v>
      </c>
      <c r="T118">
        <v>75</v>
      </c>
      <c r="U118" s="9" t="s">
        <v>1207</v>
      </c>
      <c r="V118">
        <v>0</v>
      </c>
      <c r="W118">
        <v>0</v>
      </c>
      <c r="X118" s="9" t="s">
        <v>1216</v>
      </c>
    </row>
    <row r="119" spans="1:24" x14ac:dyDescent="0.35">
      <c r="A119">
        <v>118</v>
      </c>
      <c r="B119" s="9" t="s">
        <v>510</v>
      </c>
      <c r="C119" s="9" t="s">
        <v>511</v>
      </c>
      <c r="D119" s="9" t="s">
        <v>134</v>
      </c>
      <c r="E119" s="9" t="s">
        <v>46</v>
      </c>
      <c r="F119" s="9" t="s">
        <v>47</v>
      </c>
      <c r="G119" s="9" t="s">
        <v>48</v>
      </c>
      <c r="H119" s="9" t="s">
        <v>49</v>
      </c>
      <c r="I119" s="9" t="s">
        <v>1183</v>
      </c>
      <c r="J119" s="9" t="s">
        <v>1184</v>
      </c>
      <c r="K119" s="9" t="s">
        <v>1160</v>
      </c>
      <c r="L119" s="9" t="s">
        <v>135</v>
      </c>
      <c r="N119">
        <v>0</v>
      </c>
      <c r="O119">
        <v>2</v>
      </c>
      <c r="P119">
        <v>0</v>
      </c>
      <c r="Q119">
        <v>8</v>
      </c>
      <c r="R119">
        <v>370</v>
      </c>
      <c r="S119">
        <v>245</v>
      </c>
      <c r="T119">
        <v>75</v>
      </c>
      <c r="U119" s="9" t="s">
        <v>1207</v>
      </c>
      <c r="V119">
        <v>1</v>
      </c>
      <c r="W119">
        <v>0</v>
      </c>
      <c r="X119" s="9" t="s">
        <v>1215</v>
      </c>
    </row>
    <row r="120" spans="1:24" x14ac:dyDescent="0.35">
      <c r="A120">
        <v>119</v>
      </c>
      <c r="B120" s="9" t="s">
        <v>831</v>
      </c>
      <c r="C120" s="9" t="s">
        <v>832</v>
      </c>
      <c r="D120" s="9" t="s">
        <v>134</v>
      </c>
      <c r="E120" s="9" t="s">
        <v>46</v>
      </c>
      <c r="F120" s="9" t="s">
        <v>63</v>
      </c>
      <c r="G120" s="9" t="s">
        <v>64</v>
      </c>
      <c r="H120" s="9" t="s">
        <v>49</v>
      </c>
      <c r="I120" s="9" t="s">
        <v>1158</v>
      </c>
      <c r="J120" s="9" t="s">
        <v>1159</v>
      </c>
      <c r="K120" s="9" t="s">
        <v>1160</v>
      </c>
      <c r="L120" s="9" t="s">
        <v>135</v>
      </c>
      <c r="N120">
        <v>0</v>
      </c>
      <c r="O120">
        <v>3</v>
      </c>
      <c r="P120">
        <v>0</v>
      </c>
      <c r="Q120">
        <v>8</v>
      </c>
      <c r="R120">
        <v>431</v>
      </c>
      <c r="S120">
        <v>245</v>
      </c>
      <c r="T120">
        <v>75</v>
      </c>
      <c r="U120" s="9" t="s">
        <v>1207</v>
      </c>
      <c r="V120">
        <v>1</v>
      </c>
      <c r="W120">
        <v>0</v>
      </c>
      <c r="X120" s="9" t="s">
        <v>1215</v>
      </c>
    </row>
    <row r="121" spans="1:24" x14ac:dyDescent="0.35">
      <c r="A121">
        <v>120</v>
      </c>
      <c r="B121" s="9" t="s">
        <v>953</v>
      </c>
      <c r="C121" s="9" t="s">
        <v>954</v>
      </c>
      <c r="D121" s="9" t="s">
        <v>134</v>
      </c>
      <c r="E121" s="9" t="s">
        <v>46</v>
      </c>
      <c r="F121" s="9" t="s">
        <v>69</v>
      </c>
      <c r="G121" s="9" t="s">
        <v>70</v>
      </c>
      <c r="H121" s="9" t="s">
        <v>49</v>
      </c>
      <c r="I121" s="9" t="s">
        <v>1139</v>
      </c>
      <c r="J121" s="9" t="s">
        <v>1140</v>
      </c>
      <c r="K121" s="9" t="s">
        <v>1131</v>
      </c>
      <c r="L121" s="9" t="s">
        <v>135</v>
      </c>
      <c r="N121">
        <v>0</v>
      </c>
      <c r="O121">
        <v>1</v>
      </c>
      <c r="P121">
        <v>0</v>
      </c>
      <c r="Q121">
        <v>8</v>
      </c>
      <c r="R121">
        <v>80</v>
      </c>
      <c r="S121">
        <v>245</v>
      </c>
      <c r="T121">
        <v>75</v>
      </c>
      <c r="U121" s="9" t="s">
        <v>1207</v>
      </c>
      <c r="V121">
        <v>1</v>
      </c>
      <c r="W121">
        <v>0</v>
      </c>
      <c r="X121" s="9" t="s">
        <v>1215</v>
      </c>
    </row>
    <row r="122" spans="1:24" x14ac:dyDescent="0.35">
      <c r="A122">
        <v>121</v>
      </c>
      <c r="B122" s="9" t="s">
        <v>967</v>
      </c>
      <c r="C122" s="9" t="s">
        <v>968</v>
      </c>
      <c r="D122" s="9" t="s">
        <v>134</v>
      </c>
      <c r="E122" s="9" t="s">
        <v>46</v>
      </c>
      <c r="F122" s="9" t="s">
        <v>69</v>
      </c>
      <c r="G122" s="9" t="s">
        <v>70</v>
      </c>
      <c r="H122" s="9" t="s">
        <v>49</v>
      </c>
      <c r="I122" s="9" t="s">
        <v>1190</v>
      </c>
      <c r="J122" s="9" t="s">
        <v>1191</v>
      </c>
      <c r="K122" s="9" t="s">
        <v>1149</v>
      </c>
      <c r="L122" s="9" t="s">
        <v>135</v>
      </c>
      <c r="N122">
        <v>0</v>
      </c>
      <c r="O122">
        <v>1</v>
      </c>
      <c r="P122">
        <v>0</v>
      </c>
      <c r="Q122">
        <v>8</v>
      </c>
      <c r="R122">
        <v>85</v>
      </c>
      <c r="S122">
        <v>245</v>
      </c>
      <c r="T122">
        <v>75</v>
      </c>
      <c r="U122" s="9" t="s">
        <v>1207</v>
      </c>
      <c r="V122">
        <v>1</v>
      </c>
      <c r="W122">
        <v>0</v>
      </c>
      <c r="X122" s="9" t="s">
        <v>1215</v>
      </c>
    </row>
    <row r="123" spans="1:24" x14ac:dyDescent="0.35">
      <c r="A123">
        <v>122</v>
      </c>
      <c r="B123" s="9" t="s">
        <v>925</v>
      </c>
      <c r="C123" s="9" t="s">
        <v>926</v>
      </c>
      <c r="D123" s="9" t="s">
        <v>68</v>
      </c>
      <c r="E123" s="9" t="s">
        <v>46</v>
      </c>
      <c r="F123" s="9" t="s">
        <v>47</v>
      </c>
      <c r="G123" s="9" t="s">
        <v>48</v>
      </c>
      <c r="H123" s="9" t="s">
        <v>49</v>
      </c>
      <c r="I123" s="9" t="s">
        <v>1176</v>
      </c>
      <c r="J123" s="9" t="s">
        <v>1177</v>
      </c>
      <c r="K123" s="9" t="s">
        <v>1160</v>
      </c>
      <c r="L123" s="9" t="s">
        <v>65</v>
      </c>
      <c r="M123">
        <v>41</v>
      </c>
      <c r="N123">
        <v>10</v>
      </c>
      <c r="O123">
        <v>3</v>
      </c>
      <c r="P123">
        <v>0</v>
      </c>
      <c r="Q123">
        <v>0</v>
      </c>
      <c r="R123">
        <v>349</v>
      </c>
      <c r="S123">
        <v>245</v>
      </c>
      <c r="T123">
        <v>73</v>
      </c>
      <c r="U123" s="9" t="s">
        <v>1150</v>
      </c>
      <c r="V123">
        <v>0</v>
      </c>
      <c r="W123">
        <v>0</v>
      </c>
      <c r="X123" s="9" t="s">
        <v>1225</v>
      </c>
    </row>
    <row r="124" spans="1:24" x14ac:dyDescent="0.35">
      <c r="A124">
        <v>123</v>
      </c>
      <c r="B124" s="9" t="s">
        <v>164</v>
      </c>
      <c r="C124" s="9" t="s">
        <v>165</v>
      </c>
      <c r="D124" s="9" t="s">
        <v>61</v>
      </c>
      <c r="E124" s="9" t="s">
        <v>46</v>
      </c>
      <c r="F124" s="9" t="s">
        <v>47</v>
      </c>
      <c r="G124" s="9" t="s">
        <v>48</v>
      </c>
      <c r="H124" s="9" t="s">
        <v>49</v>
      </c>
      <c r="I124" s="9" t="s">
        <v>1171</v>
      </c>
      <c r="J124" s="9" t="s">
        <v>1172</v>
      </c>
      <c r="K124" s="9" t="s">
        <v>1149</v>
      </c>
      <c r="L124" s="9" t="s">
        <v>65</v>
      </c>
      <c r="M124">
        <v>64</v>
      </c>
      <c r="N124">
        <v>1</v>
      </c>
      <c r="O124">
        <v>2</v>
      </c>
      <c r="P124">
        <v>2.5</v>
      </c>
      <c r="Q124">
        <v>0</v>
      </c>
      <c r="R124">
        <v>263</v>
      </c>
      <c r="S124">
        <v>247.5</v>
      </c>
      <c r="T124">
        <v>70</v>
      </c>
      <c r="U124" s="9" t="s">
        <v>1150</v>
      </c>
      <c r="V124">
        <v>0</v>
      </c>
      <c r="W124">
        <v>0</v>
      </c>
      <c r="X124" s="9" t="s">
        <v>1226</v>
      </c>
    </row>
    <row r="125" spans="1:24" x14ac:dyDescent="0.35">
      <c r="A125">
        <v>124</v>
      </c>
      <c r="B125" s="9" t="s">
        <v>256</v>
      </c>
      <c r="C125" s="9" t="s">
        <v>257</v>
      </c>
      <c r="D125" s="9" t="s">
        <v>45</v>
      </c>
      <c r="E125" s="9" t="s">
        <v>46</v>
      </c>
      <c r="F125" s="9" t="s">
        <v>69</v>
      </c>
      <c r="G125" s="9" t="s">
        <v>70</v>
      </c>
      <c r="H125" s="9" t="s">
        <v>49</v>
      </c>
      <c r="I125" s="9" t="s">
        <v>1143</v>
      </c>
      <c r="J125" s="9" t="s">
        <v>1144</v>
      </c>
      <c r="K125" s="9" t="s">
        <v>1131</v>
      </c>
      <c r="L125" s="9" t="s">
        <v>50</v>
      </c>
      <c r="M125">
        <v>39</v>
      </c>
      <c r="N125">
        <v>4</v>
      </c>
      <c r="O125">
        <v>2</v>
      </c>
      <c r="P125">
        <v>5</v>
      </c>
      <c r="Q125">
        <v>0</v>
      </c>
      <c r="R125">
        <v>112</v>
      </c>
      <c r="S125">
        <v>252.5</v>
      </c>
      <c r="T125">
        <v>70</v>
      </c>
      <c r="U125" s="9" t="s">
        <v>1150</v>
      </c>
      <c r="V125">
        <v>0</v>
      </c>
      <c r="W125">
        <v>0</v>
      </c>
      <c r="X125" s="9" t="s">
        <v>1227</v>
      </c>
    </row>
    <row r="126" spans="1:24" x14ac:dyDescent="0.35">
      <c r="A126">
        <v>125</v>
      </c>
      <c r="B126" s="9" t="s">
        <v>909</v>
      </c>
      <c r="C126" s="9" t="s">
        <v>910</v>
      </c>
      <c r="D126" s="9" t="s">
        <v>134</v>
      </c>
      <c r="E126" s="9" t="s">
        <v>46</v>
      </c>
      <c r="F126" s="9" t="s">
        <v>69</v>
      </c>
      <c r="G126" s="9" t="s">
        <v>70</v>
      </c>
      <c r="H126" s="9" t="s">
        <v>49</v>
      </c>
      <c r="I126" s="9" t="s">
        <v>1137</v>
      </c>
      <c r="J126" s="9" t="s">
        <v>1138</v>
      </c>
      <c r="K126" s="9" t="s">
        <v>1136</v>
      </c>
      <c r="L126" s="9" t="s">
        <v>135</v>
      </c>
      <c r="M126">
        <v>42</v>
      </c>
      <c r="N126">
        <v>4</v>
      </c>
      <c r="O126">
        <v>1</v>
      </c>
      <c r="P126">
        <v>0</v>
      </c>
      <c r="Q126">
        <v>8</v>
      </c>
      <c r="R126">
        <v>92</v>
      </c>
      <c r="S126">
        <v>252.5</v>
      </c>
      <c r="T126">
        <v>70</v>
      </c>
      <c r="U126" s="9" t="s">
        <v>1150</v>
      </c>
      <c r="V126">
        <v>0</v>
      </c>
      <c r="W126">
        <v>0</v>
      </c>
      <c r="X126" s="9" t="s">
        <v>1228</v>
      </c>
    </row>
    <row r="127" spans="1:24" x14ac:dyDescent="0.35">
      <c r="A127">
        <v>126</v>
      </c>
      <c r="B127" s="9" t="s">
        <v>741</v>
      </c>
      <c r="C127" s="9" t="s">
        <v>742</v>
      </c>
      <c r="D127" s="9" t="s">
        <v>68</v>
      </c>
      <c r="E127" s="9" t="s">
        <v>46</v>
      </c>
      <c r="F127" s="9" t="s">
        <v>80</v>
      </c>
      <c r="G127" s="9" t="s">
        <v>81</v>
      </c>
      <c r="H127" s="9" t="s">
        <v>82</v>
      </c>
      <c r="I127" s="9" t="s">
        <v>1188</v>
      </c>
      <c r="J127" s="9" t="s">
        <v>1189</v>
      </c>
      <c r="K127" s="9" t="s">
        <v>1131</v>
      </c>
      <c r="L127" s="9" t="s">
        <v>65</v>
      </c>
      <c r="N127">
        <v>0</v>
      </c>
      <c r="O127">
        <v>2</v>
      </c>
      <c r="P127">
        <v>0</v>
      </c>
      <c r="Q127">
        <v>0</v>
      </c>
      <c r="R127">
        <v>219</v>
      </c>
      <c r="S127">
        <v>252.5</v>
      </c>
      <c r="T127">
        <v>66</v>
      </c>
      <c r="U127" s="9" t="s">
        <v>1207</v>
      </c>
      <c r="V127">
        <v>1</v>
      </c>
      <c r="W127">
        <v>0</v>
      </c>
      <c r="X127" s="9" t="s">
        <v>1208</v>
      </c>
    </row>
    <row r="128" spans="1:24" x14ac:dyDescent="0.35">
      <c r="A128">
        <v>127</v>
      </c>
      <c r="B128" s="9" t="s">
        <v>757</v>
      </c>
      <c r="C128" s="9" t="s">
        <v>758</v>
      </c>
      <c r="D128" s="9" t="s">
        <v>68</v>
      </c>
      <c r="E128" s="9" t="s">
        <v>46</v>
      </c>
      <c r="F128" s="9" t="s">
        <v>80</v>
      </c>
      <c r="G128" s="9" t="s">
        <v>81</v>
      </c>
      <c r="H128" s="9" t="s">
        <v>82</v>
      </c>
      <c r="I128" s="9" t="s">
        <v>1180</v>
      </c>
      <c r="J128" s="9" t="s">
        <v>1181</v>
      </c>
      <c r="K128" s="9" t="s">
        <v>1160</v>
      </c>
      <c r="L128" s="9" t="s">
        <v>65</v>
      </c>
      <c r="N128">
        <v>0</v>
      </c>
      <c r="O128">
        <v>1</v>
      </c>
      <c r="P128">
        <v>0</v>
      </c>
      <c r="Q128">
        <v>0</v>
      </c>
      <c r="R128">
        <v>193</v>
      </c>
      <c r="S128">
        <v>252.5</v>
      </c>
      <c r="T128">
        <v>66</v>
      </c>
      <c r="U128" s="9" t="s">
        <v>1207</v>
      </c>
      <c r="V128">
        <v>1</v>
      </c>
      <c r="W128">
        <v>0</v>
      </c>
      <c r="X128" s="9" t="s">
        <v>1208</v>
      </c>
    </row>
    <row r="129" spans="1:24" x14ac:dyDescent="0.35">
      <c r="A129">
        <v>128</v>
      </c>
      <c r="B129" s="9" t="s">
        <v>847</v>
      </c>
      <c r="C129" s="9" t="s">
        <v>848</v>
      </c>
      <c r="D129" s="9" t="s">
        <v>68</v>
      </c>
      <c r="E129" s="9" t="s">
        <v>46</v>
      </c>
      <c r="F129" s="9" t="s">
        <v>80</v>
      </c>
      <c r="G129" s="9" t="s">
        <v>81</v>
      </c>
      <c r="H129" s="9" t="s">
        <v>82</v>
      </c>
      <c r="I129" s="9" t="s">
        <v>1180</v>
      </c>
      <c r="J129" s="9" t="s">
        <v>1181</v>
      </c>
      <c r="K129" s="9" t="s">
        <v>1160</v>
      </c>
      <c r="L129" s="9" t="s">
        <v>65</v>
      </c>
      <c r="N129">
        <v>0</v>
      </c>
      <c r="O129">
        <v>4</v>
      </c>
      <c r="P129">
        <v>0</v>
      </c>
      <c r="Q129">
        <v>0</v>
      </c>
      <c r="R129">
        <v>540</v>
      </c>
      <c r="S129">
        <v>252.5</v>
      </c>
      <c r="T129">
        <v>66</v>
      </c>
      <c r="U129" s="9" t="s">
        <v>1207</v>
      </c>
      <c r="V129">
        <v>1</v>
      </c>
      <c r="W129">
        <v>0</v>
      </c>
      <c r="X129" s="9" t="s">
        <v>1208</v>
      </c>
    </row>
    <row r="130" spans="1:24" x14ac:dyDescent="0.35">
      <c r="A130">
        <v>129</v>
      </c>
      <c r="B130" s="9" t="s">
        <v>897</v>
      </c>
      <c r="C130" s="9" t="s">
        <v>898</v>
      </c>
      <c r="D130" s="9" t="s">
        <v>61</v>
      </c>
      <c r="E130" s="9" t="s">
        <v>46</v>
      </c>
      <c r="F130" s="9" t="s">
        <v>80</v>
      </c>
      <c r="G130" s="9" t="s">
        <v>81</v>
      </c>
      <c r="H130" s="9" t="s">
        <v>82</v>
      </c>
      <c r="I130" s="9" t="s">
        <v>1167</v>
      </c>
      <c r="J130" s="9" t="s">
        <v>1168</v>
      </c>
      <c r="K130" s="9" t="s">
        <v>1136</v>
      </c>
      <c r="L130" s="9" t="s">
        <v>65</v>
      </c>
      <c r="N130">
        <v>0</v>
      </c>
      <c r="O130">
        <v>1</v>
      </c>
      <c r="P130">
        <v>0</v>
      </c>
      <c r="Q130">
        <v>0</v>
      </c>
      <c r="R130">
        <v>142</v>
      </c>
      <c r="S130">
        <v>252.5</v>
      </c>
      <c r="T130">
        <v>66</v>
      </c>
      <c r="U130" s="9" t="s">
        <v>1207</v>
      </c>
      <c r="V130">
        <v>1</v>
      </c>
      <c r="W130">
        <v>0</v>
      </c>
      <c r="X130" s="9" t="s">
        <v>1208</v>
      </c>
    </row>
    <row r="131" spans="1:24" x14ac:dyDescent="0.35">
      <c r="A131">
        <v>130</v>
      </c>
      <c r="B131" s="9" t="s">
        <v>454</v>
      </c>
      <c r="C131" s="9" t="s">
        <v>455</v>
      </c>
      <c r="D131" s="9" t="s">
        <v>45</v>
      </c>
      <c r="E131" s="9" t="s">
        <v>46</v>
      </c>
      <c r="F131" s="9" t="s">
        <v>93</v>
      </c>
      <c r="G131" s="9" t="s">
        <v>94</v>
      </c>
      <c r="H131" s="9" t="s">
        <v>82</v>
      </c>
      <c r="I131" s="9" t="s">
        <v>1211</v>
      </c>
      <c r="J131" s="9" t="s">
        <v>1212</v>
      </c>
      <c r="K131" s="9" t="s">
        <v>1160</v>
      </c>
      <c r="L131" s="9" t="s">
        <v>50</v>
      </c>
      <c r="N131">
        <v>0</v>
      </c>
      <c r="O131">
        <v>1</v>
      </c>
      <c r="P131">
        <v>2.5</v>
      </c>
      <c r="Q131">
        <v>0</v>
      </c>
      <c r="R131">
        <v>75</v>
      </c>
      <c r="S131">
        <v>255</v>
      </c>
      <c r="T131">
        <v>66</v>
      </c>
      <c r="U131" s="9" t="s">
        <v>1207</v>
      </c>
      <c r="V131">
        <v>1</v>
      </c>
      <c r="W131">
        <v>0</v>
      </c>
      <c r="X131" s="9" t="s">
        <v>1210</v>
      </c>
    </row>
    <row r="132" spans="1:24" x14ac:dyDescent="0.35">
      <c r="A132">
        <v>131</v>
      </c>
      <c r="B132" s="9" t="s">
        <v>500</v>
      </c>
      <c r="C132" s="9" t="s">
        <v>501</v>
      </c>
      <c r="D132" s="9" t="s">
        <v>45</v>
      </c>
      <c r="E132" s="9" t="s">
        <v>46</v>
      </c>
      <c r="F132" s="9" t="s">
        <v>80</v>
      </c>
      <c r="G132" s="9" t="s">
        <v>81</v>
      </c>
      <c r="H132" s="9" t="s">
        <v>82</v>
      </c>
      <c r="I132" s="9" t="s">
        <v>1129</v>
      </c>
      <c r="J132" s="9" t="s">
        <v>1130</v>
      </c>
      <c r="K132" s="9" t="s">
        <v>1131</v>
      </c>
      <c r="L132" s="9" t="s">
        <v>50</v>
      </c>
      <c r="N132">
        <v>0</v>
      </c>
      <c r="O132">
        <v>1</v>
      </c>
      <c r="P132">
        <v>2.5</v>
      </c>
      <c r="Q132">
        <v>0</v>
      </c>
      <c r="R132">
        <v>40</v>
      </c>
      <c r="S132">
        <v>257.5</v>
      </c>
      <c r="T132">
        <v>66</v>
      </c>
      <c r="U132" s="9" t="s">
        <v>1207</v>
      </c>
      <c r="V132">
        <v>1</v>
      </c>
      <c r="W132">
        <v>0</v>
      </c>
      <c r="X132" s="9" t="s">
        <v>1210</v>
      </c>
    </row>
    <row r="133" spans="1:24" x14ac:dyDescent="0.35">
      <c r="A133">
        <v>132</v>
      </c>
      <c r="B133" s="9" t="s">
        <v>599</v>
      </c>
      <c r="C133" s="9" t="s">
        <v>600</v>
      </c>
      <c r="D133" s="9" t="s">
        <v>45</v>
      </c>
      <c r="E133" s="9" t="s">
        <v>55</v>
      </c>
      <c r="F133" s="9" t="s">
        <v>112</v>
      </c>
      <c r="G133" s="9" t="s">
        <v>113</v>
      </c>
      <c r="H133" s="9" t="s">
        <v>54</v>
      </c>
      <c r="I133" s="9" t="s">
        <v>1145</v>
      </c>
      <c r="J133" s="9" t="s">
        <v>1146</v>
      </c>
      <c r="K133" s="9" t="s">
        <v>1136</v>
      </c>
      <c r="L133" s="9" t="s">
        <v>50</v>
      </c>
      <c r="M133">
        <v>54</v>
      </c>
      <c r="N133">
        <v>22</v>
      </c>
      <c r="O133">
        <v>2</v>
      </c>
      <c r="P133">
        <v>2.5</v>
      </c>
      <c r="Q133">
        <v>0</v>
      </c>
      <c r="R133">
        <v>125</v>
      </c>
      <c r="S133">
        <v>260</v>
      </c>
      <c r="T133">
        <v>65</v>
      </c>
      <c r="U133" s="9" t="s">
        <v>1132</v>
      </c>
      <c r="V133">
        <v>0</v>
      </c>
      <c r="W133">
        <v>0</v>
      </c>
      <c r="X133" s="9" t="s">
        <v>1133</v>
      </c>
    </row>
    <row r="134" spans="1:24" x14ac:dyDescent="0.35">
      <c r="A134">
        <v>133</v>
      </c>
      <c r="B134" s="9" t="s">
        <v>1113</v>
      </c>
      <c r="C134" s="9" t="s">
        <v>1114</v>
      </c>
      <c r="D134" s="9" t="s">
        <v>68</v>
      </c>
      <c r="E134" s="9" t="s">
        <v>55</v>
      </c>
      <c r="F134" s="9" t="s">
        <v>112</v>
      </c>
      <c r="G134" s="9" t="s">
        <v>113</v>
      </c>
      <c r="H134" s="9" t="s">
        <v>54</v>
      </c>
      <c r="I134" s="9" t="s">
        <v>1158</v>
      </c>
      <c r="J134" s="9" t="s">
        <v>1159</v>
      </c>
      <c r="K134" s="9" t="s">
        <v>1160</v>
      </c>
      <c r="L134" s="9" t="s">
        <v>65</v>
      </c>
      <c r="M134">
        <v>65</v>
      </c>
      <c r="N134">
        <v>17</v>
      </c>
      <c r="O134">
        <v>3</v>
      </c>
      <c r="P134">
        <v>2.5</v>
      </c>
      <c r="Q134">
        <v>0</v>
      </c>
      <c r="R134">
        <v>348</v>
      </c>
      <c r="S134">
        <v>262.5</v>
      </c>
      <c r="T134">
        <v>65</v>
      </c>
      <c r="U134" s="9" t="s">
        <v>1132</v>
      </c>
      <c r="V134">
        <v>0</v>
      </c>
      <c r="W134">
        <v>0</v>
      </c>
      <c r="X134" s="9" t="s">
        <v>1133</v>
      </c>
    </row>
    <row r="135" spans="1:24" x14ac:dyDescent="0.35">
      <c r="A135">
        <v>134</v>
      </c>
      <c r="B135" s="9" t="s">
        <v>1111</v>
      </c>
      <c r="C135" s="9" t="s">
        <v>1112</v>
      </c>
      <c r="D135" s="9" t="s">
        <v>61</v>
      </c>
      <c r="E135" s="9" t="s">
        <v>46</v>
      </c>
      <c r="F135" s="9" t="s">
        <v>80</v>
      </c>
      <c r="G135" s="9" t="s">
        <v>81</v>
      </c>
      <c r="H135" s="9" t="s">
        <v>82</v>
      </c>
      <c r="I135" s="9" t="s">
        <v>1167</v>
      </c>
      <c r="J135" s="9" t="s">
        <v>1168</v>
      </c>
      <c r="K135" s="9" t="s">
        <v>1136</v>
      </c>
      <c r="L135" s="9" t="s">
        <v>65</v>
      </c>
      <c r="M135">
        <v>29</v>
      </c>
      <c r="N135">
        <v>11</v>
      </c>
      <c r="O135">
        <v>3</v>
      </c>
      <c r="P135">
        <v>0</v>
      </c>
      <c r="Q135">
        <v>0</v>
      </c>
      <c r="R135">
        <v>306</v>
      </c>
      <c r="S135">
        <v>262.5</v>
      </c>
      <c r="T135">
        <v>64</v>
      </c>
      <c r="U135" s="9" t="s">
        <v>1150</v>
      </c>
      <c r="V135">
        <v>0</v>
      </c>
      <c r="W135">
        <v>0</v>
      </c>
      <c r="X135" s="9" t="s">
        <v>1229</v>
      </c>
    </row>
    <row r="136" spans="1:24" x14ac:dyDescent="0.35">
      <c r="A136">
        <v>135</v>
      </c>
      <c r="B136" s="9" t="s">
        <v>91</v>
      </c>
      <c r="C136" s="9" t="s">
        <v>92</v>
      </c>
      <c r="D136" s="9" t="s">
        <v>45</v>
      </c>
      <c r="E136" s="9" t="s">
        <v>46</v>
      </c>
      <c r="F136" s="9" t="s">
        <v>93</v>
      </c>
      <c r="G136" s="9" t="s">
        <v>94</v>
      </c>
      <c r="H136" s="9" t="s">
        <v>82</v>
      </c>
      <c r="I136" s="9" t="s">
        <v>1190</v>
      </c>
      <c r="J136" s="9" t="s">
        <v>1191</v>
      </c>
      <c r="K136" s="9" t="s">
        <v>1149</v>
      </c>
      <c r="L136" s="9" t="s">
        <v>50</v>
      </c>
      <c r="M136">
        <v>39</v>
      </c>
      <c r="N136">
        <v>9</v>
      </c>
      <c r="O136">
        <v>2</v>
      </c>
      <c r="P136">
        <v>2.5</v>
      </c>
      <c r="Q136">
        <v>0</v>
      </c>
      <c r="R136">
        <v>256</v>
      </c>
      <c r="S136">
        <v>265</v>
      </c>
      <c r="T136">
        <v>64</v>
      </c>
      <c r="U136" s="9" t="s">
        <v>1150</v>
      </c>
      <c r="V136">
        <v>0</v>
      </c>
      <c r="W136">
        <v>0</v>
      </c>
      <c r="X136" s="9" t="s">
        <v>1230</v>
      </c>
    </row>
    <row r="137" spans="1:24" x14ac:dyDescent="0.35">
      <c r="A137">
        <v>136</v>
      </c>
      <c r="B137" s="9" t="s">
        <v>637</v>
      </c>
      <c r="C137" s="9" t="s">
        <v>638</v>
      </c>
      <c r="D137" s="9" t="s">
        <v>61</v>
      </c>
      <c r="E137" s="9" t="s">
        <v>46</v>
      </c>
      <c r="F137" s="9" t="s">
        <v>80</v>
      </c>
      <c r="G137" s="9" t="s">
        <v>81</v>
      </c>
      <c r="H137" s="9" t="s">
        <v>82</v>
      </c>
      <c r="I137" s="9" t="s">
        <v>1167</v>
      </c>
      <c r="J137" s="9" t="s">
        <v>1168</v>
      </c>
      <c r="K137" s="9" t="s">
        <v>1136</v>
      </c>
      <c r="L137" s="9" t="s">
        <v>65</v>
      </c>
      <c r="M137">
        <v>50</v>
      </c>
      <c r="N137">
        <v>7</v>
      </c>
      <c r="O137">
        <v>1</v>
      </c>
      <c r="P137">
        <v>2.5</v>
      </c>
      <c r="Q137">
        <v>0</v>
      </c>
      <c r="R137">
        <v>125</v>
      </c>
      <c r="S137">
        <v>267.5</v>
      </c>
      <c r="T137">
        <v>64</v>
      </c>
      <c r="U137" s="9" t="s">
        <v>1150</v>
      </c>
      <c r="V137">
        <v>0</v>
      </c>
      <c r="W137">
        <v>0</v>
      </c>
      <c r="X137" s="9" t="s">
        <v>1231</v>
      </c>
    </row>
    <row r="138" spans="1:24" x14ac:dyDescent="0.35">
      <c r="A138">
        <v>137</v>
      </c>
      <c r="B138" s="9" t="s">
        <v>1003</v>
      </c>
      <c r="C138" s="9" t="s">
        <v>1004</v>
      </c>
      <c r="D138" s="9" t="s">
        <v>61</v>
      </c>
      <c r="E138" s="9" t="s">
        <v>46</v>
      </c>
      <c r="F138" s="9" t="s">
        <v>80</v>
      </c>
      <c r="G138" s="9" t="s">
        <v>81</v>
      </c>
      <c r="H138" s="9" t="s">
        <v>82</v>
      </c>
      <c r="I138" s="9" t="s">
        <v>1193</v>
      </c>
      <c r="J138" s="9" t="s">
        <v>1194</v>
      </c>
      <c r="K138" s="9" t="s">
        <v>1149</v>
      </c>
      <c r="L138" s="9" t="s">
        <v>65</v>
      </c>
      <c r="M138">
        <v>31</v>
      </c>
      <c r="N138">
        <v>10</v>
      </c>
      <c r="O138">
        <v>1</v>
      </c>
      <c r="P138">
        <v>2.5</v>
      </c>
      <c r="Q138">
        <v>0</v>
      </c>
      <c r="R138">
        <v>177</v>
      </c>
      <c r="S138">
        <v>270</v>
      </c>
      <c r="T138">
        <v>64</v>
      </c>
      <c r="U138" s="9" t="s">
        <v>1150</v>
      </c>
      <c r="V138">
        <v>0</v>
      </c>
      <c r="W138">
        <v>0</v>
      </c>
      <c r="X138" s="9" t="s">
        <v>1232</v>
      </c>
    </row>
    <row r="139" spans="1:24" x14ac:dyDescent="0.35">
      <c r="A139">
        <v>138</v>
      </c>
      <c r="B139" s="9" t="s">
        <v>186</v>
      </c>
      <c r="C139" s="9" t="s">
        <v>187</v>
      </c>
      <c r="D139" s="9" t="s">
        <v>61</v>
      </c>
      <c r="E139" s="9" t="s">
        <v>55</v>
      </c>
      <c r="F139" s="9" t="s">
        <v>112</v>
      </c>
      <c r="G139" s="9" t="s">
        <v>113</v>
      </c>
      <c r="H139" s="9" t="s">
        <v>54</v>
      </c>
      <c r="I139" s="9" t="s">
        <v>1137</v>
      </c>
      <c r="J139" s="9" t="s">
        <v>1138</v>
      </c>
      <c r="K139" s="9" t="s">
        <v>1136</v>
      </c>
      <c r="L139" s="9" t="s">
        <v>65</v>
      </c>
      <c r="M139">
        <v>43</v>
      </c>
      <c r="N139">
        <v>27</v>
      </c>
      <c r="O139">
        <v>1</v>
      </c>
      <c r="P139">
        <v>0</v>
      </c>
      <c r="Q139">
        <v>0</v>
      </c>
      <c r="R139">
        <v>151</v>
      </c>
      <c r="S139">
        <v>270</v>
      </c>
      <c r="T139">
        <v>61</v>
      </c>
      <c r="U139" s="9" t="s">
        <v>1150</v>
      </c>
      <c r="V139">
        <v>0</v>
      </c>
      <c r="W139">
        <v>0</v>
      </c>
      <c r="X139" s="9" t="s">
        <v>1233</v>
      </c>
    </row>
    <row r="140" spans="1:24" x14ac:dyDescent="0.35">
      <c r="A140">
        <v>139</v>
      </c>
      <c r="B140" s="9" t="s">
        <v>226</v>
      </c>
      <c r="C140" s="9" t="s">
        <v>227</v>
      </c>
      <c r="D140" s="9" t="s">
        <v>68</v>
      </c>
      <c r="E140" s="9" t="s">
        <v>55</v>
      </c>
      <c r="F140" s="9" t="s">
        <v>56</v>
      </c>
      <c r="G140" s="9" t="s">
        <v>57</v>
      </c>
      <c r="H140" s="9" t="s">
        <v>54</v>
      </c>
      <c r="I140" s="9" t="s">
        <v>1190</v>
      </c>
      <c r="J140" s="9" t="s">
        <v>1191</v>
      </c>
      <c r="K140" s="9" t="s">
        <v>1149</v>
      </c>
      <c r="L140" s="9" t="s">
        <v>65</v>
      </c>
      <c r="M140">
        <v>69</v>
      </c>
      <c r="N140">
        <v>14</v>
      </c>
      <c r="O140">
        <v>2</v>
      </c>
      <c r="P140">
        <v>0</v>
      </c>
      <c r="Q140">
        <v>0</v>
      </c>
      <c r="R140">
        <v>388</v>
      </c>
      <c r="S140">
        <v>270</v>
      </c>
      <c r="T140">
        <v>61</v>
      </c>
      <c r="U140" s="9" t="s">
        <v>1150</v>
      </c>
      <c r="V140">
        <v>0</v>
      </c>
      <c r="W140">
        <v>0</v>
      </c>
      <c r="X140" s="9" t="s">
        <v>1202</v>
      </c>
    </row>
    <row r="141" spans="1:24" x14ac:dyDescent="0.35">
      <c r="A141">
        <v>140</v>
      </c>
      <c r="B141" s="9" t="s">
        <v>691</v>
      </c>
      <c r="C141" s="9" t="s">
        <v>692</v>
      </c>
      <c r="D141" s="9" t="s">
        <v>68</v>
      </c>
      <c r="E141" s="9" t="s">
        <v>55</v>
      </c>
      <c r="F141" s="9" t="s">
        <v>112</v>
      </c>
      <c r="G141" s="9" t="s">
        <v>113</v>
      </c>
      <c r="H141" s="9" t="s">
        <v>54</v>
      </c>
      <c r="I141" s="9" t="s">
        <v>1134</v>
      </c>
      <c r="J141" s="9" t="s">
        <v>1135</v>
      </c>
      <c r="K141" s="9" t="s">
        <v>1136</v>
      </c>
      <c r="L141" s="9" t="s">
        <v>65</v>
      </c>
      <c r="M141">
        <v>63</v>
      </c>
      <c r="N141">
        <v>18</v>
      </c>
      <c r="O141">
        <v>2</v>
      </c>
      <c r="P141">
        <v>0</v>
      </c>
      <c r="Q141">
        <v>0</v>
      </c>
      <c r="R141">
        <v>157</v>
      </c>
      <c r="S141">
        <v>270</v>
      </c>
      <c r="T141">
        <v>61</v>
      </c>
      <c r="U141" s="9" t="s">
        <v>1150</v>
      </c>
      <c r="V141">
        <v>0</v>
      </c>
      <c r="W141">
        <v>0</v>
      </c>
      <c r="X141" s="9" t="s">
        <v>1199</v>
      </c>
    </row>
    <row r="142" spans="1:24" x14ac:dyDescent="0.35">
      <c r="A142">
        <v>141</v>
      </c>
      <c r="B142" s="9" t="s">
        <v>745</v>
      </c>
      <c r="C142" s="9" t="s">
        <v>746</v>
      </c>
      <c r="D142" s="9" t="s">
        <v>68</v>
      </c>
      <c r="E142" s="9" t="s">
        <v>55</v>
      </c>
      <c r="F142" s="9" t="s">
        <v>56</v>
      </c>
      <c r="G142" s="9" t="s">
        <v>57</v>
      </c>
      <c r="H142" s="9" t="s">
        <v>54</v>
      </c>
      <c r="I142" s="9" t="s">
        <v>1162</v>
      </c>
      <c r="J142" s="9" t="s">
        <v>1163</v>
      </c>
      <c r="K142" s="9" t="s">
        <v>1149</v>
      </c>
      <c r="L142" s="9" t="s">
        <v>65</v>
      </c>
      <c r="M142">
        <v>64</v>
      </c>
      <c r="N142">
        <v>17</v>
      </c>
      <c r="O142">
        <v>1</v>
      </c>
      <c r="P142">
        <v>0</v>
      </c>
      <c r="Q142">
        <v>0</v>
      </c>
      <c r="R142">
        <v>175</v>
      </c>
      <c r="S142">
        <v>270</v>
      </c>
      <c r="T142">
        <v>61</v>
      </c>
      <c r="U142" s="9" t="s">
        <v>1150</v>
      </c>
      <c r="V142">
        <v>0</v>
      </c>
      <c r="W142">
        <v>0</v>
      </c>
      <c r="X142" s="9" t="s">
        <v>1234</v>
      </c>
    </row>
    <row r="143" spans="1:24" x14ac:dyDescent="0.35">
      <c r="A143">
        <v>142</v>
      </c>
      <c r="B143" s="9" t="s">
        <v>1049</v>
      </c>
      <c r="C143" s="9" t="s">
        <v>1050</v>
      </c>
      <c r="D143" s="9" t="s">
        <v>68</v>
      </c>
      <c r="E143" s="9" t="s">
        <v>55</v>
      </c>
      <c r="F143" s="9" t="s">
        <v>112</v>
      </c>
      <c r="G143" s="9" t="s">
        <v>113</v>
      </c>
      <c r="H143" s="9" t="s">
        <v>54</v>
      </c>
      <c r="I143" s="9" t="s">
        <v>1134</v>
      </c>
      <c r="J143" s="9" t="s">
        <v>1135</v>
      </c>
      <c r="K143" s="9" t="s">
        <v>1136</v>
      </c>
      <c r="L143" s="9" t="s">
        <v>65</v>
      </c>
      <c r="M143">
        <v>30</v>
      </c>
      <c r="N143">
        <v>33</v>
      </c>
      <c r="O143">
        <v>1</v>
      </c>
      <c r="P143">
        <v>0</v>
      </c>
      <c r="Q143">
        <v>0</v>
      </c>
      <c r="R143">
        <v>22</v>
      </c>
      <c r="S143">
        <v>270</v>
      </c>
      <c r="T143">
        <v>61</v>
      </c>
      <c r="U143" s="9" t="s">
        <v>1150</v>
      </c>
      <c r="V143">
        <v>0</v>
      </c>
      <c r="W143">
        <v>0</v>
      </c>
      <c r="X143" s="9" t="s">
        <v>1174</v>
      </c>
    </row>
    <row r="144" spans="1:24" x14ac:dyDescent="0.35">
      <c r="A144">
        <v>143</v>
      </c>
      <c r="B144" s="9" t="s">
        <v>148</v>
      </c>
      <c r="C144" s="9" t="s">
        <v>149</v>
      </c>
      <c r="D144" s="9" t="s">
        <v>45</v>
      </c>
      <c r="E144" s="9" t="s">
        <v>55</v>
      </c>
      <c r="F144" s="9" t="s">
        <v>56</v>
      </c>
      <c r="G144" s="9" t="s">
        <v>57</v>
      </c>
      <c r="H144" s="9" t="s">
        <v>54</v>
      </c>
      <c r="I144" s="9" t="s">
        <v>1152</v>
      </c>
      <c r="J144" s="9" t="s">
        <v>1153</v>
      </c>
      <c r="K144" s="9" t="s">
        <v>1131</v>
      </c>
      <c r="L144" s="9" t="s">
        <v>50</v>
      </c>
      <c r="M144">
        <v>62</v>
      </c>
      <c r="N144">
        <v>19</v>
      </c>
      <c r="O144">
        <v>4</v>
      </c>
      <c r="P144">
        <v>2.5</v>
      </c>
      <c r="Q144">
        <v>0</v>
      </c>
      <c r="R144">
        <v>490</v>
      </c>
      <c r="S144">
        <v>272.5</v>
      </c>
      <c r="T144">
        <v>61</v>
      </c>
      <c r="U144" s="9" t="s">
        <v>1150</v>
      </c>
      <c r="V144">
        <v>0</v>
      </c>
      <c r="W144">
        <v>0</v>
      </c>
      <c r="X144" s="9" t="s">
        <v>1235</v>
      </c>
    </row>
    <row r="145" spans="1:24" x14ac:dyDescent="0.35">
      <c r="A145">
        <v>144</v>
      </c>
      <c r="B145" s="9" t="s">
        <v>358</v>
      </c>
      <c r="C145" s="9" t="s">
        <v>359</v>
      </c>
      <c r="D145" s="9" t="s">
        <v>61</v>
      </c>
      <c r="E145" s="9" t="s">
        <v>55</v>
      </c>
      <c r="F145" s="9" t="s">
        <v>56</v>
      </c>
      <c r="G145" s="9" t="s">
        <v>57</v>
      </c>
      <c r="H145" s="9" t="s">
        <v>54</v>
      </c>
      <c r="I145" s="9" t="s">
        <v>1193</v>
      </c>
      <c r="J145" s="9" t="s">
        <v>1194</v>
      </c>
      <c r="K145" s="9" t="s">
        <v>1149</v>
      </c>
      <c r="L145" s="9" t="s">
        <v>65</v>
      </c>
      <c r="M145">
        <v>61</v>
      </c>
      <c r="N145">
        <v>20</v>
      </c>
      <c r="O145">
        <v>3</v>
      </c>
      <c r="P145">
        <v>2.5</v>
      </c>
      <c r="Q145">
        <v>0</v>
      </c>
      <c r="R145">
        <v>405</v>
      </c>
      <c r="S145">
        <v>275</v>
      </c>
      <c r="T145">
        <v>61</v>
      </c>
      <c r="U145" s="9" t="s">
        <v>1150</v>
      </c>
      <c r="V145">
        <v>0</v>
      </c>
      <c r="W145">
        <v>0</v>
      </c>
      <c r="X145" s="9" t="s">
        <v>1236</v>
      </c>
    </row>
    <row r="146" spans="1:24" x14ac:dyDescent="0.35">
      <c r="A146">
        <v>145</v>
      </c>
      <c r="B146" s="9" t="s">
        <v>360</v>
      </c>
      <c r="C146" s="9" t="s">
        <v>361</v>
      </c>
      <c r="D146" s="9" t="s">
        <v>54</v>
      </c>
      <c r="E146" s="9" t="s">
        <v>55</v>
      </c>
      <c r="F146" s="9" t="s">
        <v>112</v>
      </c>
      <c r="G146" s="9" t="s">
        <v>113</v>
      </c>
      <c r="H146" s="9" t="s">
        <v>54</v>
      </c>
      <c r="I146" s="9" t="s">
        <v>1152</v>
      </c>
      <c r="J146" s="9" t="s">
        <v>1153</v>
      </c>
      <c r="K146" s="9" t="s">
        <v>1131</v>
      </c>
      <c r="L146" s="9" t="s">
        <v>50</v>
      </c>
      <c r="M146">
        <v>70</v>
      </c>
      <c r="N146">
        <v>13</v>
      </c>
      <c r="O146">
        <v>4</v>
      </c>
      <c r="P146">
        <v>2.5</v>
      </c>
      <c r="Q146">
        <v>0</v>
      </c>
      <c r="R146">
        <v>579</v>
      </c>
      <c r="S146">
        <v>277.5</v>
      </c>
      <c r="T146">
        <v>61</v>
      </c>
      <c r="U146" s="9" t="s">
        <v>1150</v>
      </c>
      <c r="V146">
        <v>0</v>
      </c>
      <c r="W146">
        <v>0</v>
      </c>
      <c r="X146" s="9" t="s">
        <v>1237</v>
      </c>
    </row>
    <row r="147" spans="1:24" x14ac:dyDescent="0.35">
      <c r="A147">
        <v>146</v>
      </c>
      <c r="B147" s="9" t="s">
        <v>855</v>
      </c>
      <c r="C147" s="9" t="s">
        <v>856</v>
      </c>
      <c r="D147" s="9" t="s">
        <v>45</v>
      </c>
      <c r="E147" s="9" t="s">
        <v>55</v>
      </c>
      <c r="F147" s="9" t="s">
        <v>56</v>
      </c>
      <c r="G147" s="9" t="s">
        <v>57</v>
      </c>
      <c r="H147" s="9" t="s">
        <v>54</v>
      </c>
      <c r="I147" s="9" t="s">
        <v>1176</v>
      </c>
      <c r="J147" s="9" t="s">
        <v>1177</v>
      </c>
      <c r="K147" s="9" t="s">
        <v>1160</v>
      </c>
      <c r="L147" s="9" t="s">
        <v>50</v>
      </c>
      <c r="M147">
        <v>38</v>
      </c>
      <c r="N147">
        <v>27</v>
      </c>
      <c r="O147">
        <v>1</v>
      </c>
      <c r="P147">
        <v>2.5</v>
      </c>
      <c r="Q147">
        <v>0</v>
      </c>
      <c r="R147">
        <v>127</v>
      </c>
      <c r="S147">
        <v>280</v>
      </c>
      <c r="T147">
        <v>61</v>
      </c>
      <c r="U147" s="9" t="s">
        <v>1150</v>
      </c>
      <c r="V147">
        <v>0</v>
      </c>
      <c r="W147">
        <v>0</v>
      </c>
      <c r="X147" s="9" t="s">
        <v>1238</v>
      </c>
    </row>
    <row r="148" spans="1:24" x14ac:dyDescent="0.35">
      <c r="A148">
        <v>147</v>
      </c>
      <c r="B148" s="9" t="s">
        <v>857</v>
      </c>
      <c r="C148" s="9" t="s">
        <v>858</v>
      </c>
      <c r="D148" s="9" t="s">
        <v>61</v>
      </c>
      <c r="E148" s="9" t="s">
        <v>55</v>
      </c>
      <c r="F148" s="9" t="s">
        <v>112</v>
      </c>
      <c r="G148" s="9" t="s">
        <v>113</v>
      </c>
      <c r="H148" s="9" t="s">
        <v>54</v>
      </c>
      <c r="I148" s="9" t="s">
        <v>1158</v>
      </c>
      <c r="J148" s="9" t="s">
        <v>1159</v>
      </c>
      <c r="K148" s="9" t="s">
        <v>1160</v>
      </c>
      <c r="L148" s="9" t="s">
        <v>65</v>
      </c>
      <c r="M148">
        <v>57</v>
      </c>
      <c r="N148">
        <v>22</v>
      </c>
      <c r="O148">
        <v>4</v>
      </c>
      <c r="P148">
        <v>2.5</v>
      </c>
      <c r="Q148">
        <v>0</v>
      </c>
      <c r="R148">
        <v>394</v>
      </c>
      <c r="S148">
        <v>282.5</v>
      </c>
      <c r="T148">
        <v>61</v>
      </c>
      <c r="U148" s="9" t="s">
        <v>1150</v>
      </c>
      <c r="V148">
        <v>0</v>
      </c>
      <c r="W148">
        <v>0</v>
      </c>
      <c r="X148" s="9" t="s">
        <v>1239</v>
      </c>
    </row>
    <row r="149" spans="1:24" x14ac:dyDescent="0.35">
      <c r="A149">
        <v>148</v>
      </c>
      <c r="B149" s="9" t="s">
        <v>1029</v>
      </c>
      <c r="C149" s="9" t="s">
        <v>1030</v>
      </c>
      <c r="D149" s="9" t="s">
        <v>68</v>
      </c>
      <c r="E149" s="9" t="s">
        <v>55</v>
      </c>
      <c r="F149" s="9" t="s">
        <v>56</v>
      </c>
      <c r="G149" s="9" t="s">
        <v>57</v>
      </c>
      <c r="H149" s="9" t="s">
        <v>54</v>
      </c>
      <c r="I149" s="9" t="s">
        <v>1129</v>
      </c>
      <c r="J149" s="9" t="s">
        <v>1130</v>
      </c>
      <c r="K149" s="9" t="s">
        <v>1131</v>
      </c>
      <c r="L149" s="9" t="s">
        <v>65</v>
      </c>
      <c r="M149">
        <v>71</v>
      </c>
      <c r="N149">
        <v>12</v>
      </c>
      <c r="O149">
        <v>3</v>
      </c>
      <c r="P149">
        <v>2.5</v>
      </c>
      <c r="Q149">
        <v>0</v>
      </c>
      <c r="R149">
        <v>436</v>
      </c>
      <c r="S149">
        <v>285</v>
      </c>
      <c r="T149">
        <v>61</v>
      </c>
      <c r="U149" s="9" t="s">
        <v>1150</v>
      </c>
      <c r="V149">
        <v>0</v>
      </c>
      <c r="W149">
        <v>0</v>
      </c>
      <c r="X149" s="9" t="s">
        <v>1186</v>
      </c>
    </row>
    <row r="150" spans="1:24" x14ac:dyDescent="0.35">
      <c r="A150">
        <v>149</v>
      </c>
      <c r="B150" s="9" t="s">
        <v>1041</v>
      </c>
      <c r="C150" s="9" t="s">
        <v>1042</v>
      </c>
      <c r="D150" s="9" t="s">
        <v>45</v>
      </c>
      <c r="E150" s="9" t="s">
        <v>55</v>
      </c>
      <c r="F150" s="9" t="s">
        <v>112</v>
      </c>
      <c r="G150" s="9" t="s">
        <v>113</v>
      </c>
      <c r="H150" s="9" t="s">
        <v>54</v>
      </c>
      <c r="I150" s="9" t="s">
        <v>1211</v>
      </c>
      <c r="J150" s="9" t="s">
        <v>1212</v>
      </c>
      <c r="K150" s="9" t="s">
        <v>1160</v>
      </c>
      <c r="L150" s="9" t="s">
        <v>50</v>
      </c>
      <c r="M150">
        <v>36</v>
      </c>
      <c r="N150">
        <v>30</v>
      </c>
      <c r="O150">
        <v>3</v>
      </c>
      <c r="P150">
        <v>2.5</v>
      </c>
      <c r="Q150">
        <v>0</v>
      </c>
      <c r="R150">
        <v>256</v>
      </c>
      <c r="S150">
        <v>287.5</v>
      </c>
      <c r="T150">
        <v>61</v>
      </c>
      <c r="U150" s="9" t="s">
        <v>1150</v>
      </c>
      <c r="V150">
        <v>0</v>
      </c>
      <c r="W150">
        <v>0</v>
      </c>
      <c r="X150" s="9" t="s">
        <v>1240</v>
      </c>
    </row>
    <row r="151" spans="1:24" x14ac:dyDescent="0.35">
      <c r="A151">
        <v>150</v>
      </c>
      <c r="B151" s="9" t="s">
        <v>577</v>
      </c>
      <c r="C151" s="9" t="s">
        <v>578</v>
      </c>
      <c r="D151" s="9" t="s">
        <v>45</v>
      </c>
      <c r="E151" s="9" t="s">
        <v>55</v>
      </c>
      <c r="F151" s="9" t="s">
        <v>56</v>
      </c>
      <c r="G151" s="9" t="s">
        <v>57</v>
      </c>
      <c r="H151" s="9" t="s">
        <v>54</v>
      </c>
      <c r="I151" s="9" t="s">
        <v>1129</v>
      </c>
      <c r="J151" s="9" t="s">
        <v>1130</v>
      </c>
      <c r="K151" s="9" t="s">
        <v>1131</v>
      </c>
      <c r="L151" s="9" t="s">
        <v>50</v>
      </c>
      <c r="M151">
        <v>64</v>
      </c>
      <c r="N151">
        <v>17</v>
      </c>
      <c r="O151">
        <v>2</v>
      </c>
      <c r="P151">
        <v>5</v>
      </c>
      <c r="Q151">
        <v>0</v>
      </c>
      <c r="R151">
        <v>241</v>
      </c>
      <c r="S151">
        <v>292.5</v>
      </c>
      <c r="T151">
        <v>61</v>
      </c>
      <c r="U151" s="9" t="s">
        <v>1150</v>
      </c>
      <c r="V151">
        <v>0</v>
      </c>
      <c r="W151">
        <v>0</v>
      </c>
      <c r="X151" s="9" t="s">
        <v>1234</v>
      </c>
    </row>
    <row r="152" spans="1:24" x14ac:dyDescent="0.35">
      <c r="A152">
        <v>151</v>
      </c>
      <c r="B152" s="9" t="s">
        <v>801</v>
      </c>
      <c r="C152" s="9" t="s">
        <v>802</v>
      </c>
      <c r="D152" s="9" t="s">
        <v>54</v>
      </c>
      <c r="E152" s="9" t="s">
        <v>55</v>
      </c>
      <c r="F152" s="9" t="s">
        <v>112</v>
      </c>
      <c r="G152" s="9" t="s">
        <v>113</v>
      </c>
      <c r="H152" s="9" t="s">
        <v>54</v>
      </c>
      <c r="I152" s="9" t="s">
        <v>1193</v>
      </c>
      <c r="J152" s="9" t="s">
        <v>1194</v>
      </c>
      <c r="K152" s="9" t="s">
        <v>1149</v>
      </c>
      <c r="L152" s="9" t="s">
        <v>50</v>
      </c>
      <c r="M152">
        <v>57</v>
      </c>
      <c r="N152">
        <v>22</v>
      </c>
      <c r="O152">
        <v>3</v>
      </c>
      <c r="P152">
        <v>7.5</v>
      </c>
      <c r="Q152">
        <v>0</v>
      </c>
      <c r="R152">
        <v>290</v>
      </c>
      <c r="S152">
        <v>300</v>
      </c>
      <c r="T152">
        <v>61</v>
      </c>
      <c r="U152" s="9" t="s">
        <v>1150</v>
      </c>
      <c r="V152">
        <v>0</v>
      </c>
      <c r="W152">
        <v>0</v>
      </c>
      <c r="X152" s="9" t="s">
        <v>1239</v>
      </c>
    </row>
    <row r="153" spans="1:24" x14ac:dyDescent="0.35">
      <c r="A153">
        <v>152</v>
      </c>
      <c r="B153" s="9" t="s">
        <v>799</v>
      </c>
      <c r="C153" s="9" t="s">
        <v>800</v>
      </c>
      <c r="D153" s="9" t="s">
        <v>134</v>
      </c>
      <c r="E153" s="9" t="s">
        <v>55</v>
      </c>
      <c r="F153" s="9" t="s">
        <v>56</v>
      </c>
      <c r="G153" s="9" t="s">
        <v>57</v>
      </c>
      <c r="H153" s="9" t="s">
        <v>54</v>
      </c>
      <c r="I153" s="9" t="s">
        <v>1196</v>
      </c>
      <c r="J153" s="9" t="s">
        <v>1197</v>
      </c>
      <c r="K153" s="9" t="s">
        <v>1136</v>
      </c>
      <c r="L153" s="9" t="s">
        <v>135</v>
      </c>
      <c r="M153">
        <v>44</v>
      </c>
      <c r="N153">
        <v>24</v>
      </c>
      <c r="O153">
        <v>2</v>
      </c>
      <c r="P153">
        <v>0</v>
      </c>
      <c r="Q153">
        <v>8</v>
      </c>
      <c r="R153">
        <v>199</v>
      </c>
      <c r="S153">
        <v>300</v>
      </c>
      <c r="T153">
        <v>61</v>
      </c>
      <c r="U153" s="9" t="s">
        <v>1150</v>
      </c>
      <c r="V153">
        <v>0</v>
      </c>
      <c r="W153">
        <v>0</v>
      </c>
      <c r="X153" s="9" t="s">
        <v>1241</v>
      </c>
    </row>
    <row r="154" spans="1:24" x14ac:dyDescent="0.35">
      <c r="A154">
        <v>153</v>
      </c>
      <c r="B154" s="9" t="s">
        <v>607</v>
      </c>
      <c r="C154" s="9" t="s">
        <v>608</v>
      </c>
      <c r="D154" s="9" t="s">
        <v>134</v>
      </c>
      <c r="E154" s="9" t="s">
        <v>55</v>
      </c>
      <c r="F154" s="9" t="s">
        <v>112</v>
      </c>
      <c r="G154" s="9" t="s">
        <v>113</v>
      </c>
      <c r="H154" s="9" t="s">
        <v>54</v>
      </c>
      <c r="I154" s="9" t="s">
        <v>1183</v>
      </c>
      <c r="J154" s="9" t="s">
        <v>1184</v>
      </c>
      <c r="K154" s="9" t="s">
        <v>1160</v>
      </c>
      <c r="L154" s="9" t="s">
        <v>135</v>
      </c>
      <c r="M154">
        <v>49</v>
      </c>
      <c r="N154">
        <v>24</v>
      </c>
      <c r="O154">
        <v>4</v>
      </c>
      <c r="P154">
        <v>0</v>
      </c>
      <c r="Q154">
        <v>16</v>
      </c>
      <c r="R154">
        <v>268</v>
      </c>
      <c r="S154">
        <v>300</v>
      </c>
      <c r="T154">
        <v>61</v>
      </c>
      <c r="U154" s="9" t="s">
        <v>1150</v>
      </c>
      <c r="V154">
        <v>0</v>
      </c>
      <c r="W154">
        <v>0</v>
      </c>
      <c r="X154" s="9" t="s">
        <v>1242</v>
      </c>
    </row>
    <row r="155" spans="1:24" x14ac:dyDescent="0.35">
      <c r="A155">
        <v>154</v>
      </c>
      <c r="B155" s="9" t="s">
        <v>52</v>
      </c>
      <c r="C155" s="9" t="s">
        <v>53</v>
      </c>
      <c r="D155" s="9" t="s">
        <v>54</v>
      </c>
      <c r="E155" s="9" t="s">
        <v>55</v>
      </c>
      <c r="F155" s="9" t="s">
        <v>56</v>
      </c>
      <c r="G155" s="9" t="s">
        <v>57</v>
      </c>
      <c r="H155" s="9" t="s">
        <v>54</v>
      </c>
      <c r="I155" s="9" t="s">
        <v>1193</v>
      </c>
      <c r="J155" s="9" t="s">
        <v>1194</v>
      </c>
      <c r="K155" s="9" t="s">
        <v>1149</v>
      </c>
      <c r="L155" s="9" t="s">
        <v>50</v>
      </c>
      <c r="N155">
        <v>0</v>
      </c>
      <c r="O155">
        <v>3</v>
      </c>
      <c r="P155">
        <v>0</v>
      </c>
      <c r="Q155">
        <v>0</v>
      </c>
      <c r="R155">
        <v>272</v>
      </c>
      <c r="S155">
        <v>300</v>
      </c>
      <c r="T155">
        <v>59</v>
      </c>
      <c r="U155" s="9" t="s">
        <v>1213</v>
      </c>
      <c r="V155">
        <v>0</v>
      </c>
      <c r="W155">
        <v>0</v>
      </c>
      <c r="X155" s="9" t="s">
        <v>1223</v>
      </c>
    </row>
    <row r="156" spans="1:24" x14ac:dyDescent="0.35">
      <c r="A156">
        <v>155</v>
      </c>
      <c r="B156" s="9" t="s">
        <v>498</v>
      </c>
      <c r="C156" s="9" t="s">
        <v>499</v>
      </c>
      <c r="D156" s="9" t="s">
        <v>68</v>
      </c>
      <c r="E156" s="9" t="s">
        <v>55</v>
      </c>
      <c r="F156" s="9" t="s">
        <v>56</v>
      </c>
      <c r="G156" s="9" t="s">
        <v>57</v>
      </c>
      <c r="H156" s="9" t="s">
        <v>54</v>
      </c>
      <c r="I156" s="9" t="s">
        <v>1180</v>
      </c>
      <c r="J156" s="9" t="s">
        <v>1181</v>
      </c>
      <c r="K156" s="9" t="s">
        <v>1160</v>
      </c>
      <c r="L156" s="9" t="s">
        <v>65</v>
      </c>
      <c r="N156">
        <v>0</v>
      </c>
      <c r="O156">
        <v>3</v>
      </c>
      <c r="P156">
        <v>0</v>
      </c>
      <c r="Q156">
        <v>0</v>
      </c>
      <c r="R156">
        <v>392</v>
      </c>
      <c r="S156">
        <v>300</v>
      </c>
      <c r="T156">
        <v>59</v>
      </c>
      <c r="U156" s="9" t="s">
        <v>1207</v>
      </c>
      <c r="V156">
        <v>0</v>
      </c>
      <c r="W156">
        <v>0</v>
      </c>
      <c r="X156" s="9" t="s">
        <v>1243</v>
      </c>
    </row>
    <row r="157" spans="1:24" x14ac:dyDescent="0.35">
      <c r="A157">
        <v>156</v>
      </c>
      <c r="B157" s="9" t="s">
        <v>931</v>
      </c>
      <c r="C157" s="9" t="s">
        <v>932</v>
      </c>
      <c r="D157" s="9" t="s">
        <v>61</v>
      </c>
      <c r="E157" s="9" t="s">
        <v>55</v>
      </c>
      <c r="F157" s="9" t="s">
        <v>56</v>
      </c>
      <c r="G157" s="9" t="s">
        <v>57</v>
      </c>
      <c r="H157" s="9" t="s">
        <v>54</v>
      </c>
      <c r="I157" s="9" t="s">
        <v>1193</v>
      </c>
      <c r="J157" s="9" t="s">
        <v>1194</v>
      </c>
      <c r="K157" s="9" t="s">
        <v>1149</v>
      </c>
      <c r="L157" s="9" t="s">
        <v>65</v>
      </c>
      <c r="N157">
        <v>0</v>
      </c>
      <c r="O157">
        <v>1</v>
      </c>
      <c r="P157">
        <v>0</v>
      </c>
      <c r="Q157">
        <v>0</v>
      </c>
      <c r="R157">
        <v>189</v>
      </c>
      <c r="S157">
        <v>300</v>
      </c>
      <c r="T157">
        <v>59</v>
      </c>
      <c r="U157" s="9" t="s">
        <v>1207</v>
      </c>
      <c r="V157">
        <v>1</v>
      </c>
      <c r="W157">
        <v>0</v>
      </c>
      <c r="X157" s="9" t="s">
        <v>1208</v>
      </c>
    </row>
    <row r="158" spans="1:24" x14ac:dyDescent="0.35">
      <c r="A158">
        <v>157</v>
      </c>
      <c r="B158" s="9" t="s">
        <v>332</v>
      </c>
      <c r="C158" s="9" t="s">
        <v>333</v>
      </c>
      <c r="D158" s="9" t="s">
        <v>54</v>
      </c>
      <c r="E158" s="9" t="s">
        <v>55</v>
      </c>
      <c r="F158" s="9" t="s">
        <v>112</v>
      </c>
      <c r="G158" s="9" t="s">
        <v>113</v>
      </c>
      <c r="H158" s="9" t="s">
        <v>54</v>
      </c>
      <c r="I158" s="9" t="s">
        <v>1171</v>
      </c>
      <c r="J158" s="9" t="s">
        <v>1172</v>
      </c>
      <c r="K158" s="9" t="s">
        <v>1149</v>
      </c>
      <c r="L158" s="9" t="s">
        <v>50</v>
      </c>
      <c r="N158">
        <v>0</v>
      </c>
      <c r="O158">
        <v>2</v>
      </c>
      <c r="P158">
        <v>2.5</v>
      </c>
      <c r="Q158">
        <v>0</v>
      </c>
      <c r="R158">
        <v>56</v>
      </c>
      <c r="S158">
        <v>302.5</v>
      </c>
      <c r="T158">
        <v>59</v>
      </c>
      <c r="U158" s="9" t="s">
        <v>1207</v>
      </c>
      <c r="V158">
        <v>1</v>
      </c>
      <c r="W158">
        <v>0</v>
      </c>
      <c r="X158" s="9" t="s">
        <v>1210</v>
      </c>
    </row>
    <row r="159" spans="1:24" x14ac:dyDescent="0.35">
      <c r="A159">
        <v>158</v>
      </c>
      <c r="B159" s="9" t="s">
        <v>538</v>
      </c>
      <c r="C159" s="9" t="s">
        <v>539</v>
      </c>
      <c r="D159" s="9" t="s">
        <v>54</v>
      </c>
      <c r="E159" s="9" t="s">
        <v>55</v>
      </c>
      <c r="F159" s="9" t="s">
        <v>112</v>
      </c>
      <c r="G159" s="9" t="s">
        <v>113</v>
      </c>
      <c r="H159" s="9" t="s">
        <v>54</v>
      </c>
      <c r="I159" s="9" t="s">
        <v>1134</v>
      </c>
      <c r="J159" s="9" t="s">
        <v>1135</v>
      </c>
      <c r="K159" s="9" t="s">
        <v>1136</v>
      </c>
      <c r="L159" s="9" t="s">
        <v>50</v>
      </c>
      <c r="N159">
        <v>0</v>
      </c>
      <c r="O159">
        <v>2</v>
      </c>
      <c r="P159">
        <v>2.5</v>
      </c>
      <c r="Q159">
        <v>0</v>
      </c>
      <c r="R159">
        <v>218</v>
      </c>
      <c r="S159">
        <v>305</v>
      </c>
      <c r="T159">
        <v>59</v>
      </c>
      <c r="U159" s="9" t="s">
        <v>1207</v>
      </c>
      <c r="V159">
        <v>0</v>
      </c>
      <c r="W159">
        <v>0</v>
      </c>
      <c r="X159" s="9" t="s">
        <v>1209</v>
      </c>
    </row>
    <row r="160" spans="1:24" x14ac:dyDescent="0.35">
      <c r="A160">
        <v>159</v>
      </c>
      <c r="B160" s="9" t="s">
        <v>542</v>
      </c>
      <c r="C160" s="9" t="s">
        <v>543</v>
      </c>
      <c r="D160" s="9" t="s">
        <v>45</v>
      </c>
      <c r="E160" s="9" t="s">
        <v>55</v>
      </c>
      <c r="F160" s="9" t="s">
        <v>112</v>
      </c>
      <c r="G160" s="9" t="s">
        <v>113</v>
      </c>
      <c r="H160" s="9" t="s">
        <v>54</v>
      </c>
      <c r="I160" s="9" t="s">
        <v>1167</v>
      </c>
      <c r="J160" s="9" t="s">
        <v>1168</v>
      </c>
      <c r="K160" s="9" t="s">
        <v>1136</v>
      </c>
      <c r="L160" s="9" t="s">
        <v>50</v>
      </c>
      <c r="N160">
        <v>0</v>
      </c>
      <c r="O160">
        <v>1</v>
      </c>
      <c r="P160">
        <v>2.5</v>
      </c>
      <c r="Q160">
        <v>0</v>
      </c>
      <c r="R160">
        <v>180</v>
      </c>
      <c r="S160">
        <v>307.5</v>
      </c>
      <c r="T160">
        <v>59</v>
      </c>
      <c r="U160" s="9" t="s">
        <v>1207</v>
      </c>
      <c r="V160">
        <v>1</v>
      </c>
      <c r="W160">
        <v>0</v>
      </c>
      <c r="X160" s="9" t="s">
        <v>1210</v>
      </c>
    </row>
    <row r="161" spans="1:24" x14ac:dyDescent="0.35">
      <c r="A161">
        <v>160</v>
      </c>
      <c r="B161" s="9" t="s">
        <v>723</v>
      </c>
      <c r="C161" s="9" t="s">
        <v>724</v>
      </c>
      <c r="D161" s="9" t="s">
        <v>45</v>
      </c>
      <c r="E161" s="9" t="s">
        <v>55</v>
      </c>
      <c r="F161" s="9" t="s">
        <v>112</v>
      </c>
      <c r="G161" s="9" t="s">
        <v>113</v>
      </c>
      <c r="H161" s="9" t="s">
        <v>54</v>
      </c>
      <c r="I161" s="9" t="s">
        <v>1171</v>
      </c>
      <c r="J161" s="9" t="s">
        <v>1172</v>
      </c>
      <c r="K161" s="9" t="s">
        <v>1149</v>
      </c>
      <c r="L161" s="9" t="s">
        <v>50</v>
      </c>
      <c r="N161">
        <v>0</v>
      </c>
      <c r="O161">
        <v>2</v>
      </c>
      <c r="P161">
        <v>2.5</v>
      </c>
      <c r="Q161">
        <v>0</v>
      </c>
      <c r="R161">
        <v>242</v>
      </c>
      <c r="S161">
        <v>310</v>
      </c>
      <c r="T161">
        <v>59</v>
      </c>
      <c r="U161" s="9" t="s">
        <v>1207</v>
      </c>
      <c r="V161">
        <v>1</v>
      </c>
      <c r="W161">
        <v>0</v>
      </c>
      <c r="X161" s="9" t="s">
        <v>1210</v>
      </c>
    </row>
    <row r="162" spans="1:24" x14ac:dyDescent="0.35">
      <c r="A162">
        <v>161</v>
      </c>
      <c r="B162" s="9" t="s">
        <v>733</v>
      </c>
      <c r="C162" s="9" t="s">
        <v>734</v>
      </c>
      <c r="D162" s="9" t="s">
        <v>45</v>
      </c>
      <c r="E162" s="9" t="s">
        <v>55</v>
      </c>
      <c r="F162" s="9" t="s">
        <v>112</v>
      </c>
      <c r="G162" s="9" t="s">
        <v>113</v>
      </c>
      <c r="H162" s="9" t="s">
        <v>54</v>
      </c>
      <c r="I162" s="9" t="s">
        <v>1180</v>
      </c>
      <c r="J162" s="9" t="s">
        <v>1181</v>
      </c>
      <c r="K162" s="9" t="s">
        <v>1160</v>
      </c>
      <c r="L162" s="9" t="s">
        <v>50</v>
      </c>
      <c r="N162">
        <v>0</v>
      </c>
      <c r="O162">
        <v>2</v>
      </c>
      <c r="P162">
        <v>2.5</v>
      </c>
      <c r="Q162">
        <v>0</v>
      </c>
      <c r="R162">
        <v>274</v>
      </c>
      <c r="S162">
        <v>312.5</v>
      </c>
      <c r="T162">
        <v>59</v>
      </c>
      <c r="U162" s="9" t="s">
        <v>1207</v>
      </c>
      <c r="V162">
        <v>1</v>
      </c>
      <c r="W162">
        <v>0</v>
      </c>
      <c r="X162" s="9" t="s">
        <v>1210</v>
      </c>
    </row>
    <row r="163" spans="1:24" x14ac:dyDescent="0.35">
      <c r="A163">
        <v>162</v>
      </c>
      <c r="B163" s="9" t="s">
        <v>739</v>
      </c>
      <c r="C163" s="9" t="s">
        <v>740</v>
      </c>
      <c r="D163" s="9" t="s">
        <v>45</v>
      </c>
      <c r="E163" s="9" t="s">
        <v>55</v>
      </c>
      <c r="F163" s="9" t="s">
        <v>56</v>
      </c>
      <c r="G163" s="9" t="s">
        <v>57</v>
      </c>
      <c r="H163" s="9" t="s">
        <v>54</v>
      </c>
      <c r="I163" s="9" t="s">
        <v>1158</v>
      </c>
      <c r="J163" s="9" t="s">
        <v>1159</v>
      </c>
      <c r="K163" s="9" t="s">
        <v>1160</v>
      </c>
      <c r="L163" s="9" t="s">
        <v>50</v>
      </c>
      <c r="N163">
        <v>0</v>
      </c>
      <c r="O163">
        <v>2</v>
      </c>
      <c r="P163">
        <v>2.5</v>
      </c>
      <c r="Q163">
        <v>0</v>
      </c>
      <c r="R163">
        <v>348</v>
      </c>
      <c r="S163">
        <v>315</v>
      </c>
      <c r="T163">
        <v>59</v>
      </c>
      <c r="U163" s="9" t="s">
        <v>1207</v>
      </c>
      <c r="V163">
        <v>1</v>
      </c>
      <c r="W163">
        <v>0</v>
      </c>
      <c r="X163" s="9" t="s">
        <v>1210</v>
      </c>
    </row>
    <row r="164" spans="1:24" x14ac:dyDescent="0.35">
      <c r="A164">
        <v>163</v>
      </c>
      <c r="B164" s="9" t="s">
        <v>775</v>
      </c>
      <c r="C164" s="9" t="s">
        <v>776</v>
      </c>
      <c r="D164" s="9" t="s">
        <v>45</v>
      </c>
      <c r="E164" s="9" t="s">
        <v>55</v>
      </c>
      <c r="F164" s="9" t="s">
        <v>112</v>
      </c>
      <c r="G164" s="9" t="s">
        <v>113</v>
      </c>
      <c r="H164" s="9" t="s">
        <v>54</v>
      </c>
      <c r="I164" s="9" t="s">
        <v>1190</v>
      </c>
      <c r="J164" s="9" t="s">
        <v>1191</v>
      </c>
      <c r="K164" s="9" t="s">
        <v>1149</v>
      </c>
      <c r="L164" s="9" t="s">
        <v>50</v>
      </c>
      <c r="N164">
        <v>0</v>
      </c>
      <c r="O164">
        <v>3</v>
      </c>
      <c r="P164">
        <v>2.5</v>
      </c>
      <c r="Q164">
        <v>0</v>
      </c>
      <c r="R164">
        <v>518</v>
      </c>
      <c r="S164">
        <v>317.5</v>
      </c>
      <c r="T164">
        <v>59</v>
      </c>
      <c r="U164" s="9" t="s">
        <v>1207</v>
      </c>
      <c r="V164">
        <v>1</v>
      </c>
      <c r="W164">
        <v>0</v>
      </c>
      <c r="X164" s="9" t="s">
        <v>1210</v>
      </c>
    </row>
    <row r="165" spans="1:24" x14ac:dyDescent="0.35">
      <c r="A165">
        <v>164</v>
      </c>
      <c r="B165" s="9" t="s">
        <v>807</v>
      </c>
      <c r="C165" s="9" t="s">
        <v>808</v>
      </c>
      <c r="D165" s="9" t="s">
        <v>45</v>
      </c>
      <c r="E165" s="9" t="s">
        <v>55</v>
      </c>
      <c r="F165" s="9" t="s">
        <v>56</v>
      </c>
      <c r="G165" s="9" t="s">
        <v>57</v>
      </c>
      <c r="H165" s="9" t="s">
        <v>54</v>
      </c>
      <c r="I165" s="9" t="s">
        <v>1162</v>
      </c>
      <c r="J165" s="9" t="s">
        <v>1163</v>
      </c>
      <c r="K165" s="9" t="s">
        <v>1149</v>
      </c>
      <c r="L165" s="9" t="s">
        <v>50</v>
      </c>
      <c r="N165">
        <v>0</v>
      </c>
      <c r="O165">
        <v>1</v>
      </c>
      <c r="P165">
        <v>2.5</v>
      </c>
      <c r="Q165">
        <v>0</v>
      </c>
      <c r="R165">
        <v>113</v>
      </c>
      <c r="S165">
        <v>320</v>
      </c>
      <c r="T165">
        <v>59</v>
      </c>
      <c r="U165" s="9" t="s">
        <v>1207</v>
      </c>
      <c r="V165">
        <v>1</v>
      </c>
      <c r="W165">
        <v>0</v>
      </c>
      <c r="X165" s="9" t="s">
        <v>1210</v>
      </c>
    </row>
    <row r="166" spans="1:24" x14ac:dyDescent="0.35">
      <c r="A166">
        <v>165</v>
      </c>
      <c r="B166" s="9" t="s">
        <v>631</v>
      </c>
      <c r="C166" s="9" t="s">
        <v>632</v>
      </c>
      <c r="D166" s="9" t="s">
        <v>134</v>
      </c>
      <c r="E166" s="9" t="s">
        <v>55</v>
      </c>
      <c r="F166" s="9" t="s">
        <v>76</v>
      </c>
      <c r="G166" s="9" t="s">
        <v>77</v>
      </c>
      <c r="H166" s="9" t="s">
        <v>54</v>
      </c>
      <c r="I166" s="9" t="s">
        <v>1139</v>
      </c>
      <c r="J166" s="9" t="s">
        <v>1140</v>
      </c>
      <c r="K166" s="9" t="s">
        <v>1131</v>
      </c>
      <c r="L166" s="9" t="s">
        <v>135</v>
      </c>
      <c r="M166">
        <v>70</v>
      </c>
      <c r="N166">
        <v>2</v>
      </c>
      <c r="O166">
        <v>4</v>
      </c>
      <c r="P166">
        <v>0</v>
      </c>
      <c r="Q166">
        <v>8</v>
      </c>
      <c r="R166">
        <v>464</v>
      </c>
      <c r="S166">
        <v>320</v>
      </c>
      <c r="T166">
        <v>54</v>
      </c>
      <c r="U166" s="9" t="s">
        <v>1150</v>
      </c>
      <c r="V166">
        <v>0</v>
      </c>
      <c r="W166">
        <v>0</v>
      </c>
      <c r="X166" s="9" t="s">
        <v>1244</v>
      </c>
    </row>
    <row r="167" spans="1:24" x14ac:dyDescent="0.35">
      <c r="A167">
        <v>166</v>
      </c>
      <c r="B167" s="9" t="s">
        <v>530</v>
      </c>
      <c r="C167" s="9" t="s">
        <v>531</v>
      </c>
      <c r="D167" s="9" t="s">
        <v>61</v>
      </c>
      <c r="E167" s="9" t="s">
        <v>55</v>
      </c>
      <c r="F167" s="9" t="s">
        <v>69</v>
      </c>
      <c r="G167" s="9" t="s">
        <v>70</v>
      </c>
      <c r="H167" s="9" t="s">
        <v>49</v>
      </c>
      <c r="I167" s="9" t="s">
        <v>1196</v>
      </c>
      <c r="J167" s="9" t="s">
        <v>1197</v>
      </c>
      <c r="K167" s="9" t="s">
        <v>1136</v>
      </c>
      <c r="L167" s="9" t="s">
        <v>65</v>
      </c>
      <c r="N167">
        <v>0</v>
      </c>
      <c r="O167">
        <v>1</v>
      </c>
      <c r="P167">
        <v>0</v>
      </c>
      <c r="Q167">
        <v>0</v>
      </c>
      <c r="R167">
        <v>24</v>
      </c>
      <c r="S167">
        <v>320</v>
      </c>
      <c r="T167">
        <v>52</v>
      </c>
      <c r="U167" s="9" t="s">
        <v>1141</v>
      </c>
      <c r="V167">
        <v>1</v>
      </c>
      <c r="W167">
        <v>0</v>
      </c>
      <c r="X167" s="9" t="s">
        <v>1142</v>
      </c>
    </row>
    <row r="168" spans="1:24" x14ac:dyDescent="0.35">
      <c r="A168">
        <v>167</v>
      </c>
      <c r="B168" s="9" t="s">
        <v>999</v>
      </c>
      <c r="C168" s="9" t="s">
        <v>1000</v>
      </c>
      <c r="D168" s="9" t="s">
        <v>68</v>
      </c>
      <c r="E168" s="9" t="s">
        <v>55</v>
      </c>
      <c r="F168" s="9" t="s">
        <v>69</v>
      </c>
      <c r="G168" s="9" t="s">
        <v>70</v>
      </c>
      <c r="H168" s="9" t="s">
        <v>49</v>
      </c>
      <c r="I168" s="9" t="s">
        <v>1171</v>
      </c>
      <c r="J168" s="9" t="s">
        <v>1172</v>
      </c>
      <c r="K168" s="9" t="s">
        <v>1149</v>
      </c>
      <c r="L168" s="9" t="s">
        <v>65</v>
      </c>
      <c r="N168">
        <v>0</v>
      </c>
      <c r="O168">
        <v>1</v>
      </c>
      <c r="P168">
        <v>0</v>
      </c>
      <c r="Q168">
        <v>0</v>
      </c>
      <c r="R168">
        <v>194</v>
      </c>
      <c r="S168">
        <v>320</v>
      </c>
      <c r="T168">
        <v>52</v>
      </c>
      <c r="U168" s="9" t="s">
        <v>1141</v>
      </c>
      <c r="V168">
        <v>1</v>
      </c>
      <c r="W168">
        <v>0</v>
      </c>
      <c r="X168" s="9" t="s">
        <v>1142</v>
      </c>
    </row>
    <row r="169" spans="1:24" x14ac:dyDescent="0.35">
      <c r="A169">
        <v>168</v>
      </c>
      <c r="B169" s="9" t="s">
        <v>71</v>
      </c>
      <c r="C169" s="9" t="s">
        <v>72</v>
      </c>
      <c r="D169" s="9" t="s">
        <v>45</v>
      </c>
      <c r="E169" s="9" t="s">
        <v>55</v>
      </c>
      <c r="F169" s="9" t="s">
        <v>47</v>
      </c>
      <c r="G169" s="9" t="s">
        <v>48</v>
      </c>
      <c r="H169" s="9" t="s">
        <v>49</v>
      </c>
      <c r="I169" s="9" t="s">
        <v>1143</v>
      </c>
      <c r="J169" s="9" t="s">
        <v>1144</v>
      </c>
      <c r="K169" s="9" t="s">
        <v>1131</v>
      </c>
      <c r="L169" s="9" t="s">
        <v>50</v>
      </c>
      <c r="N169">
        <v>0</v>
      </c>
      <c r="O169">
        <v>1</v>
      </c>
      <c r="P169">
        <v>2.5</v>
      </c>
      <c r="Q169">
        <v>0</v>
      </c>
      <c r="R169">
        <v>184</v>
      </c>
      <c r="S169">
        <v>322.5</v>
      </c>
      <c r="T169">
        <v>52</v>
      </c>
      <c r="U169" s="9" t="s">
        <v>1141</v>
      </c>
      <c r="V169">
        <v>0</v>
      </c>
      <c r="W169">
        <v>0</v>
      </c>
      <c r="X169" s="9" t="s">
        <v>1142</v>
      </c>
    </row>
    <row r="170" spans="1:24" x14ac:dyDescent="0.35">
      <c r="A170">
        <v>169</v>
      </c>
      <c r="B170" s="9" t="s">
        <v>709</v>
      </c>
      <c r="C170" s="9" t="s">
        <v>710</v>
      </c>
      <c r="D170" s="9" t="s">
        <v>68</v>
      </c>
      <c r="E170" s="9" t="s">
        <v>55</v>
      </c>
      <c r="F170" s="9" t="s">
        <v>69</v>
      </c>
      <c r="G170" s="9" t="s">
        <v>70</v>
      </c>
      <c r="H170" s="9" t="s">
        <v>49</v>
      </c>
      <c r="I170" s="9" t="s">
        <v>1139</v>
      </c>
      <c r="J170" s="9" t="s">
        <v>1140</v>
      </c>
      <c r="K170" s="9" t="s">
        <v>1131</v>
      </c>
      <c r="L170" s="9" t="s">
        <v>65</v>
      </c>
      <c r="N170">
        <v>0</v>
      </c>
      <c r="O170">
        <v>1</v>
      </c>
      <c r="P170">
        <v>2.5</v>
      </c>
      <c r="Q170">
        <v>0</v>
      </c>
      <c r="R170">
        <v>69</v>
      </c>
      <c r="S170">
        <v>325</v>
      </c>
      <c r="T170">
        <v>52</v>
      </c>
      <c r="U170" s="9" t="s">
        <v>1141</v>
      </c>
      <c r="V170">
        <v>0</v>
      </c>
      <c r="W170">
        <v>0</v>
      </c>
      <c r="X170" s="9" t="s">
        <v>1142</v>
      </c>
    </row>
    <row r="171" spans="1:24" x14ac:dyDescent="0.35">
      <c r="A171">
        <v>170</v>
      </c>
      <c r="B171" s="9" t="s">
        <v>773</v>
      </c>
      <c r="C171" s="9" t="s">
        <v>774</v>
      </c>
      <c r="D171" s="9" t="s">
        <v>45</v>
      </c>
      <c r="E171" s="9" t="s">
        <v>55</v>
      </c>
      <c r="F171" s="9" t="s">
        <v>47</v>
      </c>
      <c r="G171" s="9" t="s">
        <v>48</v>
      </c>
      <c r="H171" s="9" t="s">
        <v>49</v>
      </c>
      <c r="I171" s="9" t="s">
        <v>1134</v>
      </c>
      <c r="J171" s="9" t="s">
        <v>1135</v>
      </c>
      <c r="K171" s="9" t="s">
        <v>1136</v>
      </c>
      <c r="L171" s="9" t="s">
        <v>50</v>
      </c>
      <c r="N171">
        <v>0</v>
      </c>
      <c r="O171">
        <v>1</v>
      </c>
      <c r="P171">
        <v>2.5</v>
      </c>
      <c r="Q171">
        <v>0</v>
      </c>
      <c r="R171">
        <v>15</v>
      </c>
      <c r="S171">
        <v>327.5</v>
      </c>
      <c r="T171">
        <v>52</v>
      </c>
      <c r="U171" s="9" t="s">
        <v>1141</v>
      </c>
      <c r="V171">
        <v>1</v>
      </c>
      <c r="W171">
        <v>0</v>
      </c>
      <c r="X171" s="9" t="s">
        <v>1142</v>
      </c>
    </row>
    <row r="172" spans="1:24" x14ac:dyDescent="0.35">
      <c r="A172">
        <v>171</v>
      </c>
      <c r="B172" s="9" t="s">
        <v>1043</v>
      </c>
      <c r="C172" s="9" t="s">
        <v>1044</v>
      </c>
      <c r="D172" s="9" t="s">
        <v>45</v>
      </c>
      <c r="E172" s="9" t="s">
        <v>62</v>
      </c>
      <c r="F172" s="9" t="s">
        <v>56</v>
      </c>
      <c r="G172" s="9" t="s">
        <v>57</v>
      </c>
      <c r="H172" s="9" t="s">
        <v>54</v>
      </c>
      <c r="I172" s="9" t="s">
        <v>1145</v>
      </c>
      <c r="J172" s="9" t="s">
        <v>1146</v>
      </c>
      <c r="K172" s="9" t="s">
        <v>1136</v>
      </c>
      <c r="L172" s="9" t="s">
        <v>50</v>
      </c>
      <c r="M172">
        <v>28</v>
      </c>
      <c r="N172">
        <v>29</v>
      </c>
      <c r="O172">
        <v>1</v>
      </c>
      <c r="P172">
        <v>2.5</v>
      </c>
      <c r="Q172">
        <v>0</v>
      </c>
      <c r="R172">
        <v>184</v>
      </c>
      <c r="S172">
        <v>330</v>
      </c>
      <c r="T172">
        <v>51</v>
      </c>
      <c r="U172" s="9" t="s">
        <v>1132</v>
      </c>
      <c r="V172">
        <v>0</v>
      </c>
      <c r="W172">
        <v>0</v>
      </c>
      <c r="X172" s="9" t="s">
        <v>1133</v>
      </c>
    </row>
    <row r="173" spans="1:24" x14ac:dyDescent="0.35">
      <c r="A173">
        <v>172</v>
      </c>
      <c r="B173" s="9" t="s">
        <v>645</v>
      </c>
      <c r="C173" s="9" t="s">
        <v>646</v>
      </c>
      <c r="D173" s="9" t="s">
        <v>61</v>
      </c>
      <c r="E173" s="9" t="s">
        <v>55</v>
      </c>
      <c r="F173" s="9" t="s">
        <v>63</v>
      </c>
      <c r="G173" s="9" t="s">
        <v>64</v>
      </c>
      <c r="H173" s="9" t="s">
        <v>49</v>
      </c>
      <c r="I173" s="9" t="s">
        <v>1152</v>
      </c>
      <c r="J173" s="9" t="s">
        <v>1153</v>
      </c>
      <c r="K173" s="9" t="s">
        <v>1131</v>
      </c>
      <c r="L173" s="9" t="s">
        <v>65</v>
      </c>
      <c r="M173">
        <v>33</v>
      </c>
      <c r="N173">
        <v>12</v>
      </c>
      <c r="O173">
        <v>1</v>
      </c>
      <c r="P173">
        <v>0</v>
      </c>
      <c r="Q173">
        <v>0</v>
      </c>
      <c r="R173">
        <v>170</v>
      </c>
      <c r="S173">
        <v>330</v>
      </c>
      <c r="T173">
        <v>50</v>
      </c>
      <c r="U173" s="9" t="s">
        <v>1150</v>
      </c>
      <c r="V173">
        <v>0</v>
      </c>
      <c r="W173">
        <v>0</v>
      </c>
      <c r="X173" s="9" t="s">
        <v>1245</v>
      </c>
    </row>
    <row r="174" spans="1:24" x14ac:dyDescent="0.35">
      <c r="A174">
        <v>173</v>
      </c>
      <c r="B174" s="9" t="s">
        <v>1073</v>
      </c>
      <c r="C174" s="9" t="s">
        <v>1074</v>
      </c>
      <c r="D174" s="9" t="s">
        <v>68</v>
      </c>
      <c r="E174" s="9" t="s">
        <v>62</v>
      </c>
      <c r="F174" s="9" t="s">
        <v>56</v>
      </c>
      <c r="G174" s="9" t="s">
        <v>57</v>
      </c>
      <c r="H174" s="9" t="s">
        <v>54</v>
      </c>
      <c r="I174" s="9" t="s">
        <v>1167</v>
      </c>
      <c r="J174" s="9" t="s">
        <v>1168</v>
      </c>
      <c r="K174" s="9" t="s">
        <v>1136</v>
      </c>
      <c r="L174" s="9" t="s">
        <v>65</v>
      </c>
      <c r="N174">
        <v>0</v>
      </c>
      <c r="O174">
        <v>1</v>
      </c>
      <c r="P174">
        <v>0</v>
      </c>
      <c r="Q174">
        <v>0</v>
      </c>
      <c r="R174">
        <v>47</v>
      </c>
      <c r="S174">
        <v>330</v>
      </c>
      <c r="T174">
        <v>49</v>
      </c>
      <c r="U174" s="9" t="s">
        <v>1141</v>
      </c>
      <c r="V174">
        <v>1</v>
      </c>
      <c r="W174">
        <v>0</v>
      </c>
      <c r="X174" s="9" t="s">
        <v>1142</v>
      </c>
    </row>
    <row r="175" spans="1:24" x14ac:dyDescent="0.35">
      <c r="A175">
        <v>174</v>
      </c>
      <c r="B175" s="9" t="s">
        <v>1071</v>
      </c>
      <c r="C175" s="9" t="s">
        <v>1072</v>
      </c>
      <c r="D175" s="9" t="s">
        <v>45</v>
      </c>
      <c r="E175" s="9" t="s">
        <v>62</v>
      </c>
      <c r="F175" s="9" t="s">
        <v>56</v>
      </c>
      <c r="G175" s="9" t="s">
        <v>57</v>
      </c>
      <c r="H175" s="9" t="s">
        <v>54</v>
      </c>
      <c r="I175" s="9" t="s">
        <v>1167</v>
      </c>
      <c r="J175" s="9" t="s">
        <v>1168</v>
      </c>
      <c r="K175" s="9" t="s">
        <v>1136</v>
      </c>
      <c r="L175" s="9" t="s">
        <v>50</v>
      </c>
      <c r="N175">
        <v>0</v>
      </c>
      <c r="O175">
        <v>1</v>
      </c>
      <c r="P175">
        <v>2.5</v>
      </c>
      <c r="Q175">
        <v>0</v>
      </c>
      <c r="R175">
        <v>150</v>
      </c>
      <c r="S175">
        <v>332.5</v>
      </c>
      <c r="T175">
        <v>49</v>
      </c>
      <c r="U175" s="9" t="s">
        <v>1141</v>
      </c>
      <c r="V175">
        <v>0</v>
      </c>
      <c r="W175">
        <v>0</v>
      </c>
      <c r="X175" s="9" t="s">
        <v>1142</v>
      </c>
    </row>
    <row r="176" spans="1:24" x14ac:dyDescent="0.35">
      <c r="A176">
        <v>175</v>
      </c>
      <c r="B176" s="9" t="s">
        <v>66</v>
      </c>
      <c r="C176" s="9" t="s">
        <v>67</v>
      </c>
      <c r="D176" s="9" t="s">
        <v>68</v>
      </c>
      <c r="E176" s="9" t="s">
        <v>55</v>
      </c>
      <c r="F176" s="9" t="s">
        <v>69</v>
      </c>
      <c r="G176" s="9" t="s">
        <v>70</v>
      </c>
      <c r="H176" s="9" t="s">
        <v>49</v>
      </c>
      <c r="I176" s="9" t="s">
        <v>1129</v>
      </c>
      <c r="J176" s="9" t="s">
        <v>1130</v>
      </c>
      <c r="K176" s="9" t="s">
        <v>1131</v>
      </c>
      <c r="L176" s="9" t="s">
        <v>65</v>
      </c>
      <c r="N176">
        <v>0</v>
      </c>
      <c r="O176">
        <v>1</v>
      </c>
      <c r="P176">
        <v>0</v>
      </c>
      <c r="Q176">
        <v>0</v>
      </c>
      <c r="R176">
        <v>64</v>
      </c>
      <c r="S176">
        <v>332.5</v>
      </c>
      <c r="T176">
        <v>48</v>
      </c>
      <c r="U176" s="9" t="s">
        <v>1207</v>
      </c>
      <c r="V176">
        <v>1</v>
      </c>
      <c r="W176">
        <v>0</v>
      </c>
      <c r="X176" s="9" t="s">
        <v>1208</v>
      </c>
    </row>
    <row r="177" spans="1:24" x14ac:dyDescent="0.35">
      <c r="A177">
        <v>176</v>
      </c>
      <c r="B177" s="9" t="s">
        <v>288</v>
      </c>
      <c r="C177" s="9" t="s">
        <v>289</v>
      </c>
      <c r="D177" s="9" t="s">
        <v>68</v>
      </c>
      <c r="E177" s="9" t="s">
        <v>55</v>
      </c>
      <c r="F177" s="9" t="s">
        <v>47</v>
      </c>
      <c r="G177" s="9" t="s">
        <v>48</v>
      </c>
      <c r="H177" s="9" t="s">
        <v>49</v>
      </c>
      <c r="I177" s="9" t="s">
        <v>1171</v>
      </c>
      <c r="J177" s="9" t="s">
        <v>1172</v>
      </c>
      <c r="K177" s="9" t="s">
        <v>1149</v>
      </c>
      <c r="L177" s="9" t="s">
        <v>65</v>
      </c>
      <c r="N177">
        <v>0</v>
      </c>
      <c r="O177">
        <v>1</v>
      </c>
      <c r="P177">
        <v>0</v>
      </c>
      <c r="Q177">
        <v>0</v>
      </c>
      <c r="R177">
        <v>130</v>
      </c>
      <c r="S177">
        <v>332.5</v>
      </c>
      <c r="T177">
        <v>48</v>
      </c>
      <c r="U177" s="9" t="s">
        <v>1207</v>
      </c>
      <c r="V177">
        <v>1</v>
      </c>
      <c r="W177">
        <v>0</v>
      </c>
      <c r="X177" s="9" t="s">
        <v>1208</v>
      </c>
    </row>
    <row r="178" spans="1:24" x14ac:dyDescent="0.35">
      <c r="A178">
        <v>177</v>
      </c>
      <c r="B178" s="9" t="s">
        <v>703</v>
      </c>
      <c r="C178" s="9" t="s">
        <v>704</v>
      </c>
      <c r="D178" s="9" t="s">
        <v>61</v>
      </c>
      <c r="E178" s="9" t="s">
        <v>55</v>
      </c>
      <c r="F178" s="9" t="s">
        <v>63</v>
      </c>
      <c r="G178" s="9" t="s">
        <v>64</v>
      </c>
      <c r="H178" s="9" t="s">
        <v>49</v>
      </c>
      <c r="I178" s="9" t="s">
        <v>1171</v>
      </c>
      <c r="J178" s="9" t="s">
        <v>1172</v>
      </c>
      <c r="K178" s="9" t="s">
        <v>1149</v>
      </c>
      <c r="L178" s="9" t="s">
        <v>65</v>
      </c>
      <c r="N178">
        <v>0</v>
      </c>
      <c r="O178">
        <v>3</v>
      </c>
      <c r="P178">
        <v>0</v>
      </c>
      <c r="Q178">
        <v>0</v>
      </c>
      <c r="R178">
        <v>429</v>
      </c>
      <c r="S178">
        <v>332.5</v>
      </c>
      <c r="T178">
        <v>48</v>
      </c>
      <c r="U178" s="9" t="s">
        <v>1207</v>
      </c>
      <c r="V178">
        <v>1</v>
      </c>
      <c r="W178">
        <v>0</v>
      </c>
      <c r="X178" s="9" t="s">
        <v>1208</v>
      </c>
    </row>
    <row r="179" spans="1:24" x14ac:dyDescent="0.35">
      <c r="A179">
        <v>178</v>
      </c>
      <c r="B179" s="9" t="s">
        <v>793</v>
      </c>
      <c r="C179" s="9" t="s">
        <v>794</v>
      </c>
      <c r="D179" s="9" t="s">
        <v>68</v>
      </c>
      <c r="E179" s="9" t="s">
        <v>55</v>
      </c>
      <c r="F179" s="9" t="s">
        <v>47</v>
      </c>
      <c r="G179" s="9" t="s">
        <v>48</v>
      </c>
      <c r="H179" s="9" t="s">
        <v>49</v>
      </c>
      <c r="I179" s="9" t="s">
        <v>1171</v>
      </c>
      <c r="J179" s="9" t="s">
        <v>1172</v>
      </c>
      <c r="K179" s="9" t="s">
        <v>1149</v>
      </c>
      <c r="L179" s="9" t="s">
        <v>65</v>
      </c>
      <c r="N179">
        <v>0</v>
      </c>
      <c r="O179">
        <v>1</v>
      </c>
      <c r="P179">
        <v>0</v>
      </c>
      <c r="Q179">
        <v>0</v>
      </c>
      <c r="R179">
        <v>140</v>
      </c>
      <c r="S179">
        <v>332.5</v>
      </c>
      <c r="T179">
        <v>48</v>
      </c>
      <c r="U179" s="9" t="s">
        <v>1207</v>
      </c>
      <c r="V179">
        <v>1</v>
      </c>
      <c r="W179">
        <v>0</v>
      </c>
      <c r="X179" s="9" t="s">
        <v>1208</v>
      </c>
    </row>
    <row r="180" spans="1:24" x14ac:dyDescent="0.35">
      <c r="A180">
        <v>179</v>
      </c>
      <c r="B180" s="9" t="s">
        <v>565</v>
      </c>
      <c r="C180" s="9" t="s">
        <v>566</v>
      </c>
      <c r="D180" s="9" t="s">
        <v>45</v>
      </c>
      <c r="E180" s="9" t="s">
        <v>55</v>
      </c>
      <c r="F180" s="9" t="s">
        <v>69</v>
      </c>
      <c r="G180" s="9" t="s">
        <v>70</v>
      </c>
      <c r="H180" s="9" t="s">
        <v>49</v>
      </c>
      <c r="I180" s="9" t="s">
        <v>1158</v>
      </c>
      <c r="J180" s="9" t="s">
        <v>1159</v>
      </c>
      <c r="K180" s="9" t="s">
        <v>1160</v>
      </c>
      <c r="L180" s="9" t="s">
        <v>50</v>
      </c>
      <c r="N180">
        <v>0</v>
      </c>
      <c r="O180">
        <v>1</v>
      </c>
      <c r="P180">
        <v>2.5</v>
      </c>
      <c r="Q180">
        <v>0</v>
      </c>
      <c r="R180">
        <v>126</v>
      </c>
      <c r="S180">
        <v>335</v>
      </c>
      <c r="T180">
        <v>48</v>
      </c>
      <c r="U180" s="9" t="s">
        <v>1207</v>
      </c>
      <c r="V180">
        <v>1</v>
      </c>
      <c r="W180">
        <v>0</v>
      </c>
      <c r="X180" s="9" t="s">
        <v>1210</v>
      </c>
    </row>
    <row r="181" spans="1:24" x14ac:dyDescent="0.35">
      <c r="A181">
        <v>180</v>
      </c>
      <c r="B181" s="9" t="s">
        <v>913</v>
      </c>
      <c r="C181" s="9" t="s">
        <v>914</v>
      </c>
      <c r="D181" s="9" t="s">
        <v>45</v>
      </c>
      <c r="E181" s="9" t="s">
        <v>55</v>
      </c>
      <c r="F181" s="9" t="s">
        <v>69</v>
      </c>
      <c r="G181" s="9" t="s">
        <v>70</v>
      </c>
      <c r="H181" s="9" t="s">
        <v>49</v>
      </c>
      <c r="I181" s="9" t="s">
        <v>1139</v>
      </c>
      <c r="J181" s="9" t="s">
        <v>1140</v>
      </c>
      <c r="K181" s="9" t="s">
        <v>1131</v>
      </c>
      <c r="L181" s="9" t="s">
        <v>50</v>
      </c>
      <c r="N181">
        <v>0</v>
      </c>
      <c r="O181">
        <v>1</v>
      </c>
      <c r="P181">
        <v>2.5</v>
      </c>
      <c r="Q181">
        <v>0</v>
      </c>
      <c r="R181">
        <v>49</v>
      </c>
      <c r="S181">
        <v>337.5</v>
      </c>
      <c r="T181">
        <v>48</v>
      </c>
      <c r="U181" s="9" t="s">
        <v>1207</v>
      </c>
      <c r="V181">
        <v>1</v>
      </c>
      <c r="W181">
        <v>0</v>
      </c>
      <c r="X181" s="9" t="s">
        <v>1210</v>
      </c>
    </row>
    <row r="182" spans="1:24" x14ac:dyDescent="0.35">
      <c r="A182">
        <v>181</v>
      </c>
      <c r="B182" s="9" t="s">
        <v>1101</v>
      </c>
      <c r="C182" s="9" t="s">
        <v>1102</v>
      </c>
      <c r="D182" s="9" t="s">
        <v>45</v>
      </c>
      <c r="E182" s="9" t="s">
        <v>55</v>
      </c>
      <c r="F182" s="9" t="s">
        <v>63</v>
      </c>
      <c r="G182" s="9" t="s">
        <v>64</v>
      </c>
      <c r="H182" s="9" t="s">
        <v>49</v>
      </c>
      <c r="I182" s="9" t="s">
        <v>1211</v>
      </c>
      <c r="J182" s="9" t="s">
        <v>1212</v>
      </c>
      <c r="K182" s="9" t="s">
        <v>1160</v>
      </c>
      <c r="L182" s="9" t="s">
        <v>50</v>
      </c>
      <c r="N182">
        <v>0</v>
      </c>
      <c r="O182">
        <v>3</v>
      </c>
      <c r="P182">
        <v>5</v>
      </c>
      <c r="Q182">
        <v>0</v>
      </c>
      <c r="R182">
        <v>479</v>
      </c>
      <c r="S182">
        <v>342.5</v>
      </c>
      <c r="T182">
        <v>48</v>
      </c>
      <c r="U182" s="9" t="s">
        <v>1207</v>
      </c>
      <c r="V182">
        <v>0</v>
      </c>
      <c r="W182">
        <v>0</v>
      </c>
      <c r="X182" s="9" t="s">
        <v>1209</v>
      </c>
    </row>
    <row r="183" spans="1:24" x14ac:dyDescent="0.35">
      <c r="A183">
        <v>182</v>
      </c>
      <c r="B183" s="9" t="s">
        <v>324</v>
      </c>
      <c r="C183" s="9" t="s">
        <v>325</v>
      </c>
      <c r="D183" s="9" t="s">
        <v>68</v>
      </c>
      <c r="E183" s="9" t="s">
        <v>62</v>
      </c>
      <c r="F183" s="9" t="s">
        <v>56</v>
      </c>
      <c r="G183" s="9" t="s">
        <v>57</v>
      </c>
      <c r="H183" s="9" t="s">
        <v>54</v>
      </c>
      <c r="I183" s="9" t="s">
        <v>1188</v>
      </c>
      <c r="J183" s="9" t="s">
        <v>1189</v>
      </c>
      <c r="K183" s="9" t="s">
        <v>1131</v>
      </c>
      <c r="L183" s="9" t="s">
        <v>65</v>
      </c>
      <c r="M183">
        <v>49</v>
      </c>
      <c r="N183">
        <v>22</v>
      </c>
      <c r="O183">
        <v>3</v>
      </c>
      <c r="P183">
        <v>0</v>
      </c>
      <c r="Q183">
        <v>0</v>
      </c>
      <c r="R183">
        <v>541</v>
      </c>
      <c r="S183">
        <v>342.5</v>
      </c>
      <c r="T183">
        <v>47</v>
      </c>
      <c r="U183" s="9" t="s">
        <v>1150</v>
      </c>
      <c r="V183">
        <v>0</v>
      </c>
      <c r="W183">
        <v>0</v>
      </c>
      <c r="X183" s="9" t="s">
        <v>1173</v>
      </c>
    </row>
    <row r="184" spans="1:24" x14ac:dyDescent="0.35">
      <c r="A184">
        <v>183</v>
      </c>
      <c r="B184" s="9" t="s">
        <v>340</v>
      </c>
      <c r="C184" s="9" t="s">
        <v>341</v>
      </c>
      <c r="D184" s="9" t="s">
        <v>61</v>
      </c>
      <c r="E184" s="9" t="s">
        <v>62</v>
      </c>
      <c r="F184" s="9" t="s">
        <v>112</v>
      </c>
      <c r="G184" s="9" t="s">
        <v>113</v>
      </c>
      <c r="H184" s="9" t="s">
        <v>54</v>
      </c>
      <c r="I184" s="9" t="s">
        <v>1129</v>
      </c>
      <c r="J184" s="9" t="s">
        <v>1130</v>
      </c>
      <c r="K184" s="9" t="s">
        <v>1131</v>
      </c>
      <c r="L184" s="9" t="s">
        <v>65</v>
      </c>
      <c r="M184">
        <v>65</v>
      </c>
      <c r="N184">
        <v>17</v>
      </c>
      <c r="O184">
        <v>4</v>
      </c>
      <c r="P184">
        <v>2.5</v>
      </c>
      <c r="Q184">
        <v>0</v>
      </c>
      <c r="R184">
        <v>458</v>
      </c>
      <c r="S184">
        <v>345</v>
      </c>
      <c r="T184">
        <v>47</v>
      </c>
      <c r="U184" s="9" t="s">
        <v>1150</v>
      </c>
      <c r="V184">
        <v>0</v>
      </c>
      <c r="W184">
        <v>0</v>
      </c>
      <c r="X184" s="9" t="s">
        <v>1246</v>
      </c>
    </row>
    <row r="185" spans="1:24" x14ac:dyDescent="0.35">
      <c r="A185">
        <v>184</v>
      </c>
      <c r="B185" s="9" t="s">
        <v>947</v>
      </c>
      <c r="C185" s="9" t="s">
        <v>948</v>
      </c>
      <c r="D185" s="9" t="s">
        <v>61</v>
      </c>
      <c r="E185" s="9" t="s">
        <v>62</v>
      </c>
      <c r="F185" s="9" t="s">
        <v>56</v>
      </c>
      <c r="G185" s="9" t="s">
        <v>57</v>
      </c>
      <c r="H185" s="9" t="s">
        <v>54</v>
      </c>
      <c r="I185" s="9" t="s">
        <v>1155</v>
      </c>
      <c r="J185" s="9" t="s">
        <v>1156</v>
      </c>
      <c r="K185" s="9" t="s">
        <v>1131</v>
      </c>
      <c r="L185" s="9" t="s">
        <v>65</v>
      </c>
      <c r="M185">
        <v>34</v>
      </c>
      <c r="N185">
        <v>28</v>
      </c>
      <c r="O185">
        <v>2</v>
      </c>
      <c r="P185">
        <v>2.5</v>
      </c>
      <c r="Q185">
        <v>0</v>
      </c>
      <c r="R185">
        <v>367</v>
      </c>
      <c r="S185">
        <v>347.5</v>
      </c>
      <c r="T185">
        <v>47</v>
      </c>
      <c r="U185" s="9" t="s">
        <v>1150</v>
      </c>
      <c r="V185">
        <v>0</v>
      </c>
      <c r="W185">
        <v>0</v>
      </c>
      <c r="X185" s="9" t="s">
        <v>1247</v>
      </c>
    </row>
    <row r="186" spans="1:24" x14ac:dyDescent="0.35">
      <c r="A186">
        <v>185</v>
      </c>
      <c r="B186" s="9" t="s">
        <v>308</v>
      </c>
      <c r="C186" s="9" t="s">
        <v>309</v>
      </c>
      <c r="D186" s="9" t="s">
        <v>45</v>
      </c>
      <c r="E186" s="9" t="s">
        <v>62</v>
      </c>
      <c r="F186" s="9" t="s">
        <v>112</v>
      </c>
      <c r="G186" s="9" t="s">
        <v>113</v>
      </c>
      <c r="H186" s="9" t="s">
        <v>54</v>
      </c>
      <c r="I186" s="9" t="s">
        <v>1152</v>
      </c>
      <c r="J186" s="9" t="s">
        <v>1153</v>
      </c>
      <c r="K186" s="9" t="s">
        <v>1131</v>
      </c>
      <c r="L186" s="9" t="s">
        <v>50</v>
      </c>
      <c r="M186">
        <v>63</v>
      </c>
      <c r="N186">
        <v>18</v>
      </c>
      <c r="O186">
        <v>2</v>
      </c>
      <c r="P186">
        <v>5</v>
      </c>
      <c r="Q186">
        <v>0</v>
      </c>
      <c r="R186">
        <v>131</v>
      </c>
      <c r="S186">
        <v>352.5</v>
      </c>
      <c r="T186">
        <v>47</v>
      </c>
      <c r="U186" s="9" t="s">
        <v>1150</v>
      </c>
      <c r="V186">
        <v>0</v>
      </c>
      <c r="W186">
        <v>0</v>
      </c>
      <c r="X186" s="9" t="s">
        <v>1199</v>
      </c>
    </row>
    <row r="187" spans="1:24" x14ac:dyDescent="0.35">
      <c r="A187">
        <v>186</v>
      </c>
      <c r="B187" s="9" t="s">
        <v>835</v>
      </c>
      <c r="C187" s="9" t="s">
        <v>836</v>
      </c>
      <c r="D187" s="9" t="s">
        <v>45</v>
      </c>
      <c r="E187" s="9" t="s">
        <v>62</v>
      </c>
      <c r="F187" s="9" t="s">
        <v>56</v>
      </c>
      <c r="G187" s="9" t="s">
        <v>57</v>
      </c>
      <c r="H187" s="9" t="s">
        <v>54</v>
      </c>
      <c r="I187" s="9" t="s">
        <v>1143</v>
      </c>
      <c r="J187" s="9" t="s">
        <v>1144</v>
      </c>
      <c r="K187" s="9" t="s">
        <v>1131</v>
      </c>
      <c r="L187" s="9" t="s">
        <v>50</v>
      </c>
      <c r="M187">
        <v>71</v>
      </c>
      <c r="N187">
        <v>12</v>
      </c>
      <c r="O187">
        <v>2</v>
      </c>
      <c r="P187">
        <v>5</v>
      </c>
      <c r="Q187">
        <v>0</v>
      </c>
      <c r="R187">
        <v>313</v>
      </c>
      <c r="S187">
        <v>357.5</v>
      </c>
      <c r="T187">
        <v>47</v>
      </c>
      <c r="U187" s="9" t="s">
        <v>1150</v>
      </c>
      <c r="V187">
        <v>0</v>
      </c>
      <c r="W187">
        <v>0</v>
      </c>
      <c r="X187" s="9" t="s">
        <v>1186</v>
      </c>
    </row>
    <row r="188" spans="1:24" x14ac:dyDescent="0.35">
      <c r="A188">
        <v>187</v>
      </c>
      <c r="B188" s="9" t="s">
        <v>200</v>
      </c>
      <c r="C188" s="9" t="s">
        <v>201</v>
      </c>
      <c r="D188" s="9" t="s">
        <v>61</v>
      </c>
      <c r="E188" s="9" t="s">
        <v>62</v>
      </c>
      <c r="F188" s="9" t="s">
        <v>112</v>
      </c>
      <c r="G188" s="9" t="s">
        <v>113</v>
      </c>
      <c r="H188" s="9" t="s">
        <v>54</v>
      </c>
      <c r="I188" s="9" t="s">
        <v>1196</v>
      </c>
      <c r="J188" s="9" t="s">
        <v>1197</v>
      </c>
      <c r="K188" s="9" t="s">
        <v>1136</v>
      </c>
      <c r="L188" s="9" t="s">
        <v>65</v>
      </c>
      <c r="N188">
        <v>0</v>
      </c>
      <c r="O188">
        <v>1</v>
      </c>
      <c r="P188">
        <v>0</v>
      </c>
      <c r="Q188">
        <v>0</v>
      </c>
      <c r="R188">
        <v>179</v>
      </c>
      <c r="S188">
        <v>357.5</v>
      </c>
      <c r="T188">
        <v>45</v>
      </c>
      <c r="U188" s="9" t="s">
        <v>1207</v>
      </c>
      <c r="V188">
        <v>1</v>
      </c>
      <c r="W188">
        <v>0</v>
      </c>
      <c r="X188" s="9" t="s">
        <v>1208</v>
      </c>
    </row>
    <row r="189" spans="1:24" x14ac:dyDescent="0.35">
      <c r="A189">
        <v>188</v>
      </c>
      <c r="B189" s="9" t="s">
        <v>136</v>
      </c>
      <c r="C189" s="9" t="s">
        <v>137</v>
      </c>
      <c r="D189" s="9" t="s">
        <v>45</v>
      </c>
      <c r="E189" s="9" t="s">
        <v>62</v>
      </c>
      <c r="F189" s="9" t="s">
        <v>56</v>
      </c>
      <c r="G189" s="9" t="s">
        <v>57</v>
      </c>
      <c r="H189" s="9" t="s">
        <v>54</v>
      </c>
      <c r="I189" s="9" t="s">
        <v>1180</v>
      </c>
      <c r="J189" s="9" t="s">
        <v>1181</v>
      </c>
      <c r="K189" s="9" t="s">
        <v>1160</v>
      </c>
      <c r="L189" s="9" t="s">
        <v>50</v>
      </c>
      <c r="N189">
        <v>0</v>
      </c>
      <c r="O189">
        <v>4</v>
      </c>
      <c r="P189">
        <v>2.5</v>
      </c>
      <c r="Q189">
        <v>0</v>
      </c>
      <c r="R189">
        <v>679</v>
      </c>
      <c r="S189">
        <v>360</v>
      </c>
      <c r="T189">
        <v>45</v>
      </c>
      <c r="U189" s="9" t="s">
        <v>1207</v>
      </c>
      <c r="V189">
        <v>1</v>
      </c>
      <c r="W189">
        <v>0</v>
      </c>
      <c r="X189" s="9" t="s">
        <v>1210</v>
      </c>
    </row>
    <row r="190" spans="1:24" x14ac:dyDescent="0.35">
      <c r="A190">
        <v>189</v>
      </c>
      <c r="B190" s="9" t="s">
        <v>188</v>
      </c>
      <c r="C190" s="9" t="s">
        <v>189</v>
      </c>
      <c r="D190" s="9" t="s">
        <v>45</v>
      </c>
      <c r="E190" s="9" t="s">
        <v>62</v>
      </c>
      <c r="F190" s="9" t="s">
        <v>112</v>
      </c>
      <c r="G190" s="9" t="s">
        <v>113</v>
      </c>
      <c r="H190" s="9" t="s">
        <v>54</v>
      </c>
      <c r="I190" s="9" t="s">
        <v>1152</v>
      </c>
      <c r="J190" s="9" t="s">
        <v>1153</v>
      </c>
      <c r="K190" s="9" t="s">
        <v>1131</v>
      </c>
      <c r="L190" s="9" t="s">
        <v>50</v>
      </c>
      <c r="N190">
        <v>0</v>
      </c>
      <c r="O190">
        <v>2</v>
      </c>
      <c r="P190">
        <v>2.5</v>
      </c>
      <c r="Q190">
        <v>0</v>
      </c>
      <c r="R190">
        <v>283</v>
      </c>
      <c r="S190">
        <v>362.5</v>
      </c>
      <c r="T190">
        <v>45</v>
      </c>
      <c r="U190" s="9" t="s">
        <v>1207</v>
      </c>
      <c r="V190">
        <v>1</v>
      </c>
      <c r="W190">
        <v>0</v>
      </c>
      <c r="X190" s="9" t="s">
        <v>1210</v>
      </c>
    </row>
    <row r="191" spans="1:24" x14ac:dyDescent="0.35">
      <c r="A191">
        <v>190</v>
      </c>
      <c r="B191" s="9" t="s">
        <v>284</v>
      </c>
      <c r="C191" s="9" t="s">
        <v>285</v>
      </c>
      <c r="D191" s="9" t="s">
        <v>45</v>
      </c>
      <c r="E191" s="9" t="s">
        <v>62</v>
      </c>
      <c r="F191" s="9" t="s">
        <v>76</v>
      </c>
      <c r="G191" s="9" t="s">
        <v>77</v>
      </c>
      <c r="H191" s="9" t="s">
        <v>54</v>
      </c>
      <c r="I191" s="9" t="s">
        <v>1139</v>
      </c>
      <c r="J191" s="9" t="s">
        <v>1140</v>
      </c>
      <c r="K191" s="9" t="s">
        <v>1131</v>
      </c>
      <c r="L191" s="9" t="s">
        <v>50</v>
      </c>
      <c r="N191">
        <v>0</v>
      </c>
      <c r="O191">
        <v>1</v>
      </c>
      <c r="P191">
        <v>2.5</v>
      </c>
      <c r="Q191">
        <v>0</v>
      </c>
      <c r="R191">
        <v>202</v>
      </c>
      <c r="S191">
        <v>365</v>
      </c>
      <c r="T191">
        <v>45</v>
      </c>
      <c r="U191" s="9" t="s">
        <v>1207</v>
      </c>
      <c r="V191">
        <v>1</v>
      </c>
      <c r="W191">
        <v>0</v>
      </c>
      <c r="X191" s="9" t="s">
        <v>1210</v>
      </c>
    </row>
    <row r="192" spans="1:24" x14ac:dyDescent="0.35">
      <c r="A192">
        <v>191</v>
      </c>
      <c r="B192" s="9" t="s">
        <v>619</v>
      </c>
      <c r="C192" s="9" t="s">
        <v>620</v>
      </c>
      <c r="D192" s="9" t="s">
        <v>45</v>
      </c>
      <c r="E192" s="9" t="s">
        <v>62</v>
      </c>
      <c r="F192" s="9" t="s">
        <v>56</v>
      </c>
      <c r="G192" s="9" t="s">
        <v>57</v>
      </c>
      <c r="H192" s="9" t="s">
        <v>54</v>
      </c>
      <c r="I192" s="9" t="s">
        <v>1152</v>
      </c>
      <c r="J192" s="9" t="s">
        <v>1153</v>
      </c>
      <c r="K192" s="9" t="s">
        <v>1131</v>
      </c>
      <c r="L192" s="9" t="s">
        <v>50</v>
      </c>
      <c r="N192">
        <v>0</v>
      </c>
      <c r="O192">
        <v>1</v>
      </c>
      <c r="P192">
        <v>2.5</v>
      </c>
      <c r="Q192">
        <v>0</v>
      </c>
      <c r="R192">
        <v>207</v>
      </c>
      <c r="S192">
        <v>367.5</v>
      </c>
      <c r="T192">
        <v>45</v>
      </c>
      <c r="U192" s="9" t="s">
        <v>1207</v>
      </c>
      <c r="V192">
        <v>1</v>
      </c>
      <c r="W192">
        <v>0</v>
      </c>
      <c r="X192" s="9" t="s">
        <v>1210</v>
      </c>
    </row>
    <row r="193" spans="1:24" x14ac:dyDescent="0.35">
      <c r="A193">
        <v>192</v>
      </c>
      <c r="B193" s="9" t="s">
        <v>771</v>
      </c>
      <c r="C193" s="9" t="s">
        <v>772</v>
      </c>
      <c r="D193" s="9" t="s">
        <v>45</v>
      </c>
      <c r="E193" s="9" t="s">
        <v>62</v>
      </c>
      <c r="F193" s="9" t="s">
        <v>56</v>
      </c>
      <c r="G193" s="9" t="s">
        <v>57</v>
      </c>
      <c r="H193" s="9" t="s">
        <v>54</v>
      </c>
      <c r="I193" s="9" t="s">
        <v>1183</v>
      </c>
      <c r="J193" s="9" t="s">
        <v>1184</v>
      </c>
      <c r="K193" s="9" t="s">
        <v>1160</v>
      </c>
      <c r="L193" s="9" t="s">
        <v>50</v>
      </c>
      <c r="N193">
        <v>0</v>
      </c>
      <c r="O193">
        <v>1</v>
      </c>
      <c r="P193">
        <v>2.5</v>
      </c>
      <c r="Q193">
        <v>0</v>
      </c>
      <c r="R193">
        <v>56</v>
      </c>
      <c r="S193">
        <v>370</v>
      </c>
      <c r="T193">
        <v>45</v>
      </c>
      <c r="U193" s="9" t="s">
        <v>1207</v>
      </c>
      <c r="V193">
        <v>1</v>
      </c>
      <c r="W193">
        <v>0</v>
      </c>
      <c r="X193" s="9" t="s">
        <v>1210</v>
      </c>
    </row>
    <row r="194" spans="1:24" x14ac:dyDescent="0.35">
      <c r="A194">
        <v>193</v>
      </c>
      <c r="B194" s="9" t="s">
        <v>384</v>
      </c>
      <c r="C194" s="9" t="s">
        <v>385</v>
      </c>
      <c r="D194" s="9" t="s">
        <v>68</v>
      </c>
      <c r="E194" s="9" t="s">
        <v>55</v>
      </c>
      <c r="F194" s="9" t="s">
        <v>63</v>
      </c>
      <c r="G194" s="9" t="s">
        <v>64</v>
      </c>
      <c r="H194" s="9" t="s">
        <v>49</v>
      </c>
      <c r="I194" s="9" t="s">
        <v>1171</v>
      </c>
      <c r="J194" s="9" t="s">
        <v>1172</v>
      </c>
      <c r="K194" s="9" t="s">
        <v>1149</v>
      </c>
      <c r="L194" s="9" t="s">
        <v>65</v>
      </c>
      <c r="M194">
        <v>63</v>
      </c>
      <c r="N194">
        <v>2</v>
      </c>
      <c r="O194">
        <v>2</v>
      </c>
      <c r="P194">
        <v>0</v>
      </c>
      <c r="Q194">
        <v>0</v>
      </c>
      <c r="R194">
        <v>437</v>
      </c>
      <c r="S194">
        <v>370</v>
      </c>
      <c r="T194">
        <v>43</v>
      </c>
      <c r="U194" s="9" t="s">
        <v>1150</v>
      </c>
      <c r="V194">
        <v>0</v>
      </c>
      <c r="W194">
        <v>0</v>
      </c>
      <c r="X194" s="9" t="s">
        <v>1248</v>
      </c>
    </row>
    <row r="195" spans="1:24" x14ac:dyDescent="0.35">
      <c r="A195">
        <v>194</v>
      </c>
      <c r="B195" s="9" t="s">
        <v>673</v>
      </c>
      <c r="C195" s="9" t="s">
        <v>674</v>
      </c>
      <c r="D195" s="9" t="s">
        <v>68</v>
      </c>
      <c r="E195" s="9" t="s">
        <v>55</v>
      </c>
      <c r="F195" s="9" t="s">
        <v>80</v>
      </c>
      <c r="G195" s="9" t="s">
        <v>81</v>
      </c>
      <c r="H195" s="9" t="s">
        <v>82</v>
      </c>
      <c r="I195" s="9" t="s">
        <v>1167</v>
      </c>
      <c r="J195" s="9" t="s">
        <v>1168</v>
      </c>
      <c r="K195" s="9" t="s">
        <v>1136</v>
      </c>
      <c r="L195" s="9" t="s">
        <v>65</v>
      </c>
      <c r="N195">
        <v>0</v>
      </c>
      <c r="O195">
        <v>1</v>
      </c>
      <c r="P195">
        <v>0</v>
      </c>
      <c r="Q195">
        <v>0</v>
      </c>
      <c r="R195">
        <v>80</v>
      </c>
      <c r="S195">
        <v>370</v>
      </c>
      <c r="T195">
        <v>43</v>
      </c>
      <c r="U195" s="9" t="s">
        <v>1141</v>
      </c>
      <c r="V195">
        <v>0</v>
      </c>
      <c r="W195">
        <v>0</v>
      </c>
      <c r="X195" s="9" t="s">
        <v>1142</v>
      </c>
    </row>
    <row r="196" spans="1:24" x14ac:dyDescent="0.35">
      <c r="A196">
        <v>195</v>
      </c>
      <c r="B196" s="9" t="s">
        <v>781</v>
      </c>
      <c r="C196" s="9" t="s">
        <v>782</v>
      </c>
      <c r="D196" s="9" t="s">
        <v>61</v>
      </c>
      <c r="E196" s="9" t="s">
        <v>55</v>
      </c>
      <c r="F196" s="9" t="s">
        <v>63</v>
      </c>
      <c r="G196" s="9" t="s">
        <v>64</v>
      </c>
      <c r="H196" s="9" t="s">
        <v>49</v>
      </c>
      <c r="I196" s="9" t="s">
        <v>1152</v>
      </c>
      <c r="J196" s="9" t="s">
        <v>1153</v>
      </c>
      <c r="K196" s="9" t="s">
        <v>1131</v>
      </c>
      <c r="L196" s="9" t="s">
        <v>65</v>
      </c>
      <c r="M196">
        <v>54</v>
      </c>
      <c r="N196">
        <v>5</v>
      </c>
      <c r="O196">
        <v>2</v>
      </c>
      <c r="P196">
        <v>0</v>
      </c>
      <c r="Q196">
        <v>0</v>
      </c>
      <c r="R196">
        <v>154</v>
      </c>
      <c r="S196">
        <v>370</v>
      </c>
      <c r="T196">
        <v>43</v>
      </c>
      <c r="U196" s="9" t="s">
        <v>1150</v>
      </c>
      <c r="V196">
        <v>0</v>
      </c>
      <c r="W196">
        <v>0</v>
      </c>
      <c r="X196" s="9" t="s">
        <v>1249</v>
      </c>
    </row>
    <row r="197" spans="1:24" x14ac:dyDescent="0.35">
      <c r="A197">
        <v>196</v>
      </c>
      <c r="B197" s="9" t="s">
        <v>945</v>
      </c>
      <c r="C197" s="9" t="s">
        <v>946</v>
      </c>
      <c r="D197" s="9" t="s">
        <v>68</v>
      </c>
      <c r="E197" s="9" t="s">
        <v>55</v>
      </c>
      <c r="F197" s="9" t="s">
        <v>69</v>
      </c>
      <c r="G197" s="9" t="s">
        <v>70</v>
      </c>
      <c r="H197" s="9" t="s">
        <v>49</v>
      </c>
      <c r="I197" s="9" t="s">
        <v>1158</v>
      </c>
      <c r="J197" s="9" t="s">
        <v>1159</v>
      </c>
      <c r="K197" s="9" t="s">
        <v>1160</v>
      </c>
      <c r="L197" s="9" t="s">
        <v>65</v>
      </c>
      <c r="M197">
        <v>32</v>
      </c>
      <c r="N197">
        <v>4</v>
      </c>
      <c r="O197">
        <v>2</v>
      </c>
      <c r="P197">
        <v>0</v>
      </c>
      <c r="Q197">
        <v>0</v>
      </c>
      <c r="R197">
        <v>206</v>
      </c>
      <c r="S197">
        <v>370</v>
      </c>
      <c r="T197">
        <v>43</v>
      </c>
      <c r="U197" s="9" t="s">
        <v>1150</v>
      </c>
      <c r="V197">
        <v>0</v>
      </c>
      <c r="W197">
        <v>0</v>
      </c>
      <c r="X197" s="9" t="s">
        <v>1250</v>
      </c>
    </row>
    <row r="198" spans="1:24" x14ac:dyDescent="0.35">
      <c r="A198">
        <v>197</v>
      </c>
      <c r="B198" s="9" t="s">
        <v>811</v>
      </c>
      <c r="C198" s="9" t="s">
        <v>812</v>
      </c>
      <c r="D198" s="9" t="s">
        <v>68</v>
      </c>
      <c r="E198" s="9" t="s">
        <v>55</v>
      </c>
      <c r="F198" s="9" t="s">
        <v>80</v>
      </c>
      <c r="G198" s="9" t="s">
        <v>81</v>
      </c>
      <c r="H198" s="9" t="s">
        <v>82</v>
      </c>
      <c r="I198" s="9" t="s">
        <v>1129</v>
      </c>
      <c r="J198" s="9" t="s">
        <v>1130</v>
      </c>
      <c r="K198" s="9" t="s">
        <v>1131</v>
      </c>
      <c r="L198" s="9" t="s">
        <v>65</v>
      </c>
      <c r="M198">
        <v>30</v>
      </c>
      <c r="N198">
        <v>11</v>
      </c>
      <c r="O198">
        <v>2</v>
      </c>
      <c r="P198">
        <v>2.5</v>
      </c>
      <c r="Q198">
        <v>0</v>
      </c>
      <c r="R198">
        <v>329</v>
      </c>
      <c r="S198">
        <v>372.5</v>
      </c>
      <c r="T198">
        <v>41</v>
      </c>
      <c r="U198" s="9" t="s">
        <v>1132</v>
      </c>
      <c r="V198">
        <v>0</v>
      </c>
      <c r="W198">
        <v>0</v>
      </c>
      <c r="X198" s="9" t="s">
        <v>1133</v>
      </c>
    </row>
    <row r="199" spans="1:24" x14ac:dyDescent="0.35">
      <c r="A199">
        <v>198</v>
      </c>
      <c r="B199" s="9" t="s">
        <v>649</v>
      </c>
      <c r="C199" s="9" t="s">
        <v>650</v>
      </c>
      <c r="D199" s="9" t="s">
        <v>68</v>
      </c>
      <c r="E199" s="9" t="s">
        <v>55</v>
      </c>
      <c r="F199" s="9" t="s">
        <v>80</v>
      </c>
      <c r="G199" s="9" t="s">
        <v>81</v>
      </c>
      <c r="H199" s="9" t="s">
        <v>82</v>
      </c>
      <c r="I199" s="9" t="s">
        <v>1193</v>
      </c>
      <c r="J199" s="9" t="s">
        <v>1194</v>
      </c>
      <c r="K199" s="9" t="s">
        <v>1149</v>
      </c>
      <c r="L199" s="9" t="s">
        <v>65</v>
      </c>
      <c r="N199">
        <v>0</v>
      </c>
      <c r="O199">
        <v>3</v>
      </c>
      <c r="P199">
        <v>0</v>
      </c>
      <c r="Q199">
        <v>0</v>
      </c>
      <c r="R199">
        <v>561</v>
      </c>
      <c r="S199">
        <v>372.5</v>
      </c>
      <c r="T199">
        <v>39</v>
      </c>
      <c r="U199" s="9" t="s">
        <v>1207</v>
      </c>
      <c r="V199">
        <v>1</v>
      </c>
      <c r="W199">
        <v>0</v>
      </c>
      <c r="X199" s="9" t="s">
        <v>1208</v>
      </c>
    </row>
    <row r="200" spans="1:24" x14ac:dyDescent="0.35">
      <c r="A200">
        <v>199</v>
      </c>
      <c r="B200" s="9" t="s">
        <v>719</v>
      </c>
      <c r="C200" s="9" t="s">
        <v>720</v>
      </c>
      <c r="D200" s="9" t="s">
        <v>68</v>
      </c>
      <c r="E200" s="9" t="s">
        <v>55</v>
      </c>
      <c r="F200" s="9" t="s">
        <v>93</v>
      </c>
      <c r="G200" s="9" t="s">
        <v>94</v>
      </c>
      <c r="H200" s="9" t="s">
        <v>82</v>
      </c>
      <c r="I200" s="9" t="s">
        <v>1183</v>
      </c>
      <c r="J200" s="9" t="s">
        <v>1184</v>
      </c>
      <c r="K200" s="9" t="s">
        <v>1160</v>
      </c>
      <c r="L200" s="9" t="s">
        <v>65</v>
      </c>
      <c r="N200">
        <v>0</v>
      </c>
      <c r="O200">
        <v>2</v>
      </c>
      <c r="P200">
        <v>0</v>
      </c>
      <c r="Q200">
        <v>0</v>
      </c>
      <c r="R200">
        <v>167</v>
      </c>
      <c r="S200">
        <v>372.5</v>
      </c>
      <c r="T200">
        <v>39</v>
      </c>
      <c r="U200" s="9" t="s">
        <v>1207</v>
      </c>
      <c r="V200">
        <v>1</v>
      </c>
      <c r="W200">
        <v>0</v>
      </c>
      <c r="X200" s="9" t="s">
        <v>1208</v>
      </c>
    </row>
    <row r="201" spans="1:24" x14ac:dyDescent="0.35">
      <c r="A201">
        <v>200</v>
      </c>
      <c r="B201" s="9" t="s">
        <v>1055</v>
      </c>
      <c r="C201" s="9" t="s">
        <v>1056</v>
      </c>
      <c r="D201" s="9" t="s">
        <v>68</v>
      </c>
      <c r="E201" s="9" t="s">
        <v>55</v>
      </c>
      <c r="F201" s="9" t="s">
        <v>93</v>
      </c>
      <c r="G201" s="9" t="s">
        <v>94</v>
      </c>
      <c r="H201" s="9" t="s">
        <v>82</v>
      </c>
      <c r="I201" s="9" t="s">
        <v>1143</v>
      </c>
      <c r="J201" s="9" t="s">
        <v>1144</v>
      </c>
      <c r="K201" s="9" t="s">
        <v>1131</v>
      </c>
      <c r="L201" s="9" t="s">
        <v>65</v>
      </c>
      <c r="N201">
        <v>0</v>
      </c>
      <c r="O201">
        <v>4</v>
      </c>
      <c r="P201">
        <v>0</v>
      </c>
      <c r="Q201">
        <v>0</v>
      </c>
      <c r="R201">
        <v>407</v>
      </c>
      <c r="S201">
        <v>372.5</v>
      </c>
      <c r="T201">
        <v>39</v>
      </c>
      <c r="U201" s="9" t="s">
        <v>1207</v>
      </c>
      <c r="V201">
        <v>1</v>
      </c>
      <c r="W201">
        <v>0</v>
      </c>
      <c r="X201" s="9" t="s">
        <v>1208</v>
      </c>
    </row>
    <row r="202" spans="1:24" x14ac:dyDescent="0.35">
      <c r="A202">
        <v>201</v>
      </c>
      <c r="B202" s="9" t="s">
        <v>1069</v>
      </c>
      <c r="C202" s="9" t="s">
        <v>1070</v>
      </c>
      <c r="D202" s="9" t="s">
        <v>68</v>
      </c>
      <c r="E202" s="9" t="s">
        <v>55</v>
      </c>
      <c r="F202" s="9" t="s">
        <v>80</v>
      </c>
      <c r="G202" s="9" t="s">
        <v>81</v>
      </c>
      <c r="H202" s="9" t="s">
        <v>82</v>
      </c>
      <c r="I202" s="9" t="s">
        <v>1143</v>
      </c>
      <c r="J202" s="9" t="s">
        <v>1144</v>
      </c>
      <c r="K202" s="9" t="s">
        <v>1131</v>
      </c>
      <c r="L202" s="9" t="s">
        <v>65</v>
      </c>
      <c r="N202">
        <v>0</v>
      </c>
      <c r="O202">
        <v>1</v>
      </c>
      <c r="P202">
        <v>0</v>
      </c>
      <c r="Q202">
        <v>0</v>
      </c>
      <c r="R202">
        <v>98</v>
      </c>
      <c r="S202">
        <v>372.5</v>
      </c>
      <c r="T202">
        <v>39</v>
      </c>
      <c r="U202" s="9" t="s">
        <v>1207</v>
      </c>
      <c r="V202">
        <v>1</v>
      </c>
      <c r="W202">
        <v>0</v>
      </c>
      <c r="X202" s="9" t="s">
        <v>1208</v>
      </c>
    </row>
    <row r="203" spans="1:24" x14ac:dyDescent="0.35">
      <c r="A203">
        <v>202</v>
      </c>
      <c r="B203" s="9" t="s">
        <v>78</v>
      </c>
      <c r="C203" s="9" t="s">
        <v>79</v>
      </c>
      <c r="D203" s="9" t="s">
        <v>45</v>
      </c>
      <c r="E203" s="9" t="s">
        <v>55</v>
      </c>
      <c r="F203" s="9" t="s">
        <v>80</v>
      </c>
      <c r="G203" s="9" t="s">
        <v>81</v>
      </c>
      <c r="H203" s="9" t="s">
        <v>82</v>
      </c>
      <c r="I203" s="9" t="s">
        <v>1183</v>
      </c>
      <c r="J203" s="9" t="s">
        <v>1184</v>
      </c>
      <c r="K203" s="9" t="s">
        <v>1160</v>
      </c>
      <c r="L203" s="9" t="s">
        <v>50</v>
      </c>
      <c r="N203">
        <v>0</v>
      </c>
      <c r="O203">
        <v>1</v>
      </c>
      <c r="P203">
        <v>2.5</v>
      </c>
      <c r="Q203">
        <v>0</v>
      </c>
      <c r="R203">
        <v>130</v>
      </c>
      <c r="S203">
        <v>375</v>
      </c>
      <c r="T203">
        <v>39</v>
      </c>
      <c r="U203" s="9" t="s">
        <v>1207</v>
      </c>
      <c r="V203">
        <v>1</v>
      </c>
      <c r="W203">
        <v>0</v>
      </c>
      <c r="X203" s="9" t="s">
        <v>1210</v>
      </c>
    </row>
    <row r="204" spans="1:24" x14ac:dyDescent="0.35">
      <c r="A204">
        <v>203</v>
      </c>
      <c r="B204" s="9" t="s">
        <v>302</v>
      </c>
      <c r="C204" s="9" t="s">
        <v>303</v>
      </c>
      <c r="D204" s="9" t="s">
        <v>45</v>
      </c>
      <c r="E204" s="9" t="s">
        <v>55</v>
      </c>
      <c r="F204" s="9" t="s">
        <v>80</v>
      </c>
      <c r="G204" s="9" t="s">
        <v>81</v>
      </c>
      <c r="H204" s="9" t="s">
        <v>82</v>
      </c>
      <c r="I204" s="9" t="s">
        <v>1176</v>
      </c>
      <c r="J204" s="9" t="s">
        <v>1177</v>
      </c>
      <c r="K204" s="9" t="s">
        <v>1160</v>
      </c>
      <c r="L204" s="9" t="s">
        <v>50</v>
      </c>
      <c r="N204">
        <v>0</v>
      </c>
      <c r="O204">
        <v>3</v>
      </c>
      <c r="P204">
        <v>2.5</v>
      </c>
      <c r="Q204">
        <v>0</v>
      </c>
      <c r="R204">
        <v>478</v>
      </c>
      <c r="S204">
        <v>377.5</v>
      </c>
      <c r="T204">
        <v>39</v>
      </c>
      <c r="U204" s="9" t="s">
        <v>1207</v>
      </c>
      <c r="V204">
        <v>1</v>
      </c>
      <c r="W204">
        <v>0</v>
      </c>
      <c r="X204" s="9" t="s">
        <v>1210</v>
      </c>
    </row>
    <row r="205" spans="1:24" x14ac:dyDescent="0.35">
      <c r="A205">
        <v>204</v>
      </c>
      <c r="B205" s="9" t="s">
        <v>478</v>
      </c>
      <c r="C205" s="9" t="s">
        <v>479</v>
      </c>
      <c r="D205" s="9" t="s">
        <v>45</v>
      </c>
      <c r="E205" s="9" t="s">
        <v>55</v>
      </c>
      <c r="F205" s="9" t="s">
        <v>93</v>
      </c>
      <c r="G205" s="9" t="s">
        <v>94</v>
      </c>
      <c r="H205" s="9" t="s">
        <v>82</v>
      </c>
      <c r="I205" s="9" t="s">
        <v>1196</v>
      </c>
      <c r="J205" s="9" t="s">
        <v>1197</v>
      </c>
      <c r="K205" s="9" t="s">
        <v>1136</v>
      </c>
      <c r="L205" s="9" t="s">
        <v>50</v>
      </c>
      <c r="N205">
        <v>0</v>
      </c>
      <c r="O205">
        <v>2</v>
      </c>
      <c r="P205">
        <v>2.5</v>
      </c>
      <c r="Q205">
        <v>0</v>
      </c>
      <c r="R205">
        <v>407</v>
      </c>
      <c r="S205">
        <v>380</v>
      </c>
      <c r="T205">
        <v>39</v>
      </c>
      <c r="U205" s="9" t="s">
        <v>1207</v>
      </c>
      <c r="V205">
        <v>1</v>
      </c>
      <c r="W205">
        <v>0</v>
      </c>
      <c r="X205" s="9" t="s">
        <v>1210</v>
      </c>
    </row>
    <row r="206" spans="1:24" x14ac:dyDescent="0.35">
      <c r="A206">
        <v>205</v>
      </c>
      <c r="B206" s="9" t="s">
        <v>935</v>
      </c>
      <c r="C206" s="9" t="s">
        <v>936</v>
      </c>
      <c r="D206" s="9" t="s">
        <v>45</v>
      </c>
      <c r="E206" s="9" t="s">
        <v>62</v>
      </c>
      <c r="F206" s="9" t="s">
        <v>69</v>
      </c>
      <c r="G206" s="9" t="s">
        <v>70</v>
      </c>
      <c r="H206" s="9" t="s">
        <v>49</v>
      </c>
      <c r="I206" s="9" t="s">
        <v>1183</v>
      </c>
      <c r="J206" s="9" t="s">
        <v>1184</v>
      </c>
      <c r="K206" s="9" t="s">
        <v>1160</v>
      </c>
      <c r="L206" s="9" t="s">
        <v>50</v>
      </c>
      <c r="N206">
        <v>0</v>
      </c>
      <c r="O206">
        <v>1</v>
      </c>
      <c r="P206">
        <v>2.5</v>
      </c>
      <c r="Q206">
        <v>0</v>
      </c>
      <c r="R206">
        <v>173</v>
      </c>
      <c r="S206">
        <v>382.5</v>
      </c>
      <c r="T206">
        <v>38</v>
      </c>
      <c r="U206" s="9" t="s">
        <v>1141</v>
      </c>
      <c r="V206">
        <v>0</v>
      </c>
      <c r="W206">
        <v>0</v>
      </c>
      <c r="X206" s="9" t="s">
        <v>1142</v>
      </c>
    </row>
    <row r="207" spans="1:24" x14ac:dyDescent="0.35">
      <c r="A207">
        <v>206</v>
      </c>
      <c r="B207" s="9" t="s">
        <v>260</v>
      </c>
      <c r="C207" s="9" t="s">
        <v>261</v>
      </c>
      <c r="D207" s="9" t="s">
        <v>68</v>
      </c>
      <c r="E207" s="9" t="s">
        <v>62</v>
      </c>
      <c r="F207" s="9" t="s">
        <v>47</v>
      </c>
      <c r="G207" s="9" t="s">
        <v>48</v>
      </c>
      <c r="H207" s="9" t="s">
        <v>49</v>
      </c>
      <c r="I207" s="9" t="s">
        <v>1145</v>
      </c>
      <c r="J207" s="9" t="s">
        <v>1146</v>
      </c>
      <c r="K207" s="9" t="s">
        <v>1136</v>
      </c>
      <c r="L207" s="9" t="s">
        <v>65</v>
      </c>
      <c r="N207">
        <v>0</v>
      </c>
      <c r="O207">
        <v>1</v>
      </c>
      <c r="P207">
        <v>0</v>
      </c>
      <c r="Q207">
        <v>0</v>
      </c>
      <c r="R207">
        <v>163</v>
      </c>
      <c r="S207">
        <v>382.5</v>
      </c>
      <c r="T207">
        <v>34</v>
      </c>
      <c r="U207" s="9" t="s">
        <v>1207</v>
      </c>
      <c r="V207">
        <v>1</v>
      </c>
      <c r="W207">
        <v>0</v>
      </c>
      <c r="X207" s="9" t="s">
        <v>1208</v>
      </c>
    </row>
    <row r="208" spans="1:24" x14ac:dyDescent="0.35">
      <c r="A208">
        <v>207</v>
      </c>
      <c r="B208" s="9" t="s">
        <v>366</v>
      </c>
      <c r="C208" s="9" t="s">
        <v>367</v>
      </c>
      <c r="D208" s="9" t="s">
        <v>68</v>
      </c>
      <c r="E208" s="9" t="s">
        <v>62</v>
      </c>
      <c r="F208" s="9" t="s">
        <v>69</v>
      </c>
      <c r="G208" s="9" t="s">
        <v>70</v>
      </c>
      <c r="H208" s="9" t="s">
        <v>49</v>
      </c>
      <c r="I208" s="9" t="s">
        <v>1152</v>
      </c>
      <c r="J208" s="9" t="s">
        <v>1153</v>
      </c>
      <c r="K208" s="9" t="s">
        <v>1131</v>
      </c>
      <c r="L208" s="9" t="s">
        <v>65</v>
      </c>
      <c r="N208">
        <v>0</v>
      </c>
      <c r="O208">
        <v>1</v>
      </c>
      <c r="P208">
        <v>0</v>
      </c>
      <c r="Q208">
        <v>0</v>
      </c>
      <c r="R208">
        <v>130</v>
      </c>
      <c r="S208">
        <v>382.5</v>
      </c>
      <c r="T208">
        <v>34</v>
      </c>
      <c r="U208" s="9" t="s">
        <v>1207</v>
      </c>
      <c r="V208">
        <v>1</v>
      </c>
      <c r="W208">
        <v>0</v>
      </c>
      <c r="X208" s="9" t="s">
        <v>1208</v>
      </c>
    </row>
    <row r="209" spans="1:24" x14ac:dyDescent="0.35">
      <c r="A209">
        <v>208</v>
      </c>
      <c r="B209" s="9" t="s">
        <v>671</v>
      </c>
      <c r="C209" s="9" t="s">
        <v>672</v>
      </c>
      <c r="D209" s="9" t="s">
        <v>68</v>
      </c>
      <c r="E209" s="9" t="s">
        <v>62</v>
      </c>
      <c r="F209" s="9" t="s">
        <v>69</v>
      </c>
      <c r="G209" s="9" t="s">
        <v>70</v>
      </c>
      <c r="H209" s="9" t="s">
        <v>49</v>
      </c>
      <c r="I209" s="9" t="s">
        <v>1190</v>
      </c>
      <c r="J209" s="9" t="s">
        <v>1191</v>
      </c>
      <c r="K209" s="9" t="s">
        <v>1149</v>
      </c>
      <c r="L209" s="9" t="s">
        <v>65</v>
      </c>
      <c r="N209">
        <v>0</v>
      </c>
      <c r="O209">
        <v>1</v>
      </c>
      <c r="P209">
        <v>0</v>
      </c>
      <c r="Q209">
        <v>0</v>
      </c>
      <c r="R209">
        <v>22</v>
      </c>
      <c r="S209">
        <v>382.5</v>
      </c>
      <c r="T209">
        <v>34</v>
      </c>
      <c r="U209" s="9" t="s">
        <v>1207</v>
      </c>
      <c r="V209">
        <v>1</v>
      </c>
      <c r="W209">
        <v>0</v>
      </c>
      <c r="X209" s="9" t="s">
        <v>1208</v>
      </c>
    </row>
    <row r="210" spans="1:24" x14ac:dyDescent="0.35">
      <c r="A210">
        <v>209</v>
      </c>
      <c r="B210" s="9" t="s">
        <v>170</v>
      </c>
      <c r="C210" s="9" t="s">
        <v>171</v>
      </c>
      <c r="D210" s="9" t="s">
        <v>45</v>
      </c>
      <c r="E210" s="9" t="s">
        <v>62</v>
      </c>
      <c r="F210" s="9" t="s">
        <v>47</v>
      </c>
      <c r="G210" s="9" t="s">
        <v>48</v>
      </c>
      <c r="H210" s="9" t="s">
        <v>49</v>
      </c>
      <c r="I210" s="9" t="s">
        <v>1162</v>
      </c>
      <c r="J210" s="9" t="s">
        <v>1163</v>
      </c>
      <c r="K210" s="9" t="s">
        <v>1149</v>
      </c>
      <c r="L210" s="9" t="s">
        <v>50</v>
      </c>
      <c r="N210">
        <v>0</v>
      </c>
      <c r="O210">
        <v>1</v>
      </c>
      <c r="P210">
        <v>2.5</v>
      </c>
      <c r="Q210">
        <v>0</v>
      </c>
      <c r="R210">
        <v>108</v>
      </c>
      <c r="S210">
        <v>385</v>
      </c>
      <c r="T210">
        <v>34</v>
      </c>
      <c r="U210" s="9" t="s">
        <v>1207</v>
      </c>
      <c r="V210">
        <v>1</v>
      </c>
      <c r="W210">
        <v>0</v>
      </c>
      <c r="X210" s="9" t="s">
        <v>1210</v>
      </c>
    </row>
    <row r="211" spans="1:24" x14ac:dyDescent="0.35">
      <c r="A211">
        <v>210</v>
      </c>
      <c r="B211" s="9" t="s">
        <v>204</v>
      </c>
      <c r="C211" s="9" t="s">
        <v>205</v>
      </c>
      <c r="D211" s="9" t="s">
        <v>45</v>
      </c>
      <c r="E211" s="9" t="s">
        <v>62</v>
      </c>
      <c r="F211" s="9" t="s">
        <v>69</v>
      </c>
      <c r="G211" s="9" t="s">
        <v>70</v>
      </c>
      <c r="H211" s="9" t="s">
        <v>49</v>
      </c>
      <c r="I211" s="9" t="s">
        <v>1188</v>
      </c>
      <c r="J211" s="9" t="s">
        <v>1189</v>
      </c>
      <c r="K211" s="9" t="s">
        <v>1131</v>
      </c>
      <c r="L211" s="9" t="s">
        <v>50</v>
      </c>
      <c r="N211">
        <v>0</v>
      </c>
      <c r="O211">
        <v>2</v>
      </c>
      <c r="P211">
        <v>2.5</v>
      </c>
      <c r="Q211">
        <v>0</v>
      </c>
      <c r="R211">
        <v>105</v>
      </c>
      <c r="S211">
        <v>387.5</v>
      </c>
      <c r="T211">
        <v>34</v>
      </c>
      <c r="U211" s="9" t="s">
        <v>1207</v>
      </c>
      <c r="V211">
        <v>1</v>
      </c>
      <c r="W211">
        <v>0</v>
      </c>
      <c r="X211" s="9" t="s">
        <v>1210</v>
      </c>
    </row>
    <row r="212" spans="1:24" x14ac:dyDescent="0.35">
      <c r="A212">
        <v>211</v>
      </c>
      <c r="B212" s="9" t="s">
        <v>368</v>
      </c>
      <c r="C212" s="9" t="s">
        <v>369</v>
      </c>
      <c r="D212" s="9" t="s">
        <v>45</v>
      </c>
      <c r="E212" s="9" t="s">
        <v>55</v>
      </c>
      <c r="F212" s="9" t="s">
        <v>93</v>
      </c>
      <c r="G212" s="9" t="s">
        <v>94</v>
      </c>
      <c r="H212" s="9" t="s">
        <v>82</v>
      </c>
      <c r="I212" s="9" t="s">
        <v>1183</v>
      </c>
      <c r="J212" s="9" t="s">
        <v>1184</v>
      </c>
      <c r="K212" s="9" t="s">
        <v>1160</v>
      </c>
      <c r="L212" s="9" t="s">
        <v>50</v>
      </c>
      <c r="M212">
        <v>58</v>
      </c>
      <c r="N212">
        <v>5</v>
      </c>
      <c r="O212">
        <v>2</v>
      </c>
      <c r="P212">
        <v>2.5</v>
      </c>
      <c r="Q212">
        <v>0</v>
      </c>
      <c r="R212">
        <v>305</v>
      </c>
      <c r="S212">
        <v>390</v>
      </c>
      <c r="T212">
        <v>34</v>
      </c>
      <c r="U212" s="9" t="s">
        <v>1150</v>
      </c>
      <c r="V212">
        <v>0</v>
      </c>
      <c r="W212">
        <v>0</v>
      </c>
      <c r="X212" s="9" t="s">
        <v>1251</v>
      </c>
    </row>
    <row r="213" spans="1:24" x14ac:dyDescent="0.35">
      <c r="A213">
        <v>212</v>
      </c>
      <c r="B213" s="9" t="s">
        <v>494</v>
      </c>
      <c r="C213" s="9" t="s">
        <v>495</v>
      </c>
      <c r="D213" s="9" t="s">
        <v>45</v>
      </c>
      <c r="E213" s="9" t="s">
        <v>62</v>
      </c>
      <c r="F213" s="9" t="s">
        <v>63</v>
      </c>
      <c r="G213" s="9" t="s">
        <v>64</v>
      </c>
      <c r="H213" s="9" t="s">
        <v>49</v>
      </c>
      <c r="I213" s="9" t="s">
        <v>1190</v>
      </c>
      <c r="J213" s="9" t="s">
        <v>1191</v>
      </c>
      <c r="K213" s="9" t="s">
        <v>1149</v>
      </c>
      <c r="L213" s="9" t="s">
        <v>50</v>
      </c>
      <c r="N213">
        <v>0</v>
      </c>
      <c r="O213">
        <v>2</v>
      </c>
      <c r="P213">
        <v>2.5</v>
      </c>
      <c r="Q213">
        <v>0</v>
      </c>
      <c r="R213">
        <v>173</v>
      </c>
      <c r="S213">
        <v>392.5</v>
      </c>
      <c r="T213">
        <v>34</v>
      </c>
      <c r="U213" s="9" t="s">
        <v>1207</v>
      </c>
      <c r="V213">
        <v>1</v>
      </c>
      <c r="W213">
        <v>0</v>
      </c>
      <c r="X213" s="9" t="s">
        <v>1210</v>
      </c>
    </row>
    <row r="214" spans="1:24" x14ac:dyDescent="0.35">
      <c r="A214">
        <v>213</v>
      </c>
      <c r="B214" s="9" t="s">
        <v>665</v>
      </c>
      <c r="C214" s="9" t="s">
        <v>666</v>
      </c>
      <c r="D214" s="9" t="s">
        <v>45</v>
      </c>
      <c r="E214" s="9" t="s">
        <v>62</v>
      </c>
      <c r="F214" s="9" t="s">
        <v>69</v>
      </c>
      <c r="G214" s="9" t="s">
        <v>70</v>
      </c>
      <c r="H214" s="9" t="s">
        <v>49</v>
      </c>
      <c r="I214" s="9" t="s">
        <v>1129</v>
      </c>
      <c r="J214" s="9" t="s">
        <v>1130</v>
      </c>
      <c r="K214" s="9" t="s">
        <v>1131</v>
      </c>
      <c r="L214" s="9" t="s">
        <v>50</v>
      </c>
      <c r="N214">
        <v>0</v>
      </c>
      <c r="O214">
        <v>3</v>
      </c>
      <c r="P214">
        <v>2.5</v>
      </c>
      <c r="Q214">
        <v>0</v>
      </c>
      <c r="R214">
        <v>330</v>
      </c>
      <c r="S214">
        <v>395</v>
      </c>
      <c r="T214">
        <v>34</v>
      </c>
      <c r="U214" s="9" t="s">
        <v>1207</v>
      </c>
      <c r="V214">
        <v>1</v>
      </c>
      <c r="W214">
        <v>0</v>
      </c>
      <c r="X214" s="9" t="s">
        <v>1210</v>
      </c>
    </row>
    <row r="215" spans="1:24" x14ac:dyDescent="0.35">
      <c r="A215">
        <v>214</v>
      </c>
      <c r="B215" s="9" t="s">
        <v>963</v>
      </c>
      <c r="C215" s="9" t="s">
        <v>964</v>
      </c>
      <c r="D215" s="9" t="s">
        <v>45</v>
      </c>
      <c r="E215" s="9" t="s">
        <v>62</v>
      </c>
      <c r="F215" s="9" t="s">
        <v>47</v>
      </c>
      <c r="G215" s="9" t="s">
        <v>48</v>
      </c>
      <c r="H215" s="9" t="s">
        <v>49</v>
      </c>
      <c r="I215" s="9" t="s">
        <v>1176</v>
      </c>
      <c r="J215" s="9" t="s">
        <v>1177</v>
      </c>
      <c r="K215" s="9" t="s">
        <v>1160</v>
      </c>
      <c r="L215" s="9" t="s">
        <v>50</v>
      </c>
      <c r="N215">
        <v>0</v>
      </c>
      <c r="O215">
        <v>1</v>
      </c>
      <c r="P215">
        <v>2.5</v>
      </c>
      <c r="Q215">
        <v>0</v>
      </c>
      <c r="R215">
        <v>174</v>
      </c>
      <c r="S215">
        <v>397.5</v>
      </c>
      <c r="T215">
        <v>34</v>
      </c>
      <c r="U215" s="9" t="s">
        <v>1207</v>
      </c>
      <c r="V215">
        <v>1</v>
      </c>
      <c r="W215">
        <v>0</v>
      </c>
      <c r="X215" s="9" t="s">
        <v>1210</v>
      </c>
    </row>
    <row r="216" spans="1:24" x14ac:dyDescent="0.35">
      <c r="A216">
        <v>215</v>
      </c>
      <c r="B216" s="9" t="s">
        <v>759</v>
      </c>
      <c r="C216" s="9" t="s">
        <v>760</v>
      </c>
      <c r="D216" s="9" t="s">
        <v>61</v>
      </c>
      <c r="E216" s="9" t="s">
        <v>55</v>
      </c>
      <c r="F216" s="9" t="s">
        <v>93</v>
      </c>
      <c r="G216" s="9" t="s">
        <v>94</v>
      </c>
      <c r="H216" s="9" t="s">
        <v>82</v>
      </c>
      <c r="I216" s="9" t="s">
        <v>1196</v>
      </c>
      <c r="J216" s="9" t="s">
        <v>1197</v>
      </c>
      <c r="K216" s="9" t="s">
        <v>1136</v>
      </c>
      <c r="L216" s="9" t="s">
        <v>65</v>
      </c>
      <c r="M216">
        <v>69</v>
      </c>
      <c r="N216">
        <v>2</v>
      </c>
      <c r="O216">
        <v>3</v>
      </c>
      <c r="P216">
        <v>5</v>
      </c>
      <c r="Q216">
        <v>0</v>
      </c>
      <c r="R216">
        <v>197</v>
      </c>
      <c r="S216">
        <v>402.5</v>
      </c>
      <c r="T216">
        <v>34</v>
      </c>
      <c r="U216" s="9" t="s">
        <v>1150</v>
      </c>
      <c r="V216">
        <v>0</v>
      </c>
      <c r="W216">
        <v>0</v>
      </c>
      <c r="X216" s="9" t="s">
        <v>1252</v>
      </c>
    </row>
    <row r="217" spans="1:24" x14ac:dyDescent="0.35">
      <c r="A217">
        <v>216</v>
      </c>
      <c r="B217" s="9" t="s">
        <v>282</v>
      </c>
      <c r="C217" s="9" t="s">
        <v>283</v>
      </c>
      <c r="D217" s="9" t="s">
        <v>45</v>
      </c>
      <c r="E217" s="9" t="s">
        <v>55</v>
      </c>
      <c r="F217" s="9" t="s">
        <v>80</v>
      </c>
      <c r="G217" s="9" t="s">
        <v>81</v>
      </c>
      <c r="H217" s="9" t="s">
        <v>82</v>
      </c>
      <c r="I217" s="9" t="s">
        <v>1137</v>
      </c>
      <c r="J217" s="9" t="s">
        <v>1138</v>
      </c>
      <c r="K217" s="9" t="s">
        <v>1136</v>
      </c>
      <c r="L217" s="9" t="s">
        <v>50</v>
      </c>
      <c r="M217">
        <v>69</v>
      </c>
      <c r="N217">
        <v>2</v>
      </c>
      <c r="O217">
        <v>3</v>
      </c>
      <c r="P217">
        <v>7.5</v>
      </c>
      <c r="Q217">
        <v>0</v>
      </c>
      <c r="R217">
        <v>457</v>
      </c>
      <c r="S217">
        <v>410</v>
      </c>
      <c r="T217">
        <v>34</v>
      </c>
      <c r="U217" s="9" t="s">
        <v>1150</v>
      </c>
      <c r="V217">
        <v>0</v>
      </c>
      <c r="W217">
        <v>0</v>
      </c>
      <c r="X217" s="9" t="s">
        <v>1252</v>
      </c>
    </row>
    <row r="218" spans="1:24" x14ac:dyDescent="0.35">
      <c r="A218">
        <v>217</v>
      </c>
      <c r="B218" s="9" t="s">
        <v>486</v>
      </c>
      <c r="C218" s="9" t="s">
        <v>487</v>
      </c>
      <c r="D218" s="9" t="s">
        <v>61</v>
      </c>
      <c r="E218" s="9" t="s">
        <v>62</v>
      </c>
      <c r="F218" s="9" t="s">
        <v>47</v>
      </c>
      <c r="G218" s="9" t="s">
        <v>48</v>
      </c>
      <c r="H218" s="9" t="s">
        <v>49</v>
      </c>
      <c r="I218" s="9" t="s">
        <v>1129</v>
      </c>
      <c r="J218" s="9" t="s">
        <v>1130</v>
      </c>
      <c r="K218" s="9" t="s">
        <v>1131</v>
      </c>
      <c r="L218" s="9" t="s">
        <v>65</v>
      </c>
      <c r="M218">
        <v>49</v>
      </c>
      <c r="N218">
        <v>6</v>
      </c>
      <c r="O218">
        <v>4</v>
      </c>
      <c r="P218">
        <v>5</v>
      </c>
      <c r="Q218">
        <v>0</v>
      </c>
      <c r="R218">
        <v>531</v>
      </c>
      <c r="S218">
        <v>415</v>
      </c>
      <c r="T218">
        <v>32</v>
      </c>
      <c r="U218" s="9" t="s">
        <v>1150</v>
      </c>
      <c r="V218">
        <v>0</v>
      </c>
      <c r="W218">
        <v>0</v>
      </c>
      <c r="X218" s="9" t="s">
        <v>1253</v>
      </c>
    </row>
    <row r="219" spans="1:24" x14ac:dyDescent="0.35">
      <c r="A219">
        <v>218</v>
      </c>
      <c r="B219" s="9" t="s">
        <v>296</v>
      </c>
      <c r="C219" s="9" t="s">
        <v>297</v>
      </c>
      <c r="D219" s="9" t="s">
        <v>68</v>
      </c>
      <c r="E219" s="9" t="s">
        <v>62</v>
      </c>
      <c r="F219" s="9" t="s">
        <v>63</v>
      </c>
      <c r="G219" s="9" t="s">
        <v>64</v>
      </c>
      <c r="H219" s="9" t="s">
        <v>49</v>
      </c>
      <c r="I219" s="9" t="s">
        <v>1167</v>
      </c>
      <c r="J219" s="9" t="s">
        <v>1168</v>
      </c>
      <c r="K219" s="9" t="s">
        <v>1136</v>
      </c>
      <c r="L219" s="9" t="s">
        <v>65</v>
      </c>
      <c r="M219">
        <v>67</v>
      </c>
      <c r="N219">
        <v>2</v>
      </c>
      <c r="O219">
        <v>4</v>
      </c>
      <c r="P219">
        <v>0</v>
      </c>
      <c r="Q219">
        <v>0</v>
      </c>
      <c r="R219">
        <v>347</v>
      </c>
      <c r="S219">
        <v>415</v>
      </c>
      <c r="T219">
        <v>29</v>
      </c>
      <c r="U219" s="9" t="s">
        <v>1150</v>
      </c>
      <c r="V219">
        <v>0</v>
      </c>
      <c r="W219">
        <v>0</v>
      </c>
      <c r="X219" s="9" t="s">
        <v>1254</v>
      </c>
    </row>
    <row r="220" spans="1:24" x14ac:dyDescent="0.35">
      <c r="A220">
        <v>219</v>
      </c>
      <c r="B220" s="9" t="s">
        <v>534</v>
      </c>
      <c r="C220" s="9" t="s">
        <v>535</v>
      </c>
      <c r="D220" s="9" t="s">
        <v>68</v>
      </c>
      <c r="E220" s="9" t="s">
        <v>62</v>
      </c>
      <c r="F220" s="9" t="s">
        <v>80</v>
      </c>
      <c r="G220" s="9" t="s">
        <v>81</v>
      </c>
      <c r="H220" s="9" t="s">
        <v>82</v>
      </c>
      <c r="I220" s="9" t="s">
        <v>1196</v>
      </c>
      <c r="J220" s="9" t="s">
        <v>1197</v>
      </c>
      <c r="K220" s="9" t="s">
        <v>1136</v>
      </c>
      <c r="L220" s="9" t="s">
        <v>65</v>
      </c>
      <c r="N220">
        <v>0</v>
      </c>
      <c r="O220">
        <v>1</v>
      </c>
      <c r="P220">
        <v>0</v>
      </c>
      <c r="Q220">
        <v>0</v>
      </c>
      <c r="R220">
        <v>40</v>
      </c>
      <c r="S220">
        <v>415</v>
      </c>
      <c r="T220">
        <v>29</v>
      </c>
      <c r="U220" s="9" t="s">
        <v>1141</v>
      </c>
      <c r="V220">
        <v>1</v>
      </c>
      <c r="W220">
        <v>0</v>
      </c>
      <c r="X220" s="9" t="s">
        <v>1142</v>
      </c>
    </row>
    <row r="221" spans="1:24" x14ac:dyDescent="0.35">
      <c r="A221">
        <v>220</v>
      </c>
      <c r="B221" s="9" t="s">
        <v>330</v>
      </c>
      <c r="C221" s="9" t="s">
        <v>331</v>
      </c>
      <c r="D221" s="9" t="s">
        <v>61</v>
      </c>
      <c r="E221" s="9" t="s">
        <v>62</v>
      </c>
      <c r="F221" s="9" t="s">
        <v>69</v>
      </c>
      <c r="G221" s="9" t="s">
        <v>70</v>
      </c>
      <c r="H221" s="9" t="s">
        <v>49</v>
      </c>
      <c r="I221" s="9" t="s">
        <v>1139</v>
      </c>
      <c r="J221" s="9" t="s">
        <v>1140</v>
      </c>
      <c r="K221" s="9" t="s">
        <v>1131</v>
      </c>
      <c r="L221" s="9" t="s">
        <v>65</v>
      </c>
      <c r="M221">
        <v>46</v>
      </c>
      <c r="N221">
        <v>2</v>
      </c>
      <c r="O221">
        <v>1</v>
      </c>
      <c r="P221">
        <v>2.5</v>
      </c>
      <c r="Q221">
        <v>0</v>
      </c>
      <c r="R221">
        <v>85</v>
      </c>
      <c r="S221">
        <v>417.5</v>
      </c>
      <c r="T221">
        <v>29</v>
      </c>
      <c r="U221" s="9" t="s">
        <v>1150</v>
      </c>
      <c r="V221">
        <v>0</v>
      </c>
      <c r="W221">
        <v>0</v>
      </c>
      <c r="X221" s="9" t="s">
        <v>1255</v>
      </c>
    </row>
    <row r="222" spans="1:24" x14ac:dyDescent="0.35">
      <c r="A222">
        <v>221</v>
      </c>
      <c r="B222" s="9" t="s">
        <v>426</v>
      </c>
      <c r="C222" s="9" t="s">
        <v>427</v>
      </c>
      <c r="D222" s="9" t="s">
        <v>45</v>
      </c>
      <c r="E222" s="9" t="s">
        <v>62</v>
      </c>
      <c r="F222" s="9" t="s">
        <v>69</v>
      </c>
      <c r="G222" s="9" t="s">
        <v>70</v>
      </c>
      <c r="H222" s="9" t="s">
        <v>49</v>
      </c>
      <c r="I222" s="9" t="s">
        <v>1162</v>
      </c>
      <c r="J222" s="9" t="s">
        <v>1163</v>
      </c>
      <c r="K222" s="9" t="s">
        <v>1149</v>
      </c>
      <c r="L222" s="9" t="s">
        <v>50</v>
      </c>
      <c r="M222">
        <v>48</v>
      </c>
      <c r="N222">
        <v>2</v>
      </c>
      <c r="O222">
        <v>2</v>
      </c>
      <c r="P222">
        <v>2.5</v>
      </c>
      <c r="Q222">
        <v>0</v>
      </c>
      <c r="R222">
        <v>66</v>
      </c>
      <c r="S222">
        <v>420</v>
      </c>
      <c r="T222">
        <v>29</v>
      </c>
      <c r="U222" s="9" t="s">
        <v>1150</v>
      </c>
      <c r="V222">
        <v>0</v>
      </c>
      <c r="W222">
        <v>0</v>
      </c>
      <c r="X222" s="9" t="s">
        <v>1256</v>
      </c>
    </row>
    <row r="223" spans="1:24" x14ac:dyDescent="0.35">
      <c r="A223">
        <v>222</v>
      </c>
      <c r="B223" s="9" t="s">
        <v>677</v>
      </c>
      <c r="C223" s="9" t="s">
        <v>678</v>
      </c>
      <c r="D223" s="9" t="s">
        <v>61</v>
      </c>
      <c r="E223" s="9" t="s">
        <v>62</v>
      </c>
      <c r="F223" s="9" t="s">
        <v>93</v>
      </c>
      <c r="G223" s="9" t="s">
        <v>94</v>
      </c>
      <c r="H223" s="9" t="s">
        <v>82</v>
      </c>
      <c r="I223" s="9" t="s">
        <v>1167</v>
      </c>
      <c r="J223" s="9" t="s">
        <v>1168</v>
      </c>
      <c r="K223" s="9" t="s">
        <v>1136</v>
      </c>
      <c r="L223" s="9" t="s">
        <v>65</v>
      </c>
      <c r="N223">
        <v>0</v>
      </c>
      <c r="O223">
        <v>4</v>
      </c>
      <c r="P223">
        <v>0</v>
      </c>
      <c r="Q223">
        <v>0</v>
      </c>
      <c r="R223">
        <v>707</v>
      </c>
      <c r="S223">
        <v>420</v>
      </c>
      <c r="T223">
        <v>25</v>
      </c>
      <c r="U223" s="9" t="s">
        <v>1207</v>
      </c>
      <c r="V223">
        <v>1</v>
      </c>
      <c r="W223">
        <v>0</v>
      </c>
      <c r="X223" s="9" t="s">
        <v>1208</v>
      </c>
    </row>
    <row r="224" spans="1:24" x14ac:dyDescent="0.35">
      <c r="A224">
        <v>223</v>
      </c>
      <c r="B224" s="9" t="s">
        <v>697</v>
      </c>
      <c r="C224" s="9" t="s">
        <v>698</v>
      </c>
      <c r="D224" s="9" t="s">
        <v>68</v>
      </c>
      <c r="E224" s="9" t="s">
        <v>62</v>
      </c>
      <c r="F224" s="9" t="s">
        <v>80</v>
      </c>
      <c r="G224" s="9" t="s">
        <v>81</v>
      </c>
      <c r="H224" s="9" t="s">
        <v>82</v>
      </c>
      <c r="I224" s="9" t="s">
        <v>1134</v>
      </c>
      <c r="J224" s="9" t="s">
        <v>1135</v>
      </c>
      <c r="K224" s="9" t="s">
        <v>1136</v>
      </c>
      <c r="L224" s="9" t="s">
        <v>65</v>
      </c>
      <c r="N224">
        <v>0</v>
      </c>
      <c r="O224">
        <v>3</v>
      </c>
      <c r="P224">
        <v>0</v>
      </c>
      <c r="Q224">
        <v>0</v>
      </c>
      <c r="R224">
        <v>403</v>
      </c>
      <c r="S224">
        <v>420</v>
      </c>
      <c r="T224">
        <v>25</v>
      </c>
      <c r="U224" s="9" t="s">
        <v>1207</v>
      </c>
      <c r="V224">
        <v>0</v>
      </c>
      <c r="W224">
        <v>0</v>
      </c>
      <c r="X224" s="9" t="s">
        <v>1243</v>
      </c>
    </row>
    <row r="225" spans="1:24" x14ac:dyDescent="0.35">
      <c r="A225">
        <v>224</v>
      </c>
      <c r="B225" s="9" t="s">
        <v>779</v>
      </c>
      <c r="C225" s="9" t="s">
        <v>780</v>
      </c>
      <c r="D225" s="9" t="s">
        <v>68</v>
      </c>
      <c r="E225" s="9" t="s">
        <v>62</v>
      </c>
      <c r="F225" s="9" t="s">
        <v>80</v>
      </c>
      <c r="G225" s="9" t="s">
        <v>81</v>
      </c>
      <c r="H225" s="9" t="s">
        <v>82</v>
      </c>
      <c r="I225" s="9" t="s">
        <v>1171</v>
      </c>
      <c r="J225" s="9" t="s">
        <v>1172</v>
      </c>
      <c r="K225" s="9" t="s">
        <v>1149</v>
      </c>
      <c r="L225" s="9" t="s">
        <v>65</v>
      </c>
      <c r="N225">
        <v>0</v>
      </c>
      <c r="O225">
        <v>2</v>
      </c>
      <c r="P225">
        <v>0</v>
      </c>
      <c r="Q225">
        <v>0</v>
      </c>
      <c r="R225">
        <v>249</v>
      </c>
      <c r="S225">
        <v>420</v>
      </c>
      <c r="T225">
        <v>25</v>
      </c>
      <c r="U225" s="9" t="s">
        <v>1207</v>
      </c>
      <c r="V225">
        <v>1</v>
      </c>
      <c r="W225">
        <v>0</v>
      </c>
      <c r="X225" s="9" t="s">
        <v>1208</v>
      </c>
    </row>
    <row r="226" spans="1:24" x14ac:dyDescent="0.35">
      <c r="A226">
        <v>225</v>
      </c>
      <c r="B226" s="9" t="s">
        <v>224</v>
      </c>
      <c r="C226" s="9" t="s">
        <v>225</v>
      </c>
      <c r="D226" s="9" t="s">
        <v>45</v>
      </c>
      <c r="E226" s="9" t="s">
        <v>62</v>
      </c>
      <c r="F226" s="9" t="s">
        <v>80</v>
      </c>
      <c r="G226" s="9" t="s">
        <v>81</v>
      </c>
      <c r="H226" s="9" t="s">
        <v>82</v>
      </c>
      <c r="I226" s="9" t="s">
        <v>1190</v>
      </c>
      <c r="J226" s="9" t="s">
        <v>1191</v>
      </c>
      <c r="K226" s="9" t="s">
        <v>1149</v>
      </c>
      <c r="L226" s="9" t="s">
        <v>50</v>
      </c>
      <c r="N226">
        <v>0</v>
      </c>
      <c r="O226">
        <v>1</v>
      </c>
      <c r="P226">
        <v>2.5</v>
      </c>
      <c r="Q226">
        <v>0</v>
      </c>
      <c r="R226">
        <v>207</v>
      </c>
      <c r="S226">
        <v>422.5</v>
      </c>
      <c r="T226">
        <v>25</v>
      </c>
      <c r="U226" s="9" t="s">
        <v>1207</v>
      </c>
      <c r="V226">
        <v>1</v>
      </c>
      <c r="W226">
        <v>0</v>
      </c>
      <c r="X226" s="9" t="s">
        <v>1210</v>
      </c>
    </row>
    <row r="227" spans="1:24" x14ac:dyDescent="0.35">
      <c r="A227">
        <v>226</v>
      </c>
      <c r="B227" s="9" t="s">
        <v>230</v>
      </c>
      <c r="C227" s="9" t="s">
        <v>231</v>
      </c>
      <c r="D227" s="9" t="s">
        <v>45</v>
      </c>
      <c r="E227" s="9" t="s">
        <v>62</v>
      </c>
      <c r="F227" s="9" t="s">
        <v>93</v>
      </c>
      <c r="G227" s="9" t="s">
        <v>94</v>
      </c>
      <c r="H227" s="9" t="s">
        <v>82</v>
      </c>
      <c r="I227" s="9" t="s">
        <v>1188</v>
      </c>
      <c r="J227" s="9" t="s">
        <v>1189</v>
      </c>
      <c r="K227" s="9" t="s">
        <v>1131</v>
      </c>
      <c r="L227" s="9" t="s">
        <v>50</v>
      </c>
      <c r="M227">
        <v>69</v>
      </c>
      <c r="N227">
        <v>2</v>
      </c>
      <c r="O227">
        <v>1</v>
      </c>
      <c r="P227">
        <v>2.5</v>
      </c>
      <c r="Q227">
        <v>0</v>
      </c>
      <c r="R227">
        <v>116</v>
      </c>
      <c r="S227">
        <v>425</v>
      </c>
      <c r="T227">
        <v>20</v>
      </c>
      <c r="U227" s="9" t="s">
        <v>1150</v>
      </c>
      <c r="V227">
        <v>0</v>
      </c>
      <c r="W227">
        <v>0</v>
      </c>
      <c r="X227" s="9" t="s">
        <v>1252</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67AF-FE80-4F84-AF9A-A4EFFB2EED3A}">
  <dimension ref="A1:R9"/>
  <sheetViews>
    <sheetView workbookViewId="0"/>
  </sheetViews>
  <sheetFormatPr defaultRowHeight="14.5" x14ac:dyDescent="0.35"/>
  <cols>
    <col min="1" max="1" width="16.81640625" bestFit="1" customWidth="1"/>
    <col min="2" max="2" width="24" bestFit="1" customWidth="1"/>
    <col min="3" max="3" width="11.36328125" bestFit="1" customWidth="1"/>
    <col min="4" max="4" width="16" bestFit="1" customWidth="1"/>
    <col min="5" max="5" width="14.90625" bestFit="1" customWidth="1"/>
    <col min="6" max="6" width="11" bestFit="1" customWidth="1"/>
    <col min="7" max="7" width="11.6328125" bestFit="1" customWidth="1"/>
    <col min="8" max="8" width="17.453125" bestFit="1" customWidth="1"/>
    <col min="9" max="9" width="13" bestFit="1" customWidth="1"/>
    <col min="10" max="10" width="12.81640625" bestFit="1" customWidth="1"/>
    <col min="11" max="11" width="13.7265625" bestFit="1" customWidth="1"/>
    <col min="12" max="12" width="12.6328125" bestFit="1" customWidth="1"/>
    <col min="13" max="13" width="14.54296875" bestFit="1" customWidth="1"/>
    <col min="14" max="14" width="15.90625" bestFit="1" customWidth="1"/>
    <col min="15" max="15" width="15" bestFit="1" customWidth="1"/>
    <col min="16" max="16" width="17.36328125" bestFit="1" customWidth="1"/>
    <col min="17" max="17" width="21.08984375" bestFit="1" customWidth="1"/>
    <col min="18" max="18" width="25.7265625" bestFit="1" customWidth="1"/>
  </cols>
  <sheetData>
    <row r="1" spans="1:18" s="3" customFormat="1" x14ac:dyDescent="0.35">
      <c r="A1" s="3" t="s">
        <v>22</v>
      </c>
      <c r="B1" s="3" t="s">
        <v>23</v>
      </c>
      <c r="C1" s="3" t="s">
        <v>24</v>
      </c>
      <c r="D1" s="3" t="s">
        <v>1257</v>
      </c>
      <c r="E1" s="3" t="s">
        <v>1258</v>
      </c>
      <c r="F1" s="3" t="s">
        <v>46</v>
      </c>
      <c r="G1" s="3" t="s">
        <v>1259</v>
      </c>
      <c r="H1" s="3" t="s">
        <v>1260</v>
      </c>
      <c r="I1" s="3" t="s">
        <v>1261</v>
      </c>
      <c r="J1" s="3" t="s">
        <v>1262</v>
      </c>
      <c r="K1" s="3" t="s">
        <v>37</v>
      </c>
      <c r="L1" s="3" t="s">
        <v>1263</v>
      </c>
      <c r="M1" s="3" t="s">
        <v>1264</v>
      </c>
      <c r="N1" s="3" t="s">
        <v>1265</v>
      </c>
      <c r="O1" s="3" t="s">
        <v>1266</v>
      </c>
      <c r="P1" s="3" t="s">
        <v>1267</v>
      </c>
      <c r="Q1" s="3" t="s">
        <v>1268</v>
      </c>
      <c r="R1" s="3" t="s">
        <v>1269</v>
      </c>
    </row>
    <row r="2" spans="1:18" x14ac:dyDescent="0.35">
      <c r="A2" s="9" t="s">
        <v>112</v>
      </c>
      <c r="B2" s="9" t="s">
        <v>113</v>
      </c>
      <c r="C2" s="9" t="s">
        <v>54</v>
      </c>
      <c r="D2">
        <v>1</v>
      </c>
      <c r="E2">
        <v>79</v>
      </c>
      <c r="F2">
        <v>47</v>
      </c>
      <c r="G2">
        <v>23</v>
      </c>
      <c r="H2">
        <v>11</v>
      </c>
      <c r="I2">
        <v>0</v>
      </c>
      <c r="J2">
        <v>22</v>
      </c>
      <c r="K2">
        <v>31</v>
      </c>
      <c r="L2">
        <v>3</v>
      </c>
      <c r="M2">
        <v>23.4</v>
      </c>
      <c r="N2">
        <v>45</v>
      </c>
      <c r="O2">
        <v>22292</v>
      </c>
      <c r="P2">
        <v>88</v>
      </c>
      <c r="Q2">
        <v>120</v>
      </c>
      <c r="R2">
        <v>120</v>
      </c>
    </row>
    <row r="3" spans="1:18" x14ac:dyDescent="0.35">
      <c r="A3" s="9" t="s">
        <v>56</v>
      </c>
      <c r="B3" s="9" t="s">
        <v>57</v>
      </c>
      <c r="C3" s="9" t="s">
        <v>54</v>
      </c>
      <c r="D3">
        <v>1</v>
      </c>
      <c r="E3">
        <v>93</v>
      </c>
      <c r="F3">
        <v>62</v>
      </c>
      <c r="G3">
        <v>29</v>
      </c>
      <c r="H3">
        <v>20</v>
      </c>
      <c r="I3">
        <v>6</v>
      </c>
      <c r="J3">
        <v>25</v>
      </c>
      <c r="K3">
        <v>30</v>
      </c>
      <c r="L3">
        <v>3</v>
      </c>
      <c r="M3">
        <v>32.26</v>
      </c>
      <c r="N3">
        <v>42</v>
      </c>
      <c r="O3">
        <v>21533</v>
      </c>
      <c r="P3">
        <v>88</v>
      </c>
      <c r="Q3">
        <v>132.5</v>
      </c>
      <c r="R3">
        <v>72</v>
      </c>
    </row>
    <row r="4" spans="1:18" x14ac:dyDescent="0.35">
      <c r="A4" s="9" t="s">
        <v>69</v>
      </c>
      <c r="B4" s="9" t="s">
        <v>70</v>
      </c>
      <c r="C4" s="9" t="s">
        <v>49</v>
      </c>
      <c r="D4">
        <v>1</v>
      </c>
      <c r="E4">
        <v>78</v>
      </c>
      <c r="F4">
        <v>37</v>
      </c>
      <c r="G4">
        <v>49</v>
      </c>
      <c r="H4">
        <v>22</v>
      </c>
      <c r="I4">
        <v>4</v>
      </c>
      <c r="J4">
        <v>20</v>
      </c>
      <c r="K4">
        <v>5</v>
      </c>
      <c r="L4">
        <v>0</v>
      </c>
      <c r="M4">
        <v>59.46</v>
      </c>
      <c r="N4">
        <v>15</v>
      </c>
      <c r="O4">
        <v>6939</v>
      </c>
      <c r="P4">
        <v>57</v>
      </c>
      <c r="Q4">
        <v>32.5</v>
      </c>
      <c r="R4">
        <v>40</v>
      </c>
    </row>
    <row r="5" spans="1:18" x14ac:dyDescent="0.35">
      <c r="A5" s="9" t="s">
        <v>47</v>
      </c>
      <c r="B5" s="9" t="s">
        <v>48</v>
      </c>
      <c r="C5" s="9" t="s">
        <v>49</v>
      </c>
      <c r="D5">
        <v>1</v>
      </c>
      <c r="E5">
        <v>73</v>
      </c>
      <c r="F5">
        <v>43</v>
      </c>
      <c r="G5">
        <v>48</v>
      </c>
      <c r="H5">
        <v>26</v>
      </c>
      <c r="I5">
        <v>5</v>
      </c>
      <c r="J5">
        <v>15</v>
      </c>
      <c r="K5">
        <v>5</v>
      </c>
      <c r="L5">
        <v>0</v>
      </c>
      <c r="M5">
        <v>60.47</v>
      </c>
      <c r="N5">
        <v>23</v>
      </c>
      <c r="O5">
        <v>13311</v>
      </c>
      <c r="P5">
        <v>66</v>
      </c>
      <c r="Q5">
        <v>52.5</v>
      </c>
      <c r="R5">
        <v>16</v>
      </c>
    </row>
    <row r="6" spans="1:18" x14ac:dyDescent="0.35">
      <c r="A6" s="9" t="s">
        <v>76</v>
      </c>
      <c r="B6" s="9" t="s">
        <v>77</v>
      </c>
      <c r="C6" s="9" t="s">
        <v>54</v>
      </c>
      <c r="D6">
        <v>1</v>
      </c>
      <c r="E6">
        <v>29</v>
      </c>
      <c r="F6">
        <v>19</v>
      </c>
      <c r="G6">
        <v>21</v>
      </c>
      <c r="H6">
        <v>13</v>
      </c>
      <c r="I6">
        <v>0</v>
      </c>
      <c r="J6">
        <v>4</v>
      </c>
      <c r="K6">
        <v>4</v>
      </c>
      <c r="L6">
        <v>0</v>
      </c>
      <c r="M6">
        <v>68.42</v>
      </c>
      <c r="N6">
        <v>15</v>
      </c>
      <c r="O6">
        <v>6568</v>
      </c>
      <c r="P6">
        <v>80</v>
      </c>
      <c r="Q6">
        <v>15</v>
      </c>
      <c r="R6">
        <v>16</v>
      </c>
    </row>
    <row r="7" spans="1:18" x14ac:dyDescent="0.35">
      <c r="A7" s="9" t="s">
        <v>80</v>
      </c>
      <c r="B7" s="9" t="s">
        <v>81</v>
      </c>
      <c r="C7" s="9" t="s">
        <v>82</v>
      </c>
      <c r="D7">
        <v>0</v>
      </c>
      <c r="E7">
        <v>61</v>
      </c>
      <c r="F7">
        <v>28</v>
      </c>
      <c r="G7">
        <v>42</v>
      </c>
      <c r="H7">
        <v>20</v>
      </c>
      <c r="I7">
        <v>2</v>
      </c>
      <c r="J7">
        <v>12</v>
      </c>
      <c r="K7">
        <v>4</v>
      </c>
      <c r="L7">
        <v>1</v>
      </c>
      <c r="M7">
        <v>71.430000000000007</v>
      </c>
      <c r="N7">
        <v>21</v>
      </c>
      <c r="O7">
        <v>9856</v>
      </c>
      <c r="P7">
        <v>87</v>
      </c>
      <c r="Q7">
        <v>25</v>
      </c>
      <c r="R7">
        <v>0</v>
      </c>
    </row>
    <row r="8" spans="1:18" x14ac:dyDescent="0.35">
      <c r="A8" s="9" t="s">
        <v>63</v>
      </c>
      <c r="B8" s="9" t="s">
        <v>64</v>
      </c>
      <c r="C8" s="9" t="s">
        <v>49</v>
      </c>
      <c r="D8">
        <v>1</v>
      </c>
      <c r="E8">
        <v>66</v>
      </c>
      <c r="F8">
        <v>33</v>
      </c>
      <c r="G8">
        <v>50</v>
      </c>
      <c r="H8">
        <v>24</v>
      </c>
      <c r="I8">
        <v>1</v>
      </c>
      <c r="J8">
        <v>10</v>
      </c>
      <c r="K8">
        <v>5</v>
      </c>
      <c r="L8">
        <v>0</v>
      </c>
      <c r="M8">
        <v>72.73</v>
      </c>
      <c r="N8">
        <v>17</v>
      </c>
      <c r="O8">
        <v>7583</v>
      </c>
      <c r="P8">
        <v>80</v>
      </c>
      <c r="Q8">
        <v>30</v>
      </c>
      <c r="R8">
        <v>8</v>
      </c>
    </row>
    <row r="9" spans="1:18" x14ac:dyDescent="0.35">
      <c r="A9" s="9" t="s">
        <v>93</v>
      </c>
      <c r="B9" s="9" t="s">
        <v>94</v>
      </c>
      <c r="C9" s="9" t="s">
        <v>82</v>
      </c>
      <c r="D9">
        <v>0</v>
      </c>
      <c r="E9">
        <v>40</v>
      </c>
      <c r="F9">
        <v>12</v>
      </c>
      <c r="G9">
        <v>31</v>
      </c>
      <c r="H9">
        <v>10</v>
      </c>
      <c r="I9">
        <v>0</v>
      </c>
      <c r="J9">
        <v>5</v>
      </c>
      <c r="K9">
        <v>4</v>
      </c>
      <c r="L9">
        <v>0</v>
      </c>
      <c r="M9">
        <v>83.33</v>
      </c>
      <c r="N9">
        <v>18</v>
      </c>
      <c r="O9">
        <v>7653</v>
      </c>
      <c r="P9">
        <v>80</v>
      </c>
      <c r="Q9">
        <v>17.5</v>
      </c>
      <c r="R9">
        <v>0</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59BF-0544-456F-8D13-FC2A0CA04866}">
  <dimension ref="A1:S2"/>
  <sheetViews>
    <sheetView workbookViewId="0"/>
  </sheetViews>
  <sheetFormatPr defaultRowHeight="14.5" x14ac:dyDescent="0.35"/>
  <cols>
    <col min="1" max="1" width="11.36328125" bestFit="1" customWidth="1"/>
    <col min="2" max="2" width="10.90625" bestFit="1" customWidth="1"/>
    <col min="3" max="3" width="14.90625" bestFit="1" customWidth="1"/>
    <col min="4" max="4" width="16.1796875" bestFit="1" customWidth="1"/>
    <col min="5" max="5" width="24" bestFit="1" customWidth="1"/>
    <col min="6" max="6" width="23.54296875" bestFit="1" customWidth="1"/>
    <col min="7" max="7" width="18.453125" bestFit="1" customWidth="1"/>
    <col min="8" max="8" width="20" bestFit="1" customWidth="1"/>
    <col min="9" max="9" width="21.26953125" bestFit="1" customWidth="1"/>
    <col min="10" max="10" width="18.1796875" bestFit="1" customWidth="1"/>
    <col min="11" max="11" width="18" bestFit="1" customWidth="1"/>
    <col min="12" max="12" width="12.453125" bestFit="1" customWidth="1"/>
    <col min="13" max="13" width="14.54296875" bestFit="1" customWidth="1"/>
    <col min="14" max="14" width="16.08984375" bestFit="1" customWidth="1"/>
    <col min="15" max="15" width="17.90625" bestFit="1" customWidth="1"/>
    <col min="16" max="16" width="17" bestFit="1" customWidth="1"/>
    <col min="17" max="17" width="19" bestFit="1" customWidth="1"/>
    <col min="18" max="18" width="21.08984375" bestFit="1" customWidth="1"/>
    <col min="19" max="19" width="25.7265625" bestFit="1" customWidth="1"/>
  </cols>
  <sheetData>
    <row r="1" spans="1:19" s="3" customFormat="1" x14ac:dyDescent="0.35">
      <c r="A1" s="3" t="s">
        <v>42</v>
      </c>
      <c r="B1" s="3" t="s">
        <v>1270</v>
      </c>
      <c r="C1" s="3" t="s">
        <v>1258</v>
      </c>
      <c r="D1" s="3" t="s">
        <v>1271</v>
      </c>
      <c r="E1" s="3" t="s">
        <v>1272</v>
      </c>
      <c r="F1" s="3" t="s">
        <v>1273</v>
      </c>
      <c r="G1" s="3" t="s">
        <v>1274</v>
      </c>
      <c r="H1" s="3" t="s">
        <v>1275</v>
      </c>
      <c r="I1" s="3" t="s">
        <v>1276</v>
      </c>
      <c r="J1" s="3" t="s">
        <v>1277</v>
      </c>
      <c r="K1" s="3" t="s">
        <v>1278</v>
      </c>
      <c r="L1" s="3" t="s">
        <v>1279</v>
      </c>
      <c r="M1" s="3" t="s">
        <v>1280</v>
      </c>
      <c r="N1" s="3" t="s">
        <v>1281</v>
      </c>
      <c r="O1" s="3" t="s">
        <v>1282</v>
      </c>
      <c r="P1" s="3" t="s">
        <v>1283</v>
      </c>
      <c r="Q1" s="3" t="s">
        <v>1284</v>
      </c>
      <c r="R1" s="3" t="s">
        <v>1268</v>
      </c>
      <c r="S1" s="3" t="s">
        <v>1269</v>
      </c>
    </row>
    <row r="2" spans="1:19" x14ac:dyDescent="0.35">
      <c r="A2">
        <v>88</v>
      </c>
      <c r="B2" s="10">
        <v>46295</v>
      </c>
      <c r="C2">
        <v>519</v>
      </c>
      <c r="D2">
        <v>281</v>
      </c>
      <c r="E2">
        <v>93.86</v>
      </c>
      <c r="F2">
        <v>96.53</v>
      </c>
      <c r="G2">
        <v>51.96</v>
      </c>
      <c r="H2">
        <v>24.48</v>
      </c>
      <c r="I2">
        <v>77.45</v>
      </c>
      <c r="J2">
        <v>18</v>
      </c>
      <c r="K2">
        <v>113</v>
      </c>
      <c r="L2">
        <v>95</v>
      </c>
      <c r="M2">
        <v>293</v>
      </c>
      <c r="N2">
        <v>3.39</v>
      </c>
      <c r="O2">
        <v>9</v>
      </c>
      <c r="P2">
        <v>57.78</v>
      </c>
      <c r="Q2">
        <v>466</v>
      </c>
      <c r="R2">
        <v>425</v>
      </c>
      <c r="S2">
        <v>272</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283-8964-40C9-875B-9B093F281325}">
  <dimension ref="A1:H14"/>
  <sheetViews>
    <sheetView workbookViewId="0"/>
  </sheetViews>
  <sheetFormatPr defaultRowHeight="14.5" x14ac:dyDescent="0.35"/>
  <cols>
    <col min="1" max="1" width="14.1796875" bestFit="1" customWidth="1"/>
    <col min="2" max="2" width="9.26953125" bestFit="1" customWidth="1"/>
    <col min="3" max="3" width="11.36328125" bestFit="1" customWidth="1"/>
    <col min="4" max="4" width="24" bestFit="1" customWidth="1"/>
    <col min="5" max="5" width="23.54296875" bestFit="1" customWidth="1"/>
    <col min="6" max="6" width="18.453125" bestFit="1" customWidth="1"/>
    <col min="7" max="7" width="20" bestFit="1" customWidth="1"/>
    <col min="8" max="8" width="25.08984375" bestFit="1" customWidth="1"/>
  </cols>
  <sheetData>
    <row r="1" spans="1:8" s="3" customFormat="1" x14ac:dyDescent="0.35">
      <c r="A1" s="3" t="s">
        <v>1285</v>
      </c>
      <c r="B1" s="3" t="s">
        <v>1286</v>
      </c>
      <c r="C1" s="3" t="s">
        <v>1287</v>
      </c>
      <c r="D1" s="3" t="s">
        <v>1272</v>
      </c>
      <c r="E1" s="3" t="s">
        <v>1273</v>
      </c>
      <c r="F1" s="3" t="s">
        <v>1274</v>
      </c>
      <c r="G1" s="3" t="s">
        <v>1275</v>
      </c>
      <c r="H1" s="3" t="s">
        <v>1288</v>
      </c>
    </row>
    <row r="2" spans="1:8" x14ac:dyDescent="0.35">
      <c r="A2">
        <v>40</v>
      </c>
      <c r="B2" s="9" t="s">
        <v>1289</v>
      </c>
      <c r="C2" s="10">
        <v>45936</v>
      </c>
      <c r="D2">
        <v>84.11</v>
      </c>
      <c r="E2">
        <v>27.17</v>
      </c>
      <c r="F2">
        <v>4.63</v>
      </c>
      <c r="G2">
        <v>69.89</v>
      </c>
      <c r="H2">
        <v>79.48</v>
      </c>
    </row>
    <row r="3" spans="1:8" x14ac:dyDescent="0.35">
      <c r="A3">
        <v>44</v>
      </c>
      <c r="B3" s="9" t="s">
        <v>1290</v>
      </c>
      <c r="C3" s="10">
        <v>45964</v>
      </c>
      <c r="D3">
        <v>87.32</v>
      </c>
      <c r="E3">
        <v>30.06</v>
      </c>
      <c r="F3">
        <v>2.85</v>
      </c>
      <c r="G3">
        <v>84.62</v>
      </c>
      <c r="H3">
        <v>84.47</v>
      </c>
    </row>
    <row r="4" spans="1:8" x14ac:dyDescent="0.35">
      <c r="A4">
        <v>48</v>
      </c>
      <c r="B4" s="9" t="s">
        <v>1291</v>
      </c>
      <c r="C4" s="10">
        <v>45992</v>
      </c>
      <c r="D4">
        <v>85.86</v>
      </c>
      <c r="E4">
        <v>33.72</v>
      </c>
      <c r="F4">
        <v>2.85</v>
      </c>
      <c r="G4">
        <v>78.38</v>
      </c>
      <c r="H4">
        <v>83.01</v>
      </c>
    </row>
    <row r="5" spans="1:8" x14ac:dyDescent="0.35">
      <c r="A5">
        <v>52</v>
      </c>
      <c r="B5" s="9" t="s">
        <v>1292</v>
      </c>
      <c r="C5" s="10">
        <v>46020</v>
      </c>
      <c r="D5">
        <v>86.64</v>
      </c>
      <c r="E5">
        <v>36.799999999999997</v>
      </c>
      <c r="F5">
        <v>6.05</v>
      </c>
      <c r="G5">
        <v>72.58</v>
      </c>
      <c r="H5">
        <v>80.59</v>
      </c>
    </row>
    <row r="6" spans="1:8" x14ac:dyDescent="0.35">
      <c r="A6">
        <v>56</v>
      </c>
      <c r="B6" s="9" t="s">
        <v>1293</v>
      </c>
      <c r="C6" s="10">
        <v>46048</v>
      </c>
      <c r="D6">
        <v>87.39</v>
      </c>
      <c r="E6">
        <v>39.69</v>
      </c>
      <c r="F6">
        <v>7.47</v>
      </c>
      <c r="G6">
        <v>72.06</v>
      </c>
      <c r="H6">
        <v>79.92</v>
      </c>
    </row>
    <row r="7" spans="1:8" x14ac:dyDescent="0.35">
      <c r="A7">
        <v>60</v>
      </c>
      <c r="B7" s="9" t="s">
        <v>1294</v>
      </c>
      <c r="C7" s="10">
        <v>46076</v>
      </c>
      <c r="D7">
        <v>87.45</v>
      </c>
      <c r="E7">
        <v>41.43</v>
      </c>
      <c r="F7">
        <v>1.78</v>
      </c>
      <c r="G7">
        <v>90.71</v>
      </c>
      <c r="H7">
        <v>85.67</v>
      </c>
    </row>
    <row r="8" spans="1:8" x14ac:dyDescent="0.35">
      <c r="A8">
        <v>64</v>
      </c>
      <c r="B8" s="9" t="s">
        <v>1295</v>
      </c>
      <c r="C8" s="10">
        <v>46104</v>
      </c>
      <c r="D8">
        <v>87.7</v>
      </c>
      <c r="E8">
        <v>43.74</v>
      </c>
      <c r="F8">
        <v>4.2699999999999996</v>
      </c>
      <c r="G8">
        <v>84.62</v>
      </c>
      <c r="H8">
        <v>83.43</v>
      </c>
    </row>
    <row r="9" spans="1:8" x14ac:dyDescent="0.35">
      <c r="A9">
        <v>68</v>
      </c>
      <c r="B9" s="9" t="s">
        <v>1296</v>
      </c>
      <c r="C9" s="10">
        <v>46132</v>
      </c>
      <c r="D9">
        <v>87.01</v>
      </c>
      <c r="E9">
        <v>46.05</v>
      </c>
      <c r="F9">
        <v>3.56</v>
      </c>
      <c r="G9">
        <v>86.83</v>
      </c>
      <c r="H9">
        <v>83.45</v>
      </c>
    </row>
    <row r="10" spans="1:8" x14ac:dyDescent="0.35">
      <c r="A10">
        <v>72</v>
      </c>
      <c r="B10" s="9" t="s">
        <v>1297</v>
      </c>
      <c r="C10" s="10">
        <v>46160</v>
      </c>
      <c r="D10">
        <v>87.98</v>
      </c>
      <c r="E10">
        <v>54.72</v>
      </c>
      <c r="F10">
        <v>4.63</v>
      </c>
      <c r="G10">
        <v>83.77</v>
      </c>
      <c r="H10">
        <v>83.35</v>
      </c>
    </row>
    <row r="11" spans="1:8" x14ac:dyDescent="0.35">
      <c r="A11">
        <v>76</v>
      </c>
      <c r="B11" s="9" t="s">
        <v>1298</v>
      </c>
      <c r="C11" s="10">
        <v>46188</v>
      </c>
      <c r="D11">
        <v>89.18</v>
      </c>
      <c r="E11">
        <v>71.680000000000007</v>
      </c>
      <c r="F11">
        <v>19.93</v>
      </c>
      <c r="G11">
        <v>53.17</v>
      </c>
      <c r="H11">
        <v>69.25</v>
      </c>
    </row>
    <row r="12" spans="1:8" x14ac:dyDescent="0.35">
      <c r="A12">
        <v>80</v>
      </c>
      <c r="B12" s="9" t="s">
        <v>1299</v>
      </c>
      <c r="C12" s="10">
        <v>46216</v>
      </c>
      <c r="D12">
        <v>90.01</v>
      </c>
      <c r="E12">
        <v>71.680000000000007</v>
      </c>
      <c r="F12">
        <v>10.68</v>
      </c>
      <c r="G12">
        <v>75.790000000000006</v>
      </c>
      <c r="H12">
        <v>79.33</v>
      </c>
    </row>
    <row r="13" spans="1:8" x14ac:dyDescent="0.35">
      <c r="A13">
        <v>84</v>
      </c>
      <c r="B13" s="9" t="s">
        <v>1300</v>
      </c>
      <c r="C13" s="10">
        <v>46244</v>
      </c>
      <c r="D13">
        <v>93.31</v>
      </c>
      <c r="E13">
        <v>84.39</v>
      </c>
      <c r="F13">
        <v>25.62</v>
      </c>
      <c r="G13">
        <v>51.32</v>
      </c>
      <c r="H13">
        <v>67.69</v>
      </c>
    </row>
    <row r="14" spans="1:8" x14ac:dyDescent="0.35">
      <c r="A14">
        <v>88</v>
      </c>
      <c r="B14" s="9" t="s">
        <v>1301</v>
      </c>
      <c r="C14" s="10">
        <v>46272</v>
      </c>
      <c r="D14">
        <v>93.86</v>
      </c>
      <c r="E14">
        <v>96.53</v>
      </c>
      <c r="F14">
        <v>51.96</v>
      </c>
      <c r="G14">
        <v>24.48</v>
      </c>
      <c r="H14">
        <v>41.9</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D62E-7765-4B8D-BF74-AF357D630D98}">
  <dimension ref="A1:V97"/>
  <sheetViews>
    <sheetView workbookViewId="0"/>
  </sheetViews>
  <sheetFormatPr defaultRowHeight="14.5" x14ac:dyDescent="0.35"/>
  <cols>
    <col min="1" max="1" width="9" bestFit="1" customWidth="1"/>
    <col min="2" max="2" width="11.08984375" bestFit="1" customWidth="1"/>
    <col min="3" max="3" width="80.7265625" bestFit="1" customWidth="1"/>
    <col min="4" max="4" width="16.81640625" bestFit="1" customWidth="1"/>
    <col min="5" max="5" width="24" bestFit="1" customWidth="1"/>
    <col min="6" max="6" width="11.36328125" bestFit="1" customWidth="1"/>
    <col min="7" max="7" width="10.26953125" bestFit="1" customWidth="1"/>
    <col min="8" max="8" width="15.36328125" bestFit="1" customWidth="1"/>
    <col min="9" max="9" width="15" bestFit="1" customWidth="1"/>
    <col min="10" max="10" width="12.7265625" bestFit="1" customWidth="1"/>
    <col min="11" max="11" width="10.36328125" bestFit="1" customWidth="1"/>
    <col min="12" max="12" width="12.81640625" bestFit="1" customWidth="1"/>
    <col min="13" max="13" width="12.1796875" bestFit="1" customWidth="1"/>
    <col min="14" max="14" width="9" bestFit="1" customWidth="1"/>
    <col min="15" max="15" width="15.54296875" bestFit="1" customWidth="1"/>
    <col min="16" max="16" width="15" bestFit="1" customWidth="1"/>
    <col min="17" max="17" width="12.54296875" bestFit="1" customWidth="1"/>
    <col min="18" max="18" width="9" bestFit="1" customWidth="1"/>
    <col min="19" max="19" width="11.54296875" bestFit="1" customWidth="1"/>
    <col min="20" max="20" width="14.1796875" bestFit="1" customWidth="1"/>
    <col min="21" max="21" width="10.1796875" bestFit="1" customWidth="1"/>
    <col min="22" max="22" width="64.81640625" bestFit="1" customWidth="1"/>
  </cols>
  <sheetData>
    <row r="1" spans="1:22" s="3" customFormat="1" x14ac:dyDescent="0.35">
      <c r="A1" s="3" t="s">
        <v>1302</v>
      </c>
      <c r="B1" s="3" t="s">
        <v>1303</v>
      </c>
      <c r="C1" s="3" t="s">
        <v>19</v>
      </c>
      <c r="D1" s="3" t="s">
        <v>22</v>
      </c>
      <c r="E1" s="3" t="s">
        <v>23</v>
      </c>
      <c r="F1" s="3" t="s">
        <v>24</v>
      </c>
      <c r="G1" s="3" t="s">
        <v>1116</v>
      </c>
      <c r="H1" s="3" t="s">
        <v>1117</v>
      </c>
      <c r="I1" s="3" t="s">
        <v>1118</v>
      </c>
      <c r="J1" s="3" t="s">
        <v>1304</v>
      </c>
      <c r="K1" s="3" t="s">
        <v>1305</v>
      </c>
      <c r="L1" s="3" t="s">
        <v>1306</v>
      </c>
      <c r="M1" s="3" t="s">
        <v>1307</v>
      </c>
      <c r="N1" s="3" t="s">
        <v>1308</v>
      </c>
      <c r="O1" s="3" t="s">
        <v>1309</v>
      </c>
      <c r="P1" s="3" t="s">
        <v>1310</v>
      </c>
      <c r="Q1" s="3" t="s">
        <v>1311</v>
      </c>
      <c r="R1" s="3" t="s">
        <v>1312</v>
      </c>
      <c r="S1" s="3" t="s">
        <v>1313</v>
      </c>
      <c r="T1" s="3" t="s">
        <v>1314</v>
      </c>
      <c r="U1" s="3" t="s">
        <v>1315</v>
      </c>
      <c r="V1" s="3" t="s">
        <v>1316</v>
      </c>
    </row>
    <row r="2" spans="1:22" x14ac:dyDescent="0.35">
      <c r="A2" s="9" t="s">
        <v>1317</v>
      </c>
      <c r="B2" s="9" t="s">
        <v>1318</v>
      </c>
      <c r="C2" s="9" t="s">
        <v>1319</v>
      </c>
      <c r="D2" s="9" t="s">
        <v>69</v>
      </c>
      <c r="E2" s="9" t="s">
        <v>70</v>
      </c>
      <c r="F2" s="9" t="s">
        <v>49</v>
      </c>
      <c r="G2" s="9" t="s">
        <v>1167</v>
      </c>
      <c r="H2" s="9" t="s">
        <v>1168</v>
      </c>
      <c r="I2" s="9" t="s">
        <v>1136</v>
      </c>
      <c r="J2" s="10">
        <v>45833</v>
      </c>
      <c r="K2" s="10">
        <v>46078</v>
      </c>
      <c r="L2" s="10">
        <v>45897</v>
      </c>
      <c r="M2">
        <v>5</v>
      </c>
      <c r="N2">
        <v>5</v>
      </c>
      <c r="O2">
        <v>25</v>
      </c>
      <c r="P2" s="9" t="s">
        <v>1320</v>
      </c>
      <c r="Q2" s="9" t="s">
        <v>1321</v>
      </c>
      <c r="R2">
        <v>0</v>
      </c>
      <c r="S2">
        <v>0</v>
      </c>
      <c r="T2">
        <v>0</v>
      </c>
      <c r="U2">
        <v>462</v>
      </c>
      <c r="V2" s="9" t="s">
        <v>1322</v>
      </c>
    </row>
    <row r="3" spans="1:22" x14ac:dyDescent="0.35">
      <c r="A3" s="9" t="s">
        <v>1323</v>
      </c>
      <c r="B3" s="9" t="s">
        <v>1318</v>
      </c>
      <c r="C3" s="9" t="s">
        <v>1324</v>
      </c>
      <c r="D3" s="9" t="s">
        <v>56</v>
      </c>
      <c r="E3" s="9" t="s">
        <v>57</v>
      </c>
      <c r="F3" s="9" t="s">
        <v>54</v>
      </c>
      <c r="G3" s="9" t="s">
        <v>1171</v>
      </c>
      <c r="H3" s="9" t="s">
        <v>1172</v>
      </c>
      <c r="I3" s="9" t="s">
        <v>1149</v>
      </c>
      <c r="J3" s="10">
        <v>46114</v>
      </c>
      <c r="K3" s="10">
        <v>46241</v>
      </c>
      <c r="L3" s="10"/>
      <c r="M3">
        <v>5</v>
      </c>
      <c r="N3">
        <v>5</v>
      </c>
      <c r="O3">
        <v>25</v>
      </c>
      <c r="P3" s="9" t="s">
        <v>1320</v>
      </c>
      <c r="Q3" s="9" t="s">
        <v>1325</v>
      </c>
      <c r="R3">
        <v>1</v>
      </c>
      <c r="S3">
        <v>1</v>
      </c>
      <c r="T3">
        <v>54</v>
      </c>
      <c r="U3">
        <v>181</v>
      </c>
      <c r="V3" s="9" t="s">
        <v>1326</v>
      </c>
    </row>
    <row r="4" spans="1:22" x14ac:dyDescent="0.35">
      <c r="A4" s="9" t="s">
        <v>1327</v>
      </c>
      <c r="B4" s="9" t="s">
        <v>1328</v>
      </c>
      <c r="C4" s="9" t="s">
        <v>1329</v>
      </c>
      <c r="D4" s="9" t="s">
        <v>56</v>
      </c>
      <c r="E4" s="9" t="s">
        <v>57</v>
      </c>
      <c r="F4" s="9" t="s">
        <v>54</v>
      </c>
      <c r="G4" s="9" t="s">
        <v>1180</v>
      </c>
      <c r="H4" s="9" t="s">
        <v>1181</v>
      </c>
      <c r="I4" s="9" t="s">
        <v>1160</v>
      </c>
      <c r="J4" s="10">
        <v>46007</v>
      </c>
      <c r="K4" s="10">
        <v>46056</v>
      </c>
      <c r="L4" s="10"/>
      <c r="M4">
        <v>5</v>
      </c>
      <c r="N4">
        <v>5</v>
      </c>
      <c r="O4">
        <v>25</v>
      </c>
      <c r="P4" s="9" t="s">
        <v>1320</v>
      </c>
      <c r="Q4" s="9" t="s">
        <v>1325</v>
      </c>
      <c r="R4">
        <v>1</v>
      </c>
      <c r="S4">
        <v>1</v>
      </c>
      <c r="T4">
        <v>239</v>
      </c>
      <c r="U4">
        <v>288</v>
      </c>
      <c r="V4" s="9" t="s">
        <v>1326</v>
      </c>
    </row>
    <row r="5" spans="1:22" x14ac:dyDescent="0.35">
      <c r="A5" s="9" t="s">
        <v>1330</v>
      </c>
      <c r="B5" s="9" t="s">
        <v>1318</v>
      </c>
      <c r="C5" s="9" t="s">
        <v>1331</v>
      </c>
      <c r="D5" s="9" t="s">
        <v>47</v>
      </c>
      <c r="E5" s="9" t="s">
        <v>48</v>
      </c>
      <c r="F5" s="9" t="s">
        <v>49</v>
      </c>
      <c r="G5" s="9" t="s">
        <v>1137</v>
      </c>
      <c r="H5" s="9" t="s">
        <v>1138</v>
      </c>
      <c r="I5" s="9" t="s">
        <v>1136</v>
      </c>
      <c r="J5" s="10">
        <v>46103</v>
      </c>
      <c r="K5" s="10">
        <v>46193</v>
      </c>
      <c r="L5" s="10"/>
      <c r="M5">
        <v>5</v>
      </c>
      <c r="N5">
        <v>5</v>
      </c>
      <c r="O5">
        <v>25</v>
      </c>
      <c r="P5" s="9" t="s">
        <v>1320</v>
      </c>
      <c r="Q5" s="9" t="s">
        <v>1325</v>
      </c>
      <c r="R5">
        <v>1</v>
      </c>
      <c r="S5">
        <v>1</v>
      </c>
      <c r="T5">
        <v>102</v>
      </c>
      <c r="U5">
        <v>192</v>
      </c>
      <c r="V5" s="9" t="s">
        <v>1326</v>
      </c>
    </row>
    <row r="6" spans="1:22" x14ac:dyDescent="0.35">
      <c r="A6" s="9" t="s">
        <v>1332</v>
      </c>
      <c r="B6" s="9" t="s">
        <v>1333</v>
      </c>
      <c r="C6" s="9" t="s">
        <v>1334</v>
      </c>
      <c r="D6" s="9" t="s">
        <v>69</v>
      </c>
      <c r="E6" s="9" t="s">
        <v>70</v>
      </c>
      <c r="F6" s="9" t="s">
        <v>49</v>
      </c>
      <c r="G6" s="9" t="s">
        <v>1147</v>
      </c>
      <c r="H6" s="9" t="s">
        <v>1148</v>
      </c>
      <c r="I6" s="9" t="s">
        <v>1149</v>
      </c>
      <c r="J6" s="10">
        <v>45750</v>
      </c>
      <c r="K6" s="10">
        <v>46034</v>
      </c>
      <c r="L6" s="10">
        <v>45825</v>
      </c>
      <c r="M6">
        <v>5</v>
      </c>
      <c r="N6">
        <v>5</v>
      </c>
      <c r="O6">
        <v>25</v>
      </c>
      <c r="P6" s="9" t="s">
        <v>1320</v>
      </c>
      <c r="Q6" s="9" t="s">
        <v>1321</v>
      </c>
      <c r="R6">
        <v>0</v>
      </c>
      <c r="S6">
        <v>0</v>
      </c>
      <c r="T6">
        <v>0</v>
      </c>
      <c r="U6">
        <v>545</v>
      </c>
      <c r="V6" s="9" t="s">
        <v>1322</v>
      </c>
    </row>
    <row r="7" spans="1:22" x14ac:dyDescent="0.35">
      <c r="A7" s="9" t="s">
        <v>1335</v>
      </c>
      <c r="B7" s="9" t="s">
        <v>1328</v>
      </c>
      <c r="C7" s="9" t="s">
        <v>1336</v>
      </c>
      <c r="D7" s="9" t="s">
        <v>69</v>
      </c>
      <c r="E7" s="9" t="s">
        <v>70</v>
      </c>
      <c r="F7" s="9" t="s">
        <v>49</v>
      </c>
      <c r="G7" s="9" t="s">
        <v>1143</v>
      </c>
      <c r="H7" s="9" t="s">
        <v>1144</v>
      </c>
      <c r="I7" s="9" t="s">
        <v>1131</v>
      </c>
      <c r="J7" s="10">
        <v>45865</v>
      </c>
      <c r="K7" s="10">
        <v>46190</v>
      </c>
      <c r="L7" s="10">
        <v>45951</v>
      </c>
      <c r="M7">
        <v>5</v>
      </c>
      <c r="N7">
        <v>5</v>
      </c>
      <c r="O7">
        <v>25</v>
      </c>
      <c r="P7" s="9" t="s">
        <v>1320</v>
      </c>
      <c r="Q7" s="9" t="s">
        <v>1321</v>
      </c>
      <c r="R7">
        <v>0</v>
      </c>
      <c r="S7">
        <v>0</v>
      </c>
      <c r="T7">
        <v>0</v>
      </c>
      <c r="U7">
        <v>430</v>
      </c>
      <c r="V7" s="9" t="s">
        <v>1322</v>
      </c>
    </row>
    <row r="8" spans="1:22" x14ac:dyDescent="0.35">
      <c r="A8" s="9" t="s">
        <v>1337</v>
      </c>
      <c r="B8" s="9" t="s">
        <v>1328</v>
      </c>
      <c r="C8" s="9" t="s">
        <v>1338</v>
      </c>
      <c r="D8" s="9" t="s">
        <v>93</v>
      </c>
      <c r="E8" s="9" t="s">
        <v>94</v>
      </c>
      <c r="F8" s="9" t="s">
        <v>82</v>
      </c>
      <c r="G8" s="9" t="s">
        <v>1188</v>
      </c>
      <c r="H8" s="9" t="s">
        <v>1189</v>
      </c>
      <c r="I8" s="9" t="s">
        <v>1131</v>
      </c>
      <c r="J8" s="10">
        <v>46080</v>
      </c>
      <c r="K8" s="10">
        <v>46326</v>
      </c>
      <c r="L8" s="10"/>
      <c r="M8">
        <v>4</v>
      </c>
      <c r="N8">
        <v>5</v>
      </c>
      <c r="O8">
        <v>24</v>
      </c>
      <c r="P8" s="9" t="s">
        <v>1320</v>
      </c>
      <c r="Q8" s="9" t="s">
        <v>1339</v>
      </c>
      <c r="R8">
        <v>1</v>
      </c>
      <c r="S8">
        <v>0</v>
      </c>
      <c r="T8">
        <v>0</v>
      </c>
      <c r="U8">
        <v>215</v>
      </c>
      <c r="V8" s="9" t="s">
        <v>1340</v>
      </c>
    </row>
    <row r="9" spans="1:22" x14ac:dyDescent="0.35">
      <c r="A9" s="9" t="s">
        <v>1341</v>
      </c>
      <c r="B9" s="9" t="s">
        <v>1342</v>
      </c>
      <c r="C9" s="9" t="s">
        <v>1343</v>
      </c>
      <c r="D9" s="9" t="s">
        <v>47</v>
      </c>
      <c r="E9" s="9" t="s">
        <v>48</v>
      </c>
      <c r="F9" s="9" t="s">
        <v>49</v>
      </c>
      <c r="G9" s="9" t="s">
        <v>1139</v>
      </c>
      <c r="H9" s="9" t="s">
        <v>1140</v>
      </c>
      <c r="I9" s="9" t="s">
        <v>1131</v>
      </c>
      <c r="J9" s="10">
        <v>46151</v>
      </c>
      <c r="K9" s="10">
        <v>46394</v>
      </c>
      <c r="L9" s="10">
        <v>46215</v>
      </c>
      <c r="M9">
        <v>4</v>
      </c>
      <c r="N9">
        <v>5</v>
      </c>
      <c r="O9">
        <v>24</v>
      </c>
      <c r="P9" s="9" t="s">
        <v>1320</v>
      </c>
      <c r="Q9" s="9" t="s">
        <v>1321</v>
      </c>
      <c r="R9">
        <v>0</v>
      </c>
      <c r="S9">
        <v>0</v>
      </c>
      <c r="T9">
        <v>0</v>
      </c>
      <c r="U9">
        <v>144</v>
      </c>
      <c r="V9" s="9" t="s">
        <v>1322</v>
      </c>
    </row>
    <row r="10" spans="1:22" x14ac:dyDescent="0.35">
      <c r="A10" s="9" t="s">
        <v>1344</v>
      </c>
      <c r="B10" s="9" t="s">
        <v>1333</v>
      </c>
      <c r="C10" s="9" t="s">
        <v>1345</v>
      </c>
      <c r="D10" s="9" t="s">
        <v>76</v>
      </c>
      <c r="E10" s="9" t="s">
        <v>77</v>
      </c>
      <c r="F10" s="9" t="s">
        <v>54</v>
      </c>
      <c r="G10" s="9" t="s">
        <v>1147</v>
      </c>
      <c r="H10" s="9" t="s">
        <v>1148</v>
      </c>
      <c r="I10" s="9" t="s">
        <v>1149</v>
      </c>
      <c r="J10" s="10">
        <v>45998</v>
      </c>
      <c r="K10" s="10">
        <v>46356</v>
      </c>
      <c r="L10" s="10">
        <v>46093</v>
      </c>
      <c r="M10">
        <v>4</v>
      </c>
      <c r="N10">
        <v>5</v>
      </c>
      <c r="O10">
        <v>24</v>
      </c>
      <c r="P10" s="9" t="s">
        <v>1320</v>
      </c>
      <c r="Q10" s="9" t="s">
        <v>1321</v>
      </c>
      <c r="R10">
        <v>0</v>
      </c>
      <c r="S10">
        <v>0</v>
      </c>
      <c r="T10">
        <v>0</v>
      </c>
      <c r="U10">
        <v>297</v>
      </c>
      <c r="V10" s="9" t="s">
        <v>1322</v>
      </c>
    </row>
    <row r="11" spans="1:22" x14ac:dyDescent="0.35">
      <c r="A11" s="9" t="s">
        <v>1346</v>
      </c>
      <c r="B11" s="9" t="s">
        <v>1328</v>
      </c>
      <c r="C11" s="9" t="s">
        <v>1347</v>
      </c>
      <c r="D11" s="9" t="s">
        <v>112</v>
      </c>
      <c r="E11" s="9" t="s">
        <v>113</v>
      </c>
      <c r="F11" s="9" t="s">
        <v>54</v>
      </c>
      <c r="G11" s="9" t="s">
        <v>1176</v>
      </c>
      <c r="H11" s="9" t="s">
        <v>1177</v>
      </c>
      <c r="I11" s="9" t="s">
        <v>1160</v>
      </c>
      <c r="J11" s="10">
        <v>45804</v>
      </c>
      <c r="K11" s="10">
        <v>45865</v>
      </c>
      <c r="L11" s="10">
        <v>45818</v>
      </c>
      <c r="M11">
        <v>5</v>
      </c>
      <c r="N11">
        <v>4</v>
      </c>
      <c r="O11">
        <v>22</v>
      </c>
      <c r="P11" s="9" t="s">
        <v>1320</v>
      </c>
      <c r="Q11" s="9" t="s">
        <v>1321</v>
      </c>
      <c r="R11">
        <v>0</v>
      </c>
      <c r="S11">
        <v>0</v>
      </c>
      <c r="T11">
        <v>0</v>
      </c>
      <c r="U11">
        <v>491</v>
      </c>
      <c r="V11" s="9" t="s">
        <v>1322</v>
      </c>
    </row>
    <row r="12" spans="1:22" x14ac:dyDescent="0.35">
      <c r="A12" s="9" t="s">
        <v>1348</v>
      </c>
      <c r="B12" s="9" t="s">
        <v>1318</v>
      </c>
      <c r="C12" s="9" t="s">
        <v>1349</v>
      </c>
      <c r="D12" s="9" t="s">
        <v>112</v>
      </c>
      <c r="E12" s="9" t="s">
        <v>113</v>
      </c>
      <c r="F12" s="9" t="s">
        <v>54</v>
      </c>
      <c r="G12" s="9" t="s">
        <v>1190</v>
      </c>
      <c r="H12" s="9" t="s">
        <v>1191</v>
      </c>
      <c r="I12" s="9" t="s">
        <v>1149</v>
      </c>
      <c r="J12" s="10">
        <v>46033</v>
      </c>
      <c r="K12" s="10">
        <v>46377</v>
      </c>
      <c r="L12" s="10"/>
      <c r="M12">
        <v>5</v>
      </c>
      <c r="N12">
        <v>4</v>
      </c>
      <c r="O12">
        <v>22</v>
      </c>
      <c r="P12" s="9" t="s">
        <v>1320</v>
      </c>
      <c r="Q12" s="9" t="s">
        <v>1325</v>
      </c>
      <c r="R12">
        <v>1</v>
      </c>
      <c r="S12">
        <v>0</v>
      </c>
      <c r="T12">
        <v>0</v>
      </c>
      <c r="U12">
        <v>262</v>
      </c>
      <c r="V12" s="9" t="s">
        <v>1326</v>
      </c>
    </row>
    <row r="13" spans="1:22" x14ac:dyDescent="0.35">
      <c r="A13" s="9" t="s">
        <v>1350</v>
      </c>
      <c r="B13" s="9" t="s">
        <v>1318</v>
      </c>
      <c r="C13" s="9" t="s">
        <v>1331</v>
      </c>
      <c r="D13" s="9" t="s">
        <v>47</v>
      </c>
      <c r="E13" s="9" t="s">
        <v>48</v>
      </c>
      <c r="F13" s="9" t="s">
        <v>49</v>
      </c>
      <c r="G13" s="9" t="s">
        <v>1190</v>
      </c>
      <c r="H13" s="9" t="s">
        <v>1191</v>
      </c>
      <c r="I13" s="9" t="s">
        <v>1149</v>
      </c>
      <c r="J13" s="10">
        <v>46062</v>
      </c>
      <c r="K13" s="10">
        <v>46296</v>
      </c>
      <c r="L13" s="10"/>
      <c r="M13">
        <v>3</v>
      </c>
      <c r="N13">
        <v>5</v>
      </c>
      <c r="O13">
        <v>20</v>
      </c>
      <c r="P13" s="9" t="s">
        <v>1320</v>
      </c>
      <c r="Q13" s="9" t="s">
        <v>1339</v>
      </c>
      <c r="R13">
        <v>1</v>
      </c>
      <c r="S13">
        <v>0</v>
      </c>
      <c r="T13">
        <v>0</v>
      </c>
      <c r="U13">
        <v>233</v>
      </c>
      <c r="V13" s="9" t="s">
        <v>1340</v>
      </c>
    </row>
    <row r="14" spans="1:22" x14ac:dyDescent="0.35">
      <c r="A14" s="9" t="s">
        <v>1351</v>
      </c>
      <c r="B14" s="9" t="s">
        <v>1318</v>
      </c>
      <c r="C14" s="9" t="s">
        <v>1349</v>
      </c>
      <c r="D14" s="9" t="s">
        <v>112</v>
      </c>
      <c r="E14" s="9" t="s">
        <v>113</v>
      </c>
      <c r="F14" s="9" t="s">
        <v>54</v>
      </c>
      <c r="G14" s="9" t="s">
        <v>1143</v>
      </c>
      <c r="H14" s="9" t="s">
        <v>1144</v>
      </c>
      <c r="I14" s="9" t="s">
        <v>1131</v>
      </c>
      <c r="J14" s="10">
        <v>46041</v>
      </c>
      <c r="K14" s="10">
        <v>46224</v>
      </c>
      <c r="L14" s="10">
        <v>46088</v>
      </c>
      <c r="M14">
        <v>3</v>
      </c>
      <c r="N14">
        <v>5</v>
      </c>
      <c r="O14">
        <v>20</v>
      </c>
      <c r="P14" s="9" t="s">
        <v>1320</v>
      </c>
      <c r="Q14" s="9" t="s">
        <v>1321</v>
      </c>
      <c r="R14">
        <v>0</v>
      </c>
      <c r="S14">
        <v>0</v>
      </c>
      <c r="T14">
        <v>0</v>
      </c>
      <c r="U14">
        <v>254</v>
      </c>
      <c r="V14" s="9" t="s">
        <v>1322</v>
      </c>
    </row>
    <row r="15" spans="1:22" x14ac:dyDescent="0.35">
      <c r="A15" s="9" t="s">
        <v>1352</v>
      </c>
      <c r="B15" s="9" t="s">
        <v>1333</v>
      </c>
      <c r="C15" s="9" t="s">
        <v>1353</v>
      </c>
      <c r="D15" s="9" t="s">
        <v>56</v>
      </c>
      <c r="E15" s="9" t="s">
        <v>57</v>
      </c>
      <c r="F15" s="9" t="s">
        <v>54</v>
      </c>
      <c r="G15" s="9" t="s">
        <v>1211</v>
      </c>
      <c r="H15" s="9" t="s">
        <v>1212</v>
      </c>
      <c r="I15" s="9" t="s">
        <v>1160</v>
      </c>
      <c r="J15" s="10">
        <v>46193</v>
      </c>
      <c r="K15" s="10">
        <v>46305</v>
      </c>
      <c r="L15" s="10"/>
      <c r="M15">
        <v>3</v>
      </c>
      <c r="N15">
        <v>5</v>
      </c>
      <c r="O15">
        <v>20</v>
      </c>
      <c r="P15" s="9" t="s">
        <v>1320</v>
      </c>
      <c r="Q15" s="9" t="s">
        <v>1339</v>
      </c>
      <c r="R15">
        <v>1</v>
      </c>
      <c r="S15">
        <v>0</v>
      </c>
      <c r="T15">
        <v>0</v>
      </c>
      <c r="U15">
        <v>102</v>
      </c>
      <c r="V15" s="9" t="s">
        <v>1340</v>
      </c>
    </row>
    <row r="16" spans="1:22" x14ac:dyDescent="0.35">
      <c r="A16" s="9" t="s">
        <v>1354</v>
      </c>
      <c r="B16" s="9" t="s">
        <v>1328</v>
      </c>
      <c r="C16" s="9" t="s">
        <v>1355</v>
      </c>
      <c r="D16" s="9" t="s">
        <v>80</v>
      </c>
      <c r="E16" s="9" t="s">
        <v>81</v>
      </c>
      <c r="F16" s="9" t="s">
        <v>82</v>
      </c>
      <c r="G16" s="9" t="s">
        <v>1193</v>
      </c>
      <c r="H16" s="9" t="s">
        <v>1194</v>
      </c>
      <c r="I16" s="9" t="s">
        <v>1149</v>
      </c>
      <c r="J16" s="10">
        <v>46209</v>
      </c>
      <c r="K16" s="10">
        <v>46499</v>
      </c>
      <c r="L16" s="10">
        <v>46285</v>
      </c>
      <c r="M16">
        <v>3</v>
      </c>
      <c r="N16">
        <v>5</v>
      </c>
      <c r="O16">
        <v>20</v>
      </c>
      <c r="P16" s="9" t="s">
        <v>1320</v>
      </c>
      <c r="Q16" s="9" t="s">
        <v>1321</v>
      </c>
      <c r="R16">
        <v>0</v>
      </c>
      <c r="S16">
        <v>0</v>
      </c>
      <c r="T16">
        <v>0</v>
      </c>
      <c r="U16">
        <v>86</v>
      </c>
      <c r="V16" s="9" t="s">
        <v>1322</v>
      </c>
    </row>
    <row r="17" spans="1:22" x14ac:dyDescent="0.35">
      <c r="A17" s="9" t="s">
        <v>1356</v>
      </c>
      <c r="B17" s="9" t="s">
        <v>1328</v>
      </c>
      <c r="C17" s="9" t="s">
        <v>1336</v>
      </c>
      <c r="D17" s="9" t="s">
        <v>69</v>
      </c>
      <c r="E17" s="9" t="s">
        <v>70</v>
      </c>
      <c r="F17" s="9" t="s">
        <v>49</v>
      </c>
      <c r="G17" s="9" t="s">
        <v>1143</v>
      </c>
      <c r="H17" s="9" t="s">
        <v>1144</v>
      </c>
      <c r="I17" s="9" t="s">
        <v>1131</v>
      </c>
      <c r="J17" s="10">
        <v>45863</v>
      </c>
      <c r="K17" s="10">
        <v>46224</v>
      </c>
      <c r="L17" s="10"/>
      <c r="M17">
        <v>3</v>
      </c>
      <c r="N17">
        <v>5</v>
      </c>
      <c r="O17">
        <v>20</v>
      </c>
      <c r="P17" s="9" t="s">
        <v>1320</v>
      </c>
      <c r="Q17" s="9" t="s">
        <v>1325</v>
      </c>
      <c r="R17">
        <v>1</v>
      </c>
      <c r="S17">
        <v>1</v>
      </c>
      <c r="T17">
        <v>71</v>
      </c>
      <c r="U17">
        <v>432</v>
      </c>
      <c r="V17" s="9" t="s">
        <v>1326</v>
      </c>
    </row>
    <row r="18" spans="1:22" x14ac:dyDescent="0.35">
      <c r="A18" s="9" t="s">
        <v>1357</v>
      </c>
      <c r="B18" s="9" t="s">
        <v>1318</v>
      </c>
      <c r="C18" s="9" t="s">
        <v>1324</v>
      </c>
      <c r="D18" s="9" t="s">
        <v>56</v>
      </c>
      <c r="E18" s="9" t="s">
        <v>57</v>
      </c>
      <c r="F18" s="9" t="s">
        <v>54</v>
      </c>
      <c r="G18" s="9" t="s">
        <v>1139</v>
      </c>
      <c r="H18" s="9" t="s">
        <v>1140</v>
      </c>
      <c r="I18" s="9" t="s">
        <v>1131</v>
      </c>
      <c r="J18" s="10">
        <v>46048</v>
      </c>
      <c r="K18" s="10">
        <v>46255</v>
      </c>
      <c r="L18" s="10">
        <v>46102</v>
      </c>
      <c r="M18">
        <v>3</v>
      </c>
      <c r="N18">
        <v>5</v>
      </c>
      <c r="O18">
        <v>20</v>
      </c>
      <c r="P18" s="9" t="s">
        <v>1320</v>
      </c>
      <c r="Q18" s="9" t="s">
        <v>1321</v>
      </c>
      <c r="R18">
        <v>0</v>
      </c>
      <c r="S18">
        <v>0</v>
      </c>
      <c r="T18">
        <v>0</v>
      </c>
      <c r="U18">
        <v>247</v>
      </c>
      <c r="V18" s="9" t="s">
        <v>1322</v>
      </c>
    </row>
    <row r="19" spans="1:22" x14ac:dyDescent="0.35">
      <c r="A19" s="9" t="s">
        <v>1358</v>
      </c>
      <c r="B19" s="9" t="s">
        <v>1328</v>
      </c>
      <c r="C19" s="9" t="s">
        <v>1347</v>
      </c>
      <c r="D19" s="9" t="s">
        <v>112</v>
      </c>
      <c r="E19" s="9" t="s">
        <v>113</v>
      </c>
      <c r="F19" s="9" t="s">
        <v>54</v>
      </c>
      <c r="G19" s="9" t="s">
        <v>1137</v>
      </c>
      <c r="H19" s="9" t="s">
        <v>1138</v>
      </c>
      <c r="I19" s="9" t="s">
        <v>1136</v>
      </c>
      <c r="J19" s="10">
        <v>45669</v>
      </c>
      <c r="K19" s="10">
        <v>45940</v>
      </c>
      <c r="L19" s="10"/>
      <c r="M19">
        <v>3</v>
      </c>
      <c r="N19">
        <v>5</v>
      </c>
      <c r="O19">
        <v>20</v>
      </c>
      <c r="P19" s="9" t="s">
        <v>1320</v>
      </c>
      <c r="Q19" s="9" t="s">
        <v>1325</v>
      </c>
      <c r="R19">
        <v>1</v>
      </c>
      <c r="S19">
        <v>1</v>
      </c>
      <c r="T19">
        <v>355</v>
      </c>
      <c r="U19">
        <v>626</v>
      </c>
      <c r="V19" s="9" t="s">
        <v>1326</v>
      </c>
    </row>
    <row r="20" spans="1:22" x14ac:dyDescent="0.35">
      <c r="A20" s="9" t="s">
        <v>1359</v>
      </c>
      <c r="B20" s="9" t="s">
        <v>1328</v>
      </c>
      <c r="C20" s="9" t="s">
        <v>1329</v>
      </c>
      <c r="D20" s="9" t="s">
        <v>56</v>
      </c>
      <c r="E20" s="9" t="s">
        <v>57</v>
      </c>
      <c r="F20" s="9" t="s">
        <v>54</v>
      </c>
      <c r="G20" s="9" t="s">
        <v>1167</v>
      </c>
      <c r="H20" s="9" t="s">
        <v>1168</v>
      </c>
      <c r="I20" s="9" t="s">
        <v>1136</v>
      </c>
      <c r="J20" s="10">
        <v>45945</v>
      </c>
      <c r="K20" s="10">
        <v>46122</v>
      </c>
      <c r="L20" s="10">
        <v>45991</v>
      </c>
      <c r="M20">
        <v>4</v>
      </c>
      <c r="N20">
        <v>4</v>
      </c>
      <c r="O20">
        <v>18</v>
      </c>
      <c r="P20" s="9" t="s">
        <v>1360</v>
      </c>
      <c r="Q20" s="9" t="s">
        <v>1321</v>
      </c>
      <c r="R20">
        <v>0</v>
      </c>
      <c r="S20">
        <v>0</v>
      </c>
      <c r="T20">
        <v>0</v>
      </c>
      <c r="U20">
        <v>350</v>
      </c>
      <c r="V20" s="9" t="s">
        <v>1322</v>
      </c>
    </row>
    <row r="21" spans="1:22" x14ac:dyDescent="0.35">
      <c r="A21" s="9" t="s">
        <v>1361</v>
      </c>
      <c r="B21" s="9" t="s">
        <v>1318</v>
      </c>
      <c r="C21" s="9" t="s">
        <v>1319</v>
      </c>
      <c r="D21" s="9" t="s">
        <v>69</v>
      </c>
      <c r="E21" s="9" t="s">
        <v>70</v>
      </c>
      <c r="F21" s="9" t="s">
        <v>49</v>
      </c>
      <c r="G21" s="9" t="s">
        <v>1158</v>
      </c>
      <c r="H21" s="9" t="s">
        <v>1159</v>
      </c>
      <c r="I21" s="9" t="s">
        <v>1160</v>
      </c>
      <c r="J21" s="10">
        <v>45907</v>
      </c>
      <c r="K21" s="10">
        <v>46175</v>
      </c>
      <c r="L21" s="10">
        <v>45978</v>
      </c>
      <c r="M21">
        <v>4</v>
      </c>
      <c r="N21">
        <v>4</v>
      </c>
      <c r="O21">
        <v>18</v>
      </c>
      <c r="P21" s="9" t="s">
        <v>1360</v>
      </c>
      <c r="Q21" s="9" t="s">
        <v>1321</v>
      </c>
      <c r="R21">
        <v>0</v>
      </c>
      <c r="S21">
        <v>0</v>
      </c>
      <c r="T21">
        <v>0</v>
      </c>
      <c r="U21">
        <v>388</v>
      </c>
      <c r="V21" s="9" t="s">
        <v>1322</v>
      </c>
    </row>
    <row r="22" spans="1:22" x14ac:dyDescent="0.35">
      <c r="A22" s="9" t="s">
        <v>1362</v>
      </c>
      <c r="B22" s="9" t="s">
        <v>1342</v>
      </c>
      <c r="C22" s="9" t="s">
        <v>1363</v>
      </c>
      <c r="D22" s="9" t="s">
        <v>76</v>
      </c>
      <c r="E22" s="9" t="s">
        <v>77</v>
      </c>
      <c r="F22" s="9" t="s">
        <v>54</v>
      </c>
      <c r="G22" s="9" t="s">
        <v>1180</v>
      </c>
      <c r="H22" s="9" t="s">
        <v>1181</v>
      </c>
      <c r="I22" s="9" t="s">
        <v>1160</v>
      </c>
      <c r="J22" s="10">
        <v>45881</v>
      </c>
      <c r="K22" s="10">
        <v>45999</v>
      </c>
      <c r="L22" s="10">
        <v>45911</v>
      </c>
      <c r="M22">
        <v>5</v>
      </c>
      <c r="N22">
        <v>3</v>
      </c>
      <c r="O22">
        <v>17</v>
      </c>
      <c r="P22" s="9" t="s">
        <v>1360</v>
      </c>
      <c r="Q22" s="9" t="s">
        <v>1321</v>
      </c>
      <c r="R22">
        <v>0</v>
      </c>
      <c r="S22">
        <v>0</v>
      </c>
      <c r="T22">
        <v>0</v>
      </c>
      <c r="U22">
        <v>414</v>
      </c>
      <c r="V22" s="9" t="s">
        <v>1322</v>
      </c>
    </row>
    <row r="23" spans="1:22" x14ac:dyDescent="0.35">
      <c r="A23" s="9" t="s">
        <v>1364</v>
      </c>
      <c r="B23" s="9" t="s">
        <v>1318</v>
      </c>
      <c r="C23" s="9" t="s">
        <v>1349</v>
      </c>
      <c r="D23" s="9" t="s">
        <v>112</v>
      </c>
      <c r="E23" s="9" t="s">
        <v>113</v>
      </c>
      <c r="F23" s="9" t="s">
        <v>54</v>
      </c>
      <c r="G23" s="9" t="s">
        <v>1176</v>
      </c>
      <c r="H23" s="9" t="s">
        <v>1177</v>
      </c>
      <c r="I23" s="9" t="s">
        <v>1160</v>
      </c>
      <c r="J23" s="10">
        <v>46121</v>
      </c>
      <c r="K23" s="10">
        <v>46352</v>
      </c>
      <c r="L23" s="10">
        <v>46181</v>
      </c>
      <c r="M23">
        <v>5</v>
      </c>
      <c r="N23">
        <v>3</v>
      </c>
      <c r="O23">
        <v>17</v>
      </c>
      <c r="P23" s="9" t="s">
        <v>1360</v>
      </c>
      <c r="Q23" s="9" t="s">
        <v>1321</v>
      </c>
      <c r="R23">
        <v>0</v>
      </c>
      <c r="S23">
        <v>0</v>
      </c>
      <c r="T23">
        <v>0</v>
      </c>
      <c r="U23">
        <v>174</v>
      </c>
      <c r="V23" s="9" t="s">
        <v>1322</v>
      </c>
    </row>
    <row r="24" spans="1:22" x14ac:dyDescent="0.35">
      <c r="A24" s="9" t="s">
        <v>1365</v>
      </c>
      <c r="B24" s="9" t="s">
        <v>1328</v>
      </c>
      <c r="C24" s="9" t="s">
        <v>1366</v>
      </c>
      <c r="D24" s="9" t="s">
        <v>76</v>
      </c>
      <c r="E24" s="9" t="s">
        <v>77</v>
      </c>
      <c r="F24" s="9" t="s">
        <v>54</v>
      </c>
      <c r="G24" s="9" t="s">
        <v>1183</v>
      </c>
      <c r="H24" s="9" t="s">
        <v>1184</v>
      </c>
      <c r="I24" s="9" t="s">
        <v>1160</v>
      </c>
      <c r="J24" s="10">
        <v>46124</v>
      </c>
      <c r="K24" s="10">
        <v>46448</v>
      </c>
      <c r="L24" s="10"/>
      <c r="M24">
        <v>5</v>
      </c>
      <c r="N24">
        <v>3</v>
      </c>
      <c r="O24">
        <v>17</v>
      </c>
      <c r="P24" s="9" t="s">
        <v>1360</v>
      </c>
      <c r="Q24" s="9" t="s">
        <v>1339</v>
      </c>
      <c r="R24">
        <v>1</v>
      </c>
      <c r="S24">
        <v>0</v>
      </c>
      <c r="T24">
        <v>0</v>
      </c>
      <c r="U24">
        <v>171</v>
      </c>
      <c r="V24" s="9" t="s">
        <v>1340</v>
      </c>
    </row>
    <row r="25" spans="1:22" x14ac:dyDescent="0.35">
      <c r="A25" s="9" t="s">
        <v>1367</v>
      </c>
      <c r="B25" s="9" t="s">
        <v>1328</v>
      </c>
      <c r="C25" s="9" t="s">
        <v>1368</v>
      </c>
      <c r="D25" s="9" t="s">
        <v>63</v>
      </c>
      <c r="E25" s="9" t="s">
        <v>64</v>
      </c>
      <c r="F25" s="9" t="s">
        <v>49</v>
      </c>
      <c r="G25" s="9" t="s">
        <v>1180</v>
      </c>
      <c r="H25" s="9" t="s">
        <v>1181</v>
      </c>
      <c r="I25" s="9" t="s">
        <v>1160</v>
      </c>
      <c r="J25" s="10">
        <v>46189</v>
      </c>
      <c r="K25" s="10">
        <v>46517</v>
      </c>
      <c r="L25" s="10"/>
      <c r="M25">
        <v>5</v>
      </c>
      <c r="N25">
        <v>3</v>
      </c>
      <c r="O25">
        <v>17</v>
      </c>
      <c r="P25" s="9" t="s">
        <v>1360</v>
      </c>
      <c r="Q25" s="9" t="s">
        <v>1339</v>
      </c>
      <c r="R25">
        <v>1</v>
      </c>
      <c r="S25">
        <v>0</v>
      </c>
      <c r="T25">
        <v>0</v>
      </c>
      <c r="U25">
        <v>106</v>
      </c>
      <c r="V25" s="9" t="s">
        <v>1340</v>
      </c>
    </row>
    <row r="26" spans="1:22" x14ac:dyDescent="0.35">
      <c r="A26" s="9" t="s">
        <v>1369</v>
      </c>
      <c r="B26" s="9" t="s">
        <v>1342</v>
      </c>
      <c r="C26" s="9" t="s">
        <v>1370</v>
      </c>
      <c r="D26" s="9" t="s">
        <v>112</v>
      </c>
      <c r="E26" s="9" t="s">
        <v>113</v>
      </c>
      <c r="F26" s="9" t="s">
        <v>54</v>
      </c>
      <c r="G26" s="9" t="s">
        <v>1143</v>
      </c>
      <c r="H26" s="9" t="s">
        <v>1144</v>
      </c>
      <c r="I26" s="9" t="s">
        <v>1131</v>
      </c>
      <c r="J26" s="10">
        <v>46111</v>
      </c>
      <c r="K26" s="10">
        <v>46465</v>
      </c>
      <c r="L26" s="10"/>
      <c r="M26">
        <v>2</v>
      </c>
      <c r="N26">
        <v>5</v>
      </c>
      <c r="O26">
        <v>15</v>
      </c>
      <c r="P26" s="9" t="s">
        <v>1360</v>
      </c>
      <c r="Q26" s="9" t="s">
        <v>1325</v>
      </c>
      <c r="R26">
        <v>1</v>
      </c>
      <c r="S26">
        <v>0</v>
      </c>
      <c r="T26">
        <v>0</v>
      </c>
      <c r="U26">
        <v>184</v>
      </c>
      <c r="V26" s="9" t="s">
        <v>1326</v>
      </c>
    </row>
    <row r="27" spans="1:22" x14ac:dyDescent="0.35">
      <c r="A27" s="9" t="s">
        <v>1371</v>
      </c>
      <c r="B27" s="9" t="s">
        <v>1318</v>
      </c>
      <c r="C27" s="9" t="s">
        <v>1372</v>
      </c>
      <c r="D27" s="9" t="s">
        <v>63</v>
      </c>
      <c r="E27" s="9" t="s">
        <v>64</v>
      </c>
      <c r="F27" s="9" t="s">
        <v>49</v>
      </c>
      <c r="G27" s="9" t="s">
        <v>1188</v>
      </c>
      <c r="H27" s="9" t="s">
        <v>1189</v>
      </c>
      <c r="I27" s="9" t="s">
        <v>1131</v>
      </c>
      <c r="J27" s="10">
        <v>45860</v>
      </c>
      <c r="K27" s="10">
        <v>46065</v>
      </c>
      <c r="L27" s="10"/>
      <c r="M27">
        <v>3</v>
      </c>
      <c r="N27">
        <v>4</v>
      </c>
      <c r="O27">
        <v>14</v>
      </c>
      <c r="P27" s="9" t="s">
        <v>1360</v>
      </c>
      <c r="Q27" s="9" t="s">
        <v>1339</v>
      </c>
      <c r="R27">
        <v>1</v>
      </c>
      <c r="S27">
        <v>1</v>
      </c>
      <c r="T27">
        <v>230</v>
      </c>
      <c r="U27">
        <v>435</v>
      </c>
      <c r="V27" s="9" t="s">
        <v>1340</v>
      </c>
    </row>
    <row r="28" spans="1:22" x14ac:dyDescent="0.35">
      <c r="A28" s="9" t="s">
        <v>1373</v>
      </c>
      <c r="B28" s="9" t="s">
        <v>1328</v>
      </c>
      <c r="C28" s="9" t="s">
        <v>1355</v>
      </c>
      <c r="D28" s="9" t="s">
        <v>80</v>
      </c>
      <c r="E28" s="9" t="s">
        <v>81</v>
      </c>
      <c r="F28" s="9" t="s">
        <v>82</v>
      </c>
      <c r="G28" s="9" t="s">
        <v>1188</v>
      </c>
      <c r="H28" s="9" t="s">
        <v>1189</v>
      </c>
      <c r="I28" s="9" t="s">
        <v>1131</v>
      </c>
      <c r="J28" s="10">
        <v>46151</v>
      </c>
      <c r="K28" s="10">
        <v>46484</v>
      </c>
      <c r="L28" s="10"/>
      <c r="M28">
        <v>3</v>
      </c>
      <c r="N28">
        <v>4</v>
      </c>
      <c r="O28">
        <v>14</v>
      </c>
      <c r="P28" s="9" t="s">
        <v>1360</v>
      </c>
      <c r="Q28" s="9" t="s">
        <v>1339</v>
      </c>
      <c r="R28">
        <v>1</v>
      </c>
      <c r="S28">
        <v>0</v>
      </c>
      <c r="T28">
        <v>0</v>
      </c>
      <c r="U28">
        <v>144</v>
      </c>
      <c r="V28" s="9" t="s">
        <v>1340</v>
      </c>
    </row>
    <row r="29" spans="1:22" x14ac:dyDescent="0.35">
      <c r="A29" s="9" t="s">
        <v>1374</v>
      </c>
      <c r="B29" s="9" t="s">
        <v>1342</v>
      </c>
      <c r="C29" s="9" t="s">
        <v>1375</v>
      </c>
      <c r="D29" s="9" t="s">
        <v>93</v>
      </c>
      <c r="E29" s="9" t="s">
        <v>94</v>
      </c>
      <c r="F29" s="9" t="s">
        <v>82</v>
      </c>
      <c r="G29" s="9" t="s">
        <v>1155</v>
      </c>
      <c r="H29" s="9" t="s">
        <v>1156</v>
      </c>
      <c r="I29" s="9" t="s">
        <v>1131</v>
      </c>
      <c r="J29" s="10">
        <v>46082</v>
      </c>
      <c r="K29" s="10">
        <v>46287</v>
      </c>
      <c r="L29" s="10">
        <v>46135</v>
      </c>
      <c r="M29">
        <v>4</v>
      </c>
      <c r="N29">
        <v>3</v>
      </c>
      <c r="O29">
        <v>14</v>
      </c>
      <c r="P29" s="9" t="s">
        <v>1360</v>
      </c>
      <c r="Q29" s="9" t="s">
        <v>1321</v>
      </c>
      <c r="R29">
        <v>0</v>
      </c>
      <c r="S29">
        <v>0</v>
      </c>
      <c r="T29">
        <v>0</v>
      </c>
      <c r="U29">
        <v>213</v>
      </c>
      <c r="V29" s="9" t="s">
        <v>1322</v>
      </c>
    </row>
    <row r="30" spans="1:22" x14ac:dyDescent="0.35">
      <c r="A30" s="9" t="s">
        <v>1376</v>
      </c>
      <c r="B30" s="9" t="s">
        <v>1328</v>
      </c>
      <c r="C30" s="9" t="s">
        <v>1347</v>
      </c>
      <c r="D30" s="9" t="s">
        <v>112</v>
      </c>
      <c r="E30" s="9" t="s">
        <v>113</v>
      </c>
      <c r="F30" s="9" t="s">
        <v>54</v>
      </c>
      <c r="G30" s="9" t="s">
        <v>1176</v>
      </c>
      <c r="H30" s="9" t="s">
        <v>1177</v>
      </c>
      <c r="I30" s="9" t="s">
        <v>1160</v>
      </c>
      <c r="J30" s="10">
        <v>45760</v>
      </c>
      <c r="K30" s="10">
        <v>46052</v>
      </c>
      <c r="L30" s="10"/>
      <c r="M30">
        <v>3</v>
      </c>
      <c r="N30">
        <v>4</v>
      </c>
      <c r="O30">
        <v>14</v>
      </c>
      <c r="P30" s="9" t="s">
        <v>1360</v>
      </c>
      <c r="Q30" s="9" t="s">
        <v>1325</v>
      </c>
      <c r="R30">
        <v>1</v>
      </c>
      <c r="S30">
        <v>1</v>
      </c>
      <c r="T30">
        <v>243</v>
      </c>
      <c r="U30">
        <v>535</v>
      </c>
      <c r="V30" s="9" t="s">
        <v>1326</v>
      </c>
    </row>
    <row r="31" spans="1:22" x14ac:dyDescent="0.35">
      <c r="A31" s="9" t="s">
        <v>1377</v>
      </c>
      <c r="B31" s="9" t="s">
        <v>1328</v>
      </c>
      <c r="C31" s="9" t="s">
        <v>1329</v>
      </c>
      <c r="D31" s="9" t="s">
        <v>56</v>
      </c>
      <c r="E31" s="9" t="s">
        <v>57</v>
      </c>
      <c r="F31" s="9" t="s">
        <v>54</v>
      </c>
      <c r="G31" s="9" t="s">
        <v>1196</v>
      </c>
      <c r="H31" s="9" t="s">
        <v>1197</v>
      </c>
      <c r="I31" s="9" t="s">
        <v>1136</v>
      </c>
      <c r="J31" s="10">
        <v>45835</v>
      </c>
      <c r="K31" s="10">
        <v>46059</v>
      </c>
      <c r="L31" s="10"/>
      <c r="M31">
        <v>3</v>
      </c>
      <c r="N31">
        <v>4</v>
      </c>
      <c r="O31">
        <v>14</v>
      </c>
      <c r="P31" s="9" t="s">
        <v>1360</v>
      </c>
      <c r="Q31" s="9" t="s">
        <v>1325</v>
      </c>
      <c r="R31">
        <v>1</v>
      </c>
      <c r="S31">
        <v>1</v>
      </c>
      <c r="T31">
        <v>236</v>
      </c>
      <c r="U31">
        <v>460</v>
      </c>
      <c r="V31" s="9" t="s">
        <v>1326</v>
      </c>
    </row>
    <row r="32" spans="1:22" x14ac:dyDescent="0.35">
      <c r="A32" s="9" t="s">
        <v>1378</v>
      </c>
      <c r="B32" s="9" t="s">
        <v>1342</v>
      </c>
      <c r="C32" s="9" t="s">
        <v>1379</v>
      </c>
      <c r="D32" s="9" t="s">
        <v>63</v>
      </c>
      <c r="E32" s="9" t="s">
        <v>64</v>
      </c>
      <c r="F32" s="9" t="s">
        <v>49</v>
      </c>
      <c r="G32" s="9" t="s">
        <v>1162</v>
      </c>
      <c r="H32" s="9" t="s">
        <v>1163</v>
      </c>
      <c r="I32" s="9" t="s">
        <v>1149</v>
      </c>
      <c r="J32" s="10">
        <v>45999</v>
      </c>
      <c r="K32" s="10">
        <v>45988</v>
      </c>
      <c r="L32" s="10">
        <v>46021</v>
      </c>
      <c r="M32">
        <v>3</v>
      </c>
      <c r="N32">
        <v>4</v>
      </c>
      <c r="O32">
        <v>14</v>
      </c>
      <c r="P32" s="9" t="s">
        <v>1360</v>
      </c>
      <c r="Q32" s="9" t="s">
        <v>1321</v>
      </c>
      <c r="R32">
        <v>0</v>
      </c>
      <c r="S32">
        <v>0</v>
      </c>
      <c r="T32">
        <v>0</v>
      </c>
      <c r="U32">
        <v>296</v>
      </c>
      <c r="V32" s="9" t="s">
        <v>1322</v>
      </c>
    </row>
    <row r="33" spans="1:22" x14ac:dyDescent="0.35">
      <c r="A33" s="9" t="s">
        <v>1380</v>
      </c>
      <c r="B33" s="9" t="s">
        <v>1333</v>
      </c>
      <c r="C33" s="9" t="s">
        <v>1381</v>
      </c>
      <c r="D33" s="9" t="s">
        <v>112</v>
      </c>
      <c r="E33" s="9" t="s">
        <v>113</v>
      </c>
      <c r="F33" s="9" t="s">
        <v>54</v>
      </c>
      <c r="G33" s="9" t="s">
        <v>1188</v>
      </c>
      <c r="H33" s="9" t="s">
        <v>1189</v>
      </c>
      <c r="I33" s="9" t="s">
        <v>1131</v>
      </c>
      <c r="J33" s="10">
        <v>46045</v>
      </c>
      <c r="K33" s="10">
        <v>46355</v>
      </c>
      <c r="L33" s="10">
        <v>46127</v>
      </c>
      <c r="M33">
        <v>3</v>
      </c>
      <c r="N33">
        <v>4</v>
      </c>
      <c r="O33">
        <v>14</v>
      </c>
      <c r="P33" s="9" t="s">
        <v>1360</v>
      </c>
      <c r="Q33" s="9" t="s">
        <v>1321</v>
      </c>
      <c r="R33">
        <v>0</v>
      </c>
      <c r="S33">
        <v>0</v>
      </c>
      <c r="T33">
        <v>0</v>
      </c>
      <c r="U33">
        <v>250</v>
      </c>
      <c r="V33" s="9" t="s">
        <v>1322</v>
      </c>
    </row>
    <row r="34" spans="1:22" x14ac:dyDescent="0.35">
      <c r="A34" s="9" t="s">
        <v>1382</v>
      </c>
      <c r="B34" s="9" t="s">
        <v>1318</v>
      </c>
      <c r="C34" s="9" t="s">
        <v>1383</v>
      </c>
      <c r="D34" s="9" t="s">
        <v>80</v>
      </c>
      <c r="E34" s="9" t="s">
        <v>81</v>
      </c>
      <c r="F34" s="9" t="s">
        <v>82</v>
      </c>
      <c r="G34" s="9" t="s">
        <v>1180</v>
      </c>
      <c r="H34" s="9" t="s">
        <v>1181</v>
      </c>
      <c r="I34" s="9" t="s">
        <v>1160</v>
      </c>
      <c r="J34" s="10">
        <v>46080</v>
      </c>
      <c r="K34" s="10">
        <v>46395</v>
      </c>
      <c r="L34" s="10"/>
      <c r="M34">
        <v>3</v>
      </c>
      <c r="N34">
        <v>4</v>
      </c>
      <c r="O34">
        <v>14</v>
      </c>
      <c r="P34" s="9" t="s">
        <v>1360</v>
      </c>
      <c r="Q34" s="9" t="s">
        <v>1339</v>
      </c>
      <c r="R34">
        <v>1</v>
      </c>
      <c r="S34">
        <v>0</v>
      </c>
      <c r="T34">
        <v>0</v>
      </c>
      <c r="U34">
        <v>215</v>
      </c>
      <c r="V34" s="9" t="s">
        <v>1340</v>
      </c>
    </row>
    <row r="35" spans="1:22" x14ac:dyDescent="0.35">
      <c r="A35" s="9" t="s">
        <v>1384</v>
      </c>
      <c r="B35" s="9" t="s">
        <v>1333</v>
      </c>
      <c r="C35" s="9" t="s">
        <v>1353</v>
      </c>
      <c r="D35" s="9" t="s">
        <v>56</v>
      </c>
      <c r="E35" s="9" t="s">
        <v>57</v>
      </c>
      <c r="F35" s="9" t="s">
        <v>54</v>
      </c>
      <c r="G35" s="9" t="s">
        <v>1188</v>
      </c>
      <c r="H35" s="9" t="s">
        <v>1189</v>
      </c>
      <c r="I35" s="9" t="s">
        <v>1131</v>
      </c>
      <c r="J35" s="10">
        <v>45981</v>
      </c>
      <c r="K35" s="10">
        <v>45970</v>
      </c>
      <c r="L35" s="10">
        <v>46055</v>
      </c>
      <c r="M35">
        <v>4</v>
      </c>
      <c r="N35">
        <v>3</v>
      </c>
      <c r="O35">
        <v>14</v>
      </c>
      <c r="P35" s="9" t="s">
        <v>1360</v>
      </c>
      <c r="Q35" s="9" t="s">
        <v>1321</v>
      </c>
      <c r="R35">
        <v>0</v>
      </c>
      <c r="S35">
        <v>0</v>
      </c>
      <c r="T35">
        <v>0</v>
      </c>
      <c r="U35">
        <v>314</v>
      </c>
      <c r="V35" s="9" t="s">
        <v>1322</v>
      </c>
    </row>
    <row r="36" spans="1:22" x14ac:dyDescent="0.35">
      <c r="A36" s="9" t="s">
        <v>1385</v>
      </c>
      <c r="B36" s="9" t="s">
        <v>1318</v>
      </c>
      <c r="C36" s="9" t="s">
        <v>1324</v>
      </c>
      <c r="D36" s="9" t="s">
        <v>56</v>
      </c>
      <c r="E36" s="9" t="s">
        <v>57</v>
      </c>
      <c r="F36" s="9" t="s">
        <v>54</v>
      </c>
      <c r="G36" s="9" t="s">
        <v>1196</v>
      </c>
      <c r="H36" s="9" t="s">
        <v>1197</v>
      </c>
      <c r="I36" s="9" t="s">
        <v>1136</v>
      </c>
      <c r="J36" s="10">
        <v>45957</v>
      </c>
      <c r="K36" s="10">
        <v>46281</v>
      </c>
      <c r="L36" s="10"/>
      <c r="M36">
        <v>5</v>
      </c>
      <c r="N36">
        <v>2</v>
      </c>
      <c r="O36">
        <v>10</v>
      </c>
      <c r="P36" s="9" t="s">
        <v>1386</v>
      </c>
      <c r="Q36" s="9" t="s">
        <v>1325</v>
      </c>
      <c r="R36">
        <v>1</v>
      </c>
      <c r="S36">
        <v>1</v>
      </c>
      <c r="T36">
        <v>14</v>
      </c>
      <c r="U36">
        <v>338</v>
      </c>
      <c r="V36" s="9" t="s">
        <v>1326</v>
      </c>
    </row>
    <row r="37" spans="1:22" x14ac:dyDescent="0.35">
      <c r="A37" s="9" t="s">
        <v>1387</v>
      </c>
      <c r="B37" s="9" t="s">
        <v>1333</v>
      </c>
      <c r="C37" s="9" t="s">
        <v>1388</v>
      </c>
      <c r="D37" s="9" t="s">
        <v>63</v>
      </c>
      <c r="E37" s="9" t="s">
        <v>64</v>
      </c>
      <c r="F37" s="9" t="s">
        <v>49</v>
      </c>
      <c r="G37" s="9" t="s">
        <v>1162</v>
      </c>
      <c r="H37" s="9" t="s">
        <v>1163</v>
      </c>
      <c r="I37" s="9" t="s">
        <v>1149</v>
      </c>
      <c r="J37" s="10">
        <v>45903</v>
      </c>
      <c r="K37" s="10">
        <v>46007</v>
      </c>
      <c r="L37" s="10">
        <v>45929</v>
      </c>
      <c r="M37">
        <v>5</v>
      </c>
      <c r="N37">
        <v>2</v>
      </c>
      <c r="O37">
        <v>10</v>
      </c>
      <c r="P37" s="9" t="s">
        <v>1386</v>
      </c>
      <c r="Q37" s="9" t="s">
        <v>1321</v>
      </c>
      <c r="R37">
        <v>0</v>
      </c>
      <c r="S37">
        <v>0</v>
      </c>
      <c r="T37">
        <v>0</v>
      </c>
      <c r="U37">
        <v>392</v>
      </c>
      <c r="V37" s="9" t="s">
        <v>1322</v>
      </c>
    </row>
    <row r="38" spans="1:22" x14ac:dyDescent="0.35">
      <c r="A38" s="9" t="s">
        <v>1389</v>
      </c>
      <c r="B38" s="9" t="s">
        <v>1342</v>
      </c>
      <c r="C38" s="9" t="s">
        <v>1343</v>
      </c>
      <c r="D38" s="9" t="s">
        <v>47</v>
      </c>
      <c r="E38" s="9" t="s">
        <v>48</v>
      </c>
      <c r="F38" s="9" t="s">
        <v>49</v>
      </c>
      <c r="G38" s="9" t="s">
        <v>1147</v>
      </c>
      <c r="H38" s="9" t="s">
        <v>1148</v>
      </c>
      <c r="I38" s="9" t="s">
        <v>1149</v>
      </c>
      <c r="J38" s="10">
        <v>46151</v>
      </c>
      <c r="K38" s="10">
        <v>46288</v>
      </c>
      <c r="L38" s="10">
        <v>46186</v>
      </c>
      <c r="M38">
        <v>2</v>
      </c>
      <c r="N38">
        <v>4</v>
      </c>
      <c r="O38">
        <v>10</v>
      </c>
      <c r="P38" s="9" t="s">
        <v>1386</v>
      </c>
      <c r="Q38" s="9" t="s">
        <v>1321</v>
      </c>
      <c r="R38">
        <v>0</v>
      </c>
      <c r="S38">
        <v>0</v>
      </c>
      <c r="T38">
        <v>0</v>
      </c>
      <c r="U38">
        <v>144</v>
      </c>
      <c r="V38" s="9" t="s">
        <v>1322</v>
      </c>
    </row>
    <row r="39" spans="1:22" x14ac:dyDescent="0.35">
      <c r="A39" s="9" t="s">
        <v>1390</v>
      </c>
      <c r="B39" s="9" t="s">
        <v>1318</v>
      </c>
      <c r="C39" s="9" t="s">
        <v>1349</v>
      </c>
      <c r="D39" s="9" t="s">
        <v>112</v>
      </c>
      <c r="E39" s="9" t="s">
        <v>113</v>
      </c>
      <c r="F39" s="9" t="s">
        <v>54</v>
      </c>
      <c r="G39" s="9" t="s">
        <v>1143</v>
      </c>
      <c r="H39" s="9" t="s">
        <v>1144</v>
      </c>
      <c r="I39" s="9" t="s">
        <v>1131</v>
      </c>
      <c r="J39" s="10">
        <v>46079</v>
      </c>
      <c r="K39" s="10">
        <v>46210</v>
      </c>
      <c r="L39" s="10">
        <v>46112</v>
      </c>
      <c r="M39">
        <v>1</v>
      </c>
      <c r="N39">
        <v>5</v>
      </c>
      <c r="O39">
        <v>10</v>
      </c>
      <c r="P39" s="9" t="s">
        <v>1360</v>
      </c>
      <c r="Q39" s="9" t="s">
        <v>1321</v>
      </c>
      <c r="R39">
        <v>0</v>
      </c>
      <c r="S39">
        <v>0</v>
      </c>
      <c r="T39">
        <v>0</v>
      </c>
      <c r="U39">
        <v>216</v>
      </c>
      <c r="V39" s="9" t="s">
        <v>1322</v>
      </c>
    </row>
    <row r="40" spans="1:22" x14ac:dyDescent="0.35">
      <c r="A40" s="9" t="s">
        <v>1391</v>
      </c>
      <c r="B40" s="9" t="s">
        <v>1328</v>
      </c>
      <c r="C40" s="9" t="s">
        <v>1347</v>
      </c>
      <c r="D40" s="9" t="s">
        <v>112</v>
      </c>
      <c r="E40" s="9" t="s">
        <v>113</v>
      </c>
      <c r="F40" s="9" t="s">
        <v>54</v>
      </c>
      <c r="G40" s="9" t="s">
        <v>1143</v>
      </c>
      <c r="H40" s="9" t="s">
        <v>1144</v>
      </c>
      <c r="I40" s="9" t="s">
        <v>1131</v>
      </c>
      <c r="J40" s="10">
        <v>46169</v>
      </c>
      <c r="K40" s="10">
        <v>46405</v>
      </c>
      <c r="L40" s="10"/>
      <c r="M40">
        <v>1</v>
      </c>
      <c r="N40">
        <v>5</v>
      </c>
      <c r="O40">
        <v>10</v>
      </c>
      <c r="P40" s="9" t="s">
        <v>1360</v>
      </c>
      <c r="Q40" s="9" t="s">
        <v>1325</v>
      </c>
      <c r="R40">
        <v>1</v>
      </c>
      <c r="S40">
        <v>0</v>
      </c>
      <c r="T40">
        <v>0</v>
      </c>
      <c r="U40">
        <v>126</v>
      </c>
      <c r="V40" s="9" t="s">
        <v>1326</v>
      </c>
    </row>
    <row r="41" spans="1:22" x14ac:dyDescent="0.35">
      <c r="A41" s="9" t="s">
        <v>1392</v>
      </c>
      <c r="B41" s="9" t="s">
        <v>1328</v>
      </c>
      <c r="C41" s="9" t="s">
        <v>1329</v>
      </c>
      <c r="D41" s="9" t="s">
        <v>56</v>
      </c>
      <c r="E41" s="9" t="s">
        <v>57</v>
      </c>
      <c r="F41" s="9" t="s">
        <v>54</v>
      </c>
      <c r="G41" s="9" t="s">
        <v>1167</v>
      </c>
      <c r="H41" s="9" t="s">
        <v>1168</v>
      </c>
      <c r="I41" s="9" t="s">
        <v>1136</v>
      </c>
      <c r="J41" s="10">
        <v>46179</v>
      </c>
      <c r="K41" s="10">
        <v>46382</v>
      </c>
      <c r="L41" s="10"/>
      <c r="M41">
        <v>5</v>
      </c>
      <c r="N41">
        <v>2</v>
      </c>
      <c r="O41">
        <v>10</v>
      </c>
      <c r="P41" s="9" t="s">
        <v>1386</v>
      </c>
      <c r="Q41" s="9" t="s">
        <v>1325</v>
      </c>
      <c r="R41">
        <v>1</v>
      </c>
      <c r="S41">
        <v>0</v>
      </c>
      <c r="T41">
        <v>0</v>
      </c>
      <c r="U41">
        <v>116</v>
      </c>
      <c r="V41" s="9" t="s">
        <v>1326</v>
      </c>
    </row>
    <row r="42" spans="1:22" x14ac:dyDescent="0.35">
      <c r="A42" s="9" t="s">
        <v>1393</v>
      </c>
      <c r="B42" s="9" t="s">
        <v>1328</v>
      </c>
      <c r="C42" s="9" t="s">
        <v>1347</v>
      </c>
      <c r="D42" s="9" t="s">
        <v>112</v>
      </c>
      <c r="E42" s="9" t="s">
        <v>113</v>
      </c>
      <c r="F42" s="9" t="s">
        <v>54</v>
      </c>
      <c r="G42" s="9" t="s">
        <v>1137</v>
      </c>
      <c r="H42" s="9" t="s">
        <v>1138</v>
      </c>
      <c r="I42" s="9" t="s">
        <v>1136</v>
      </c>
      <c r="J42" s="10">
        <v>46108</v>
      </c>
      <c r="K42" s="10">
        <v>46271</v>
      </c>
      <c r="L42" s="10">
        <v>46150</v>
      </c>
      <c r="M42">
        <v>2</v>
      </c>
      <c r="N42">
        <v>4</v>
      </c>
      <c r="O42">
        <v>10</v>
      </c>
      <c r="P42" s="9" t="s">
        <v>1386</v>
      </c>
      <c r="Q42" s="9" t="s">
        <v>1321</v>
      </c>
      <c r="R42">
        <v>0</v>
      </c>
      <c r="S42">
        <v>0</v>
      </c>
      <c r="T42">
        <v>0</v>
      </c>
      <c r="U42">
        <v>187</v>
      </c>
      <c r="V42" s="9" t="s">
        <v>1322</v>
      </c>
    </row>
    <row r="43" spans="1:22" x14ac:dyDescent="0.35">
      <c r="A43" s="9" t="s">
        <v>1394</v>
      </c>
      <c r="B43" s="9" t="s">
        <v>1328</v>
      </c>
      <c r="C43" s="9" t="s">
        <v>1329</v>
      </c>
      <c r="D43" s="9" t="s">
        <v>56</v>
      </c>
      <c r="E43" s="9" t="s">
        <v>57</v>
      </c>
      <c r="F43" s="9" t="s">
        <v>54</v>
      </c>
      <c r="G43" s="9" t="s">
        <v>1171</v>
      </c>
      <c r="H43" s="9" t="s">
        <v>1172</v>
      </c>
      <c r="I43" s="9" t="s">
        <v>1149</v>
      </c>
      <c r="J43" s="10">
        <v>46023</v>
      </c>
      <c r="K43" s="10">
        <v>46012</v>
      </c>
      <c r="L43" s="10"/>
      <c r="M43">
        <v>5</v>
      </c>
      <c r="N43">
        <v>2</v>
      </c>
      <c r="O43">
        <v>10</v>
      </c>
      <c r="P43" s="9" t="s">
        <v>1386</v>
      </c>
      <c r="Q43" s="9" t="s">
        <v>1325</v>
      </c>
      <c r="R43">
        <v>1</v>
      </c>
      <c r="S43">
        <v>0</v>
      </c>
      <c r="T43">
        <v>0</v>
      </c>
      <c r="U43">
        <v>272</v>
      </c>
      <c r="V43" s="9" t="s">
        <v>1326</v>
      </c>
    </row>
    <row r="44" spans="1:22" x14ac:dyDescent="0.35">
      <c r="A44" s="9" t="s">
        <v>1395</v>
      </c>
      <c r="B44" s="9" t="s">
        <v>1342</v>
      </c>
      <c r="C44" s="9" t="s">
        <v>1396</v>
      </c>
      <c r="D44" s="9" t="s">
        <v>69</v>
      </c>
      <c r="E44" s="9" t="s">
        <v>70</v>
      </c>
      <c r="F44" s="9" t="s">
        <v>49</v>
      </c>
      <c r="G44" s="9" t="s">
        <v>1176</v>
      </c>
      <c r="H44" s="9" t="s">
        <v>1177</v>
      </c>
      <c r="I44" s="9" t="s">
        <v>1160</v>
      </c>
      <c r="J44" s="10">
        <v>45918</v>
      </c>
      <c r="K44" s="10">
        <v>46030</v>
      </c>
      <c r="L44" s="10">
        <v>45946</v>
      </c>
      <c r="M44">
        <v>5</v>
      </c>
      <c r="N44">
        <v>2</v>
      </c>
      <c r="O44">
        <v>10</v>
      </c>
      <c r="P44" s="9" t="s">
        <v>1386</v>
      </c>
      <c r="Q44" s="9" t="s">
        <v>1321</v>
      </c>
      <c r="R44">
        <v>0</v>
      </c>
      <c r="S44">
        <v>0</v>
      </c>
      <c r="T44">
        <v>0</v>
      </c>
      <c r="U44">
        <v>377</v>
      </c>
      <c r="V44" s="9" t="s">
        <v>1322</v>
      </c>
    </row>
    <row r="45" spans="1:22" x14ac:dyDescent="0.35">
      <c r="A45" s="9" t="s">
        <v>1397</v>
      </c>
      <c r="B45" s="9" t="s">
        <v>1328</v>
      </c>
      <c r="C45" s="9" t="s">
        <v>1329</v>
      </c>
      <c r="D45" s="9" t="s">
        <v>56</v>
      </c>
      <c r="E45" s="9" t="s">
        <v>57</v>
      </c>
      <c r="F45" s="9" t="s">
        <v>54</v>
      </c>
      <c r="G45" s="9" t="s">
        <v>1190</v>
      </c>
      <c r="H45" s="9" t="s">
        <v>1191</v>
      </c>
      <c r="I45" s="9" t="s">
        <v>1149</v>
      </c>
      <c r="J45" s="10">
        <v>45959</v>
      </c>
      <c r="K45" s="10">
        <v>46009</v>
      </c>
      <c r="L45" s="10"/>
      <c r="M45">
        <v>1</v>
      </c>
      <c r="N45">
        <v>5</v>
      </c>
      <c r="O45">
        <v>10</v>
      </c>
      <c r="P45" s="9" t="s">
        <v>1360</v>
      </c>
      <c r="Q45" s="9" t="s">
        <v>1325</v>
      </c>
      <c r="R45">
        <v>1</v>
      </c>
      <c r="S45">
        <v>1</v>
      </c>
      <c r="T45">
        <v>286</v>
      </c>
      <c r="U45">
        <v>336</v>
      </c>
      <c r="V45" s="9" t="s">
        <v>1326</v>
      </c>
    </row>
    <row r="46" spans="1:22" x14ac:dyDescent="0.35">
      <c r="A46" s="9" t="s">
        <v>1398</v>
      </c>
      <c r="B46" s="9" t="s">
        <v>1328</v>
      </c>
      <c r="C46" s="9" t="s">
        <v>1347</v>
      </c>
      <c r="D46" s="9" t="s">
        <v>112</v>
      </c>
      <c r="E46" s="9" t="s">
        <v>113</v>
      </c>
      <c r="F46" s="9" t="s">
        <v>54</v>
      </c>
      <c r="G46" s="9" t="s">
        <v>1171</v>
      </c>
      <c r="H46" s="9" t="s">
        <v>1172</v>
      </c>
      <c r="I46" s="9" t="s">
        <v>1149</v>
      </c>
      <c r="J46" s="10">
        <v>46041</v>
      </c>
      <c r="K46" s="10">
        <v>46328</v>
      </c>
      <c r="L46" s="10">
        <v>46117</v>
      </c>
      <c r="M46">
        <v>2</v>
      </c>
      <c r="N46">
        <v>4</v>
      </c>
      <c r="O46">
        <v>10</v>
      </c>
      <c r="P46" s="9" t="s">
        <v>1386</v>
      </c>
      <c r="Q46" s="9" t="s">
        <v>1321</v>
      </c>
      <c r="R46">
        <v>0</v>
      </c>
      <c r="S46">
        <v>0</v>
      </c>
      <c r="T46">
        <v>0</v>
      </c>
      <c r="U46">
        <v>254</v>
      </c>
      <c r="V46" s="9" t="s">
        <v>1322</v>
      </c>
    </row>
    <row r="47" spans="1:22" x14ac:dyDescent="0.35">
      <c r="A47" s="9" t="s">
        <v>1399</v>
      </c>
      <c r="B47" s="9" t="s">
        <v>1328</v>
      </c>
      <c r="C47" s="9" t="s">
        <v>1329</v>
      </c>
      <c r="D47" s="9" t="s">
        <v>56</v>
      </c>
      <c r="E47" s="9" t="s">
        <v>57</v>
      </c>
      <c r="F47" s="9" t="s">
        <v>54</v>
      </c>
      <c r="G47" s="9" t="s">
        <v>1176</v>
      </c>
      <c r="H47" s="9" t="s">
        <v>1177</v>
      </c>
      <c r="I47" s="9" t="s">
        <v>1160</v>
      </c>
      <c r="J47" s="10">
        <v>45696</v>
      </c>
      <c r="K47" s="10">
        <v>45767</v>
      </c>
      <c r="L47" s="10">
        <v>45713</v>
      </c>
      <c r="M47">
        <v>5</v>
      </c>
      <c r="N47">
        <v>2</v>
      </c>
      <c r="O47">
        <v>10</v>
      </c>
      <c r="P47" s="9" t="s">
        <v>1386</v>
      </c>
      <c r="Q47" s="9" t="s">
        <v>1321</v>
      </c>
      <c r="R47">
        <v>0</v>
      </c>
      <c r="S47">
        <v>0</v>
      </c>
      <c r="T47">
        <v>0</v>
      </c>
      <c r="U47">
        <v>599</v>
      </c>
      <c r="V47" s="9" t="s">
        <v>1322</v>
      </c>
    </row>
    <row r="48" spans="1:22" x14ac:dyDescent="0.35">
      <c r="A48" s="9" t="s">
        <v>1400</v>
      </c>
      <c r="B48" s="9" t="s">
        <v>1328</v>
      </c>
      <c r="C48" s="9" t="s">
        <v>1329</v>
      </c>
      <c r="D48" s="9" t="s">
        <v>56</v>
      </c>
      <c r="E48" s="9" t="s">
        <v>57</v>
      </c>
      <c r="F48" s="9" t="s">
        <v>54</v>
      </c>
      <c r="G48" s="9" t="s">
        <v>1183</v>
      </c>
      <c r="H48" s="9" t="s">
        <v>1184</v>
      </c>
      <c r="I48" s="9" t="s">
        <v>1160</v>
      </c>
      <c r="J48" s="10">
        <v>45819</v>
      </c>
      <c r="K48" s="10">
        <v>46083</v>
      </c>
      <c r="L48" s="10"/>
      <c r="M48">
        <v>5</v>
      </c>
      <c r="N48">
        <v>2</v>
      </c>
      <c r="O48">
        <v>10</v>
      </c>
      <c r="P48" s="9" t="s">
        <v>1386</v>
      </c>
      <c r="Q48" s="9" t="s">
        <v>1325</v>
      </c>
      <c r="R48">
        <v>1</v>
      </c>
      <c r="S48">
        <v>1</v>
      </c>
      <c r="T48">
        <v>212</v>
      </c>
      <c r="U48">
        <v>476</v>
      </c>
      <c r="V48" s="9" t="s">
        <v>1326</v>
      </c>
    </row>
    <row r="49" spans="1:22" x14ac:dyDescent="0.35">
      <c r="A49" s="9" t="s">
        <v>1401</v>
      </c>
      <c r="B49" s="9" t="s">
        <v>1328</v>
      </c>
      <c r="C49" s="9" t="s">
        <v>1347</v>
      </c>
      <c r="D49" s="9" t="s">
        <v>112</v>
      </c>
      <c r="E49" s="9" t="s">
        <v>113</v>
      </c>
      <c r="F49" s="9" t="s">
        <v>54</v>
      </c>
      <c r="G49" s="9" t="s">
        <v>1188</v>
      </c>
      <c r="H49" s="9" t="s">
        <v>1189</v>
      </c>
      <c r="I49" s="9" t="s">
        <v>1131</v>
      </c>
      <c r="J49" s="10">
        <v>46034</v>
      </c>
      <c r="K49" s="10">
        <v>46102</v>
      </c>
      <c r="L49" s="10"/>
      <c r="M49">
        <v>1</v>
      </c>
      <c r="N49">
        <v>5</v>
      </c>
      <c r="O49">
        <v>10</v>
      </c>
      <c r="P49" s="9" t="s">
        <v>1360</v>
      </c>
      <c r="Q49" s="9" t="s">
        <v>1325</v>
      </c>
      <c r="R49">
        <v>1</v>
      </c>
      <c r="S49">
        <v>1</v>
      </c>
      <c r="T49">
        <v>193</v>
      </c>
      <c r="U49">
        <v>261</v>
      </c>
      <c r="V49" s="9" t="s">
        <v>1326</v>
      </c>
    </row>
    <row r="50" spans="1:22" x14ac:dyDescent="0.35">
      <c r="A50" s="9" t="s">
        <v>1402</v>
      </c>
      <c r="B50" s="9" t="s">
        <v>1328</v>
      </c>
      <c r="C50" s="9" t="s">
        <v>1347</v>
      </c>
      <c r="D50" s="9" t="s">
        <v>112</v>
      </c>
      <c r="E50" s="9" t="s">
        <v>113</v>
      </c>
      <c r="F50" s="9" t="s">
        <v>54</v>
      </c>
      <c r="G50" s="9" t="s">
        <v>1139</v>
      </c>
      <c r="H50" s="9" t="s">
        <v>1140</v>
      </c>
      <c r="I50" s="9" t="s">
        <v>1131</v>
      </c>
      <c r="J50" s="10">
        <v>45778</v>
      </c>
      <c r="K50" s="10">
        <v>45851</v>
      </c>
      <c r="L50" s="10"/>
      <c r="M50">
        <v>3</v>
      </c>
      <c r="N50">
        <v>3</v>
      </c>
      <c r="O50">
        <v>9</v>
      </c>
      <c r="P50" s="9" t="s">
        <v>1386</v>
      </c>
      <c r="Q50" s="9" t="s">
        <v>1325</v>
      </c>
      <c r="R50">
        <v>1</v>
      </c>
      <c r="S50">
        <v>1</v>
      </c>
      <c r="T50">
        <v>444</v>
      </c>
      <c r="U50">
        <v>517</v>
      </c>
      <c r="V50" s="9" t="s">
        <v>1326</v>
      </c>
    </row>
    <row r="51" spans="1:22" x14ac:dyDescent="0.35">
      <c r="A51" s="9" t="s">
        <v>1403</v>
      </c>
      <c r="B51" s="9" t="s">
        <v>1328</v>
      </c>
      <c r="C51" s="9" t="s">
        <v>1355</v>
      </c>
      <c r="D51" s="9" t="s">
        <v>80</v>
      </c>
      <c r="E51" s="9" t="s">
        <v>81</v>
      </c>
      <c r="F51" s="9" t="s">
        <v>82</v>
      </c>
      <c r="G51" s="9" t="s">
        <v>1167</v>
      </c>
      <c r="H51" s="9" t="s">
        <v>1168</v>
      </c>
      <c r="I51" s="9" t="s">
        <v>1136</v>
      </c>
      <c r="J51" s="10">
        <v>46058</v>
      </c>
      <c r="K51" s="10">
        <v>46128</v>
      </c>
      <c r="L51" s="10">
        <v>46075</v>
      </c>
      <c r="M51">
        <v>3</v>
      </c>
      <c r="N51">
        <v>3</v>
      </c>
      <c r="O51">
        <v>9</v>
      </c>
      <c r="P51" s="9" t="s">
        <v>1386</v>
      </c>
      <c r="Q51" s="9" t="s">
        <v>1321</v>
      </c>
      <c r="R51">
        <v>0</v>
      </c>
      <c r="S51">
        <v>0</v>
      </c>
      <c r="T51">
        <v>0</v>
      </c>
      <c r="U51">
        <v>237</v>
      </c>
      <c r="V51" s="9" t="s">
        <v>1322</v>
      </c>
    </row>
    <row r="52" spans="1:22" x14ac:dyDescent="0.35">
      <c r="A52" s="9" t="s">
        <v>1404</v>
      </c>
      <c r="B52" s="9" t="s">
        <v>1328</v>
      </c>
      <c r="C52" s="9" t="s">
        <v>1338</v>
      </c>
      <c r="D52" s="9" t="s">
        <v>93</v>
      </c>
      <c r="E52" s="9" t="s">
        <v>94</v>
      </c>
      <c r="F52" s="9" t="s">
        <v>82</v>
      </c>
      <c r="G52" s="9" t="s">
        <v>1167</v>
      </c>
      <c r="H52" s="9" t="s">
        <v>1168</v>
      </c>
      <c r="I52" s="9" t="s">
        <v>1136</v>
      </c>
      <c r="J52" s="10">
        <v>45949</v>
      </c>
      <c r="K52" s="10">
        <v>46130</v>
      </c>
      <c r="L52" s="10">
        <v>45996</v>
      </c>
      <c r="M52">
        <v>3</v>
      </c>
      <c r="N52">
        <v>3</v>
      </c>
      <c r="O52">
        <v>9</v>
      </c>
      <c r="P52" s="9" t="s">
        <v>1386</v>
      </c>
      <c r="Q52" s="9" t="s">
        <v>1321</v>
      </c>
      <c r="R52">
        <v>0</v>
      </c>
      <c r="S52">
        <v>0</v>
      </c>
      <c r="T52">
        <v>0</v>
      </c>
      <c r="U52">
        <v>346</v>
      </c>
      <c r="V52" s="9" t="s">
        <v>1322</v>
      </c>
    </row>
    <row r="53" spans="1:22" x14ac:dyDescent="0.35">
      <c r="A53" s="9" t="s">
        <v>1405</v>
      </c>
      <c r="B53" s="9" t="s">
        <v>1333</v>
      </c>
      <c r="C53" s="9" t="s">
        <v>1334</v>
      </c>
      <c r="D53" s="9" t="s">
        <v>69</v>
      </c>
      <c r="E53" s="9" t="s">
        <v>70</v>
      </c>
      <c r="F53" s="9" t="s">
        <v>49</v>
      </c>
      <c r="G53" s="9" t="s">
        <v>1158</v>
      </c>
      <c r="H53" s="9" t="s">
        <v>1159</v>
      </c>
      <c r="I53" s="9" t="s">
        <v>1160</v>
      </c>
      <c r="J53" s="10">
        <v>45761</v>
      </c>
      <c r="K53" s="10">
        <v>45750</v>
      </c>
      <c r="L53" s="10">
        <v>45789</v>
      </c>
      <c r="M53">
        <v>3</v>
      </c>
      <c r="N53">
        <v>3</v>
      </c>
      <c r="O53">
        <v>9</v>
      </c>
      <c r="P53" s="9" t="s">
        <v>1386</v>
      </c>
      <c r="Q53" s="9" t="s">
        <v>1321</v>
      </c>
      <c r="R53">
        <v>0</v>
      </c>
      <c r="S53">
        <v>0</v>
      </c>
      <c r="T53">
        <v>0</v>
      </c>
      <c r="U53">
        <v>534</v>
      </c>
      <c r="V53" s="9" t="s">
        <v>1322</v>
      </c>
    </row>
    <row r="54" spans="1:22" x14ac:dyDescent="0.35">
      <c r="A54" s="9" t="s">
        <v>1406</v>
      </c>
      <c r="B54" s="9" t="s">
        <v>1328</v>
      </c>
      <c r="C54" s="9" t="s">
        <v>1355</v>
      </c>
      <c r="D54" s="9" t="s">
        <v>80</v>
      </c>
      <c r="E54" s="9" t="s">
        <v>81</v>
      </c>
      <c r="F54" s="9" t="s">
        <v>82</v>
      </c>
      <c r="G54" s="9" t="s">
        <v>1152</v>
      </c>
      <c r="H54" s="9" t="s">
        <v>1153</v>
      </c>
      <c r="I54" s="9" t="s">
        <v>1131</v>
      </c>
      <c r="J54" s="10">
        <v>45810</v>
      </c>
      <c r="K54" s="10">
        <v>46103</v>
      </c>
      <c r="L54" s="10">
        <v>45887</v>
      </c>
      <c r="M54">
        <v>3</v>
      </c>
      <c r="N54">
        <v>3</v>
      </c>
      <c r="O54">
        <v>9</v>
      </c>
      <c r="P54" s="9" t="s">
        <v>1386</v>
      </c>
      <c r="Q54" s="9" t="s">
        <v>1321</v>
      </c>
      <c r="R54">
        <v>0</v>
      </c>
      <c r="S54">
        <v>0</v>
      </c>
      <c r="T54">
        <v>0</v>
      </c>
      <c r="U54">
        <v>485</v>
      </c>
      <c r="V54" s="9" t="s">
        <v>1322</v>
      </c>
    </row>
    <row r="55" spans="1:22" x14ac:dyDescent="0.35">
      <c r="A55" s="9" t="s">
        <v>1407</v>
      </c>
      <c r="B55" s="9" t="s">
        <v>1328</v>
      </c>
      <c r="C55" s="9" t="s">
        <v>1336</v>
      </c>
      <c r="D55" s="9" t="s">
        <v>69</v>
      </c>
      <c r="E55" s="9" t="s">
        <v>70</v>
      </c>
      <c r="F55" s="9" t="s">
        <v>49</v>
      </c>
      <c r="G55" s="9" t="s">
        <v>1211</v>
      </c>
      <c r="H55" s="9" t="s">
        <v>1212</v>
      </c>
      <c r="I55" s="9" t="s">
        <v>1160</v>
      </c>
      <c r="J55" s="10">
        <v>45741</v>
      </c>
      <c r="K55" s="10">
        <v>45937</v>
      </c>
      <c r="L55" s="10"/>
      <c r="M55">
        <v>4</v>
      </c>
      <c r="N55">
        <v>2</v>
      </c>
      <c r="O55">
        <v>8</v>
      </c>
      <c r="P55" s="9" t="s">
        <v>1386</v>
      </c>
      <c r="Q55" s="9" t="s">
        <v>1325</v>
      </c>
      <c r="R55">
        <v>1</v>
      </c>
      <c r="S55">
        <v>1</v>
      </c>
      <c r="T55">
        <v>358</v>
      </c>
      <c r="U55">
        <v>554</v>
      </c>
      <c r="V55" s="9" t="s">
        <v>1326</v>
      </c>
    </row>
    <row r="56" spans="1:22" x14ac:dyDescent="0.35">
      <c r="A56" s="9" t="s">
        <v>1408</v>
      </c>
      <c r="B56" s="9" t="s">
        <v>1342</v>
      </c>
      <c r="C56" s="9" t="s">
        <v>1370</v>
      </c>
      <c r="D56" s="9" t="s">
        <v>112</v>
      </c>
      <c r="E56" s="9" t="s">
        <v>113</v>
      </c>
      <c r="F56" s="9" t="s">
        <v>54</v>
      </c>
      <c r="G56" s="9" t="s">
        <v>1134</v>
      </c>
      <c r="H56" s="9" t="s">
        <v>1135</v>
      </c>
      <c r="I56" s="9" t="s">
        <v>1136</v>
      </c>
      <c r="J56" s="10">
        <v>46016</v>
      </c>
      <c r="K56" s="10">
        <v>46312</v>
      </c>
      <c r="L56" s="10">
        <v>46094</v>
      </c>
      <c r="M56">
        <v>4</v>
      </c>
      <c r="N56">
        <v>2</v>
      </c>
      <c r="O56">
        <v>8</v>
      </c>
      <c r="P56" s="9" t="s">
        <v>1386</v>
      </c>
      <c r="Q56" s="9" t="s">
        <v>1321</v>
      </c>
      <c r="R56">
        <v>0</v>
      </c>
      <c r="S56">
        <v>0</v>
      </c>
      <c r="T56">
        <v>0</v>
      </c>
      <c r="U56">
        <v>279</v>
      </c>
      <c r="V56" s="9" t="s">
        <v>1322</v>
      </c>
    </row>
    <row r="57" spans="1:22" x14ac:dyDescent="0.35">
      <c r="A57" s="9" t="s">
        <v>1409</v>
      </c>
      <c r="B57" s="9" t="s">
        <v>1328</v>
      </c>
      <c r="C57" s="9" t="s">
        <v>1410</v>
      </c>
      <c r="D57" s="9" t="s">
        <v>47</v>
      </c>
      <c r="E57" s="9" t="s">
        <v>48</v>
      </c>
      <c r="F57" s="9" t="s">
        <v>49</v>
      </c>
      <c r="G57" s="9" t="s">
        <v>1145</v>
      </c>
      <c r="H57" s="9" t="s">
        <v>1146</v>
      </c>
      <c r="I57" s="9" t="s">
        <v>1136</v>
      </c>
      <c r="J57" s="10">
        <v>46090</v>
      </c>
      <c r="K57" s="10">
        <v>46325</v>
      </c>
      <c r="L57" s="10">
        <v>46151</v>
      </c>
      <c r="M57">
        <v>4</v>
      </c>
      <c r="N57">
        <v>2</v>
      </c>
      <c r="O57">
        <v>8</v>
      </c>
      <c r="P57" s="9" t="s">
        <v>1386</v>
      </c>
      <c r="Q57" s="9" t="s">
        <v>1321</v>
      </c>
      <c r="R57">
        <v>0</v>
      </c>
      <c r="S57">
        <v>0</v>
      </c>
      <c r="T57">
        <v>0</v>
      </c>
      <c r="U57">
        <v>205</v>
      </c>
      <c r="V57" s="9" t="s">
        <v>1322</v>
      </c>
    </row>
    <row r="58" spans="1:22" x14ac:dyDescent="0.35">
      <c r="A58" s="9" t="s">
        <v>1411</v>
      </c>
      <c r="B58" s="9" t="s">
        <v>1318</v>
      </c>
      <c r="C58" s="9" t="s">
        <v>1372</v>
      </c>
      <c r="D58" s="9" t="s">
        <v>63</v>
      </c>
      <c r="E58" s="9" t="s">
        <v>64</v>
      </c>
      <c r="F58" s="9" t="s">
        <v>49</v>
      </c>
      <c r="G58" s="9" t="s">
        <v>1180</v>
      </c>
      <c r="H58" s="9" t="s">
        <v>1181</v>
      </c>
      <c r="I58" s="9" t="s">
        <v>1160</v>
      </c>
      <c r="J58" s="10">
        <v>46170</v>
      </c>
      <c r="K58" s="10">
        <v>46303</v>
      </c>
      <c r="L58" s="10">
        <v>46204</v>
      </c>
      <c r="M58">
        <v>1</v>
      </c>
      <c r="N58">
        <v>4</v>
      </c>
      <c r="O58">
        <v>8</v>
      </c>
      <c r="P58" s="9" t="s">
        <v>1386</v>
      </c>
      <c r="Q58" s="9" t="s">
        <v>1321</v>
      </c>
      <c r="R58">
        <v>0</v>
      </c>
      <c r="S58">
        <v>0</v>
      </c>
      <c r="T58">
        <v>0</v>
      </c>
      <c r="U58">
        <v>125</v>
      </c>
      <c r="V58" s="9" t="s">
        <v>1322</v>
      </c>
    </row>
    <row r="59" spans="1:22" x14ac:dyDescent="0.35">
      <c r="A59" s="9" t="s">
        <v>1412</v>
      </c>
      <c r="B59" s="9" t="s">
        <v>1328</v>
      </c>
      <c r="C59" s="9" t="s">
        <v>1329</v>
      </c>
      <c r="D59" s="9" t="s">
        <v>56</v>
      </c>
      <c r="E59" s="9" t="s">
        <v>57</v>
      </c>
      <c r="F59" s="9" t="s">
        <v>54</v>
      </c>
      <c r="G59" s="9" t="s">
        <v>1193</v>
      </c>
      <c r="H59" s="9" t="s">
        <v>1194</v>
      </c>
      <c r="I59" s="9" t="s">
        <v>1149</v>
      </c>
      <c r="J59" s="10">
        <v>46009</v>
      </c>
      <c r="K59" s="10">
        <v>46233</v>
      </c>
      <c r="L59" s="10">
        <v>46067</v>
      </c>
      <c r="M59">
        <v>4</v>
      </c>
      <c r="N59">
        <v>2</v>
      </c>
      <c r="O59">
        <v>8</v>
      </c>
      <c r="P59" s="9" t="s">
        <v>1386</v>
      </c>
      <c r="Q59" s="9" t="s">
        <v>1321</v>
      </c>
      <c r="R59">
        <v>0</v>
      </c>
      <c r="S59">
        <v>0</v>
      </c>
      <c r="T59">
        <v>0</v>
      </c>
      <c r="U59">
        <v>286</v>
      </c>
      <c r="V59" s="9" t="s">
        <v>1322</v>
      </c>
    </row>
    <row r="60" spans="1:22" x14ac:dyDescent="0.35">
      <c r="A60" s="9" t="s">
        <v>1413</v>
      </c>
      <c r="B60" s="9" t="s">
        <v>1333</v>
      </c>
      <c r="C60" s="9" t="s">
        <v>1353</v>
      </c>
      <c r="D60" s="9" t="s">
        <v>56</v>
      </c>
      <c r="E60" s="9" t="s">
        <v>57</v>
      </c>
      <c r="F60" s="9" t="s">
        <v>54</v>
      </c>
      <c r="G60" s="9" t="s">
        <v>1183</v>
      </c>
      <c r="H60" s="9" t="s">
        <v>1184</v>
      </c>
      <c r="I60" s="9" t="s">
        <v>1160</v>
      </c>
      <c r="J60" s="10">
        <v>45980</v>
      </c>
      <c r="K60" s="10">
        <v>46336</v>
      </c>
      <c r="L60" s="10"/>
      <c r="M60">
        <v>3</v>
      </c>
      <c r="N60">
        <v>2</v>
      </c>
      <c r="O60">
        <v>6</v>
      </c>
      <c r="P60" s="9" t="s">
        <v>1386</v>
      </c>
      <c r="Q60" s="9" t="s">
        <v>1325</v>
      </c>
      <c r="R60">
        <v>1</v>
      </c>
      <c r="S60">
        <v>0</v>
      </c>
      <c r="T60">
        <v>0</v>
      </c>
      <c r="U60">
        <v>315</v>
      </c>
      <c r="V60" s="9" t="s">
        <v>1326</v>
      </c>
    </row>
    <row r="61" spans="1:22" x14ac:dyDescent="0.35">
      <c r="A61" s="9" t="s">
        <v>1414</v>
      </c>
      <c r="B61" s="9" t="s">
        <v>1328</v>
      </c>
      <c r="C61" s="9" t="s">
        <v>1338</v>
      </c>
      <c r="D61" s="9" t="s">
        <v>93</v>
      </c>
      <c r="E61" s="9" t="s">
        <v>94</v>
      </c>
      <c r="F61" s="9" t="s">
        <v>82</v>
      </c>
      <c r="G61" s="9" t="s">
        <v>1162</v>
      </c>
      <c r="H61" s="9" t="s">
        <v>1163</v>
      </c>
      <c r="I61" s="9" t="s">
        <v>1149</v>
      </c>
      <c r="J61" s="10">
        <v>45803</v>
      </c>
      <c r="K61" s="10">
        <v>46157</v>
      </c>
      <c r="L61" s="10">
        <v>45897</v>
      </c>
      <c r="M61">
        <v>3</v>
      </c>
      <c r="N61">
        <v>2</v>
      </c>
      <c r="O61">
        <v>6</v>
      </c>
      <c r="P61" s="9" t="s">
        <v>1386</v>
      </c>
      <c r="Q61" s="9" t="s">
        <v>1321</v>
      </c>
      <c r="R61">
        <v>0</v>
      </c>
      <c r="S61">
        <v>0</v>
      </c>
      <c r="T61">
        <v>0</v>
      </c>
      <c r="U61">
        <v>492</v>
      </c>
      <c r="V61" s="9" t="s">
        <v>1322</v>
      </c>
    </row>
    <row r="62" spans="1:22" x14ac:dyDescent="0.35">
      <c r="A62" s="9" t="s">
        <v>1415</v>
      </c>
      <c r="B62" s="9" t="s">
        <v>1318</v>
      </c>
      <c r="C62" s="9" t="s">
        <v>1331</v>
      </c>
      <c r="D62" s="9" t="s">
        <v>47</v>
      </c>
      <c r="E62" s="9" t="s">
        <v>48</v>
      </c>
      <c r="F62" s="9" t="s">
        <v>49</v>
      </c>
      <c r="G62" s="9" t="s">
        <v>1147</v>
      </c>
      <c r="H62" s="9" t="s">
        <v>1148</v>
      </c>
      <c r="I62" s="9" t="s">
        <v>1149</v>
      </c>
      <c r="J62" s="10">
        <v>45994</v>
      </c>
      <c r="K62" s="10">
        <v>46105</v>
      </c>
      <c r="L62" s="10">
        <v>46022</v>
      </c>
      <c r="M62">
        <v>2</v>
      </c>
      <c r="N62">
        <v>3</v>
      </c>
      <c r="O62">
        <v>6</v>
      </c>
      <c r="P62" s="9" t="s">
        <v>1386</v>
      </c>
      <c r="Q62" s="9" t="s">
        <v>1321</v>
      </c>
      <c r="R62">
        <v>0</v>
      </c>
      <c r="S62">
        <v>0</v>
      </c>
      <c r="T62">
        <v>0</v>
      </c>
      <c r="U62">
        <v>301</v>
      </c>
      <c r="V62" s="9" t="s">
        <v>1322</v>
      </c>
    </row>
    <row r="63" spans="1:22" x14ac:dyDescent="0.35">
      <c r="A63" s="9" t="s">
        <v>1416</v>
      </c>
      <c r="B63" s="9" t="s">
        <v>1342</v>
      </c>
      <c r="C63" s="9" t="s">
        <v>1379</v>
      </c>
      <c r="D63" s="9" t="s">
        <v>63</v>
      </c>
      <c r="E63" s="9" t="s">
        <v>64</v>
      </c>
      <c r="F63" s="9" t="s">
        <v>49</v>
      </c>
      <c r="G63" s="9" t="s">
        <v>1193</v>
      </c>
      <c r="H63" s="9" t="s">
        <v>1194</v>
      </c>
      <c r="I63" s="9" t="s">
        <v>1149</v>
      </c>
      <c r="J63" s="10">
        <v>45858</v>
      </c>
      <c r="K63" s="10">
        <v>45965</v>
      </c>
      <c r="L63" s="10">
        <v>45885</v>
      </c>
      <c r="M63">
        <v>3</v>
      </c>
      <c r="N63">
        <v>2</v>
      </c>
      <c r="O63">
        <v>6</v>
      </c>
      <c r="P63" s="9" t="s">
        <v>1386</v>
      </c>
      <c r="Q63" s="9" t="s">
        <v>1321</v>
      </c>
      <c r="R63">
        <v>0</v>
      </c>
      <c r="S63">
        <v>0</v>
      </c>
      <c r="T63">
        <v>0</v>
      </c>
      <c r="U63">
        <v>437</v>
      </c>
      <c r="V63" s="9" t="s">
        <v>1322</v>
      </c>
    </row>
    <row r="64" spans="1:22" x14ac:dyDescent="0.35">
      <c r="A64" s="9" t="s">
        <v>1417</v>
      </c>
      <c r="B64" s="9" t="s">
        <v>1318</v>
      </c>
      <c r="C64" s="9" t="s">
        <v>1331</v>
      </c>
      <c r="D64" s="9" t="s">
        <v>47</v>
      </c>
      <c r="E64" s="9" t="s">
        <v>48</v>
      </c>
      <c r="F64" s="9" t="s">
        <v>49</v>
      </c>
      <c r="G64" s="9" t="s">
        <v>1147</v>
      </c>
      <c r="H64" s="9" t="s">
        <v>1148</v>
      </c>
      <c r="I64" s="9" t="s">
        <v>1149</v>
      </c>
      <c r="J64" s="10">
        <v>46018</v>
      </c>
      <c r="K64" s="10">
        <v>46382</v>
      </c>
      <c r="L64" s="10"/>
      <c r="M64">
        <v>2</v>
      </c>
      <c r="N64">
        <v>3</v>
      </c>
      <c r="O64">
        <v>6</v>
      </c>
      <c r="P64" s="9" t="s">
        <v>1386</v>
      </c>
      <c r="Q64" s="9" t="s">
        <v>1339</v>
      </c>
      <c r="R64">
        <v>1</v>
      </c>
      <c r="S64">
        <v>0</v>
      </c>
      <c r="T64">
        <v>0</v>
      </c>
      <c r="U64">
        <v>277</v>
      </c>
      <c r="V64" s="9" t="s">
        <v>1340</v>
      </c>
    </row>
    <row r="65" spans="1:22" x14ac:dyDescent="0.35">
      <c r="A65" s="9" t="s">
        <v>1418</v>
      </c>
      <c r="B65" s="9" t="s">
        <v>1328</v>
      </c>
      <c r="C65" s="9" t="s">
        <v>1347</v>
      </c>
      <c r="D65" s="9" t="s">
        <v>112</v>
      </c>
      <c r="E65" s="9" t="s">
        <v>113</v>
      </c>
      <c r="F65" s="9" t="s">
        <v>54</v>
      </c>
      <c r="G65" s="9" t="s">
        <v>1143</v>
      </c>
      <c r="H65" s="9" t="s">
        <v>1144</v>
      </c>
      <c r="I65" s="9" t="s">
        <v>1131</v>
      </c>
      <c r="J65" s="10">
        <v>45925</v>
      </c>
      <c r="K65" s="10">
        <v>45998</v>
      </c>
      <c r="L65" s="10">
        <v>45942</v>
      </c>
      <c r="M65">
        <v>2</v>
      </c>
      <c r="N65">
        <v>3</v>
      </c>
      <c r="O65">
        <v>6</v>
      </c>
      <c r="P65" s="9" t="s">
        <v>1386</v>
      </c>
      <c r="Q65" s="9" t="s">
        <v>1321</v>
      </c>
      <c r="R65">
        <v>0</v>
      </c>
      <c r="S65">
        <v>0</v>
      </c>
      <c r="T65">
        <v>0</v>
      </c>
      <c r="U65">
        <v>370</v>
      </c>
      <c r="V65" s="9" t="s">
        <v>1322</v>
      </c>
    </row>
    <row r="66" spans="1:22" x14ac:dyDescent="0.35">
      <c r="A66" s="9" t="s">
        <v>1419</v>
      </c>
      <c r="B66" s="9" t="s">
        <v>1333</v>
      </c>
      <c r="C66" s="9" t="s">
        <v>1388</v>
      </c>
      <c r="D66" s="9" t="s">
        <v>63</v>
      </c>
      <c r="E66" s="9" t="s">
        <v>64</v>
      </c>
      <c r="F66" s="9" t="s">
        <v>49</v>
      </c>
      <c r="G66" s="9" t="s">
        <v>1211</v>
      </c>
      <c r="H66" s="9" t="s">
        <v>1212</v>
      </c>
      <c r="I66" s="9" t="s">
        <v>1160</v>
      </c>
      <c r="J66" s="10">
        <v>45775</v>
      </c>
      <c r="K66" s="10">
        <v>45764</v>
      </c>
      <c r="L66" s="10">
        <v>45827</v>
      </c>
      <c r="M66">
        <v>2</v>
      </c>
      <c r="N66">
        <v>3</v>
      </c>
      <c r="O66">
        <v>6</v>
      </c>
      <c r="P66" s="9" t="s">
        <v>1386</v>
      </c>
      <c r="Q66" s="9" t="s">
        <v>1321</v>
      </c>
      <c r="R66">
        <v>0</v>
      </c>
      <c r="S66">
        <v>0</v>
      </c>
      <c r="T66">
        <v>0</v>
      </c>
      <c r="U66">
        <v>520</v>
      </c>
      <c r="V66" s="9" t="s">
        <v>1322</v>
      </c>
    </row>
    <row r="67" spans="1:22" x14ac:dyDescent="0.35">
      <c r="A67" s="9" t="s">
        <v>1420</v>
      </c>
      <c r="B67" s="9" t="s">
        <v>1318</v>
      </c>
      <c r="C67" s="9" t="s">
        <v>1349</v>
      </c>
      <c r="D67" s="9" t="s">
        <v>112</v>
      </c>
      <c r="E67" s="9" t="s">
        <v>113</v>
      </c>
      <c r="F67" s="9" t="s">
        <v>54</v>
      </c>
      <c r="G67" s="9" t="s">
        <v>1129</v>
      </c>
      <c r="H67" s="9" t="s">
        <v>1130</v>
      </c>
      <c r="I67" s="9" t="s">
        <v>1131</v>
      </c>
      <c r="J67" s="10">
        <v>45768</v>
      </c>
      <c r="K67" s="10">
        <v>45820</v>
      </c>
      <c r="L67" s="10"/>
      <c r="M67">
        <v>3</v>
      </c>
      <c r="N67">
        <v>2</v>
      </c>
      <c r="O67">
        <v>6</v>
      </c>
      <c r="P67" s="9" t="s">
        <v>1386</v>
      </c>
      <c r="Q67" s="9" t="s">
        <v>1325</v>
      </c>
      <c r="R67">
        <v>1</v>
      </c>
      <c r="S67">
        <v>1</v>
      </c>
      <c r="T67">
        <v>475</v>
      </c>
      <c r="U67">
        <v>527</v>
      </c>
      <c r="V67" s="9" t="s">
        <v>1326</v>
      </c>
    </row>
    <row r="68" spans="1:22" x14ac:dyDescent="0.35">
      <c r="A68" s="9" t="s">
        <v>1421</v>
      </c>
      <c r="B68" s="9" t="s">
        <v>1318</v>
      </c>
      <c r="C68" s="9" t="s">
        <v>1319</v>
      </c>
      <c r="D68" s="9" t="s">
        <v>69</v>
      </c>
      <c r="E68" s="9" t="s">
        <v>70</v>
      </c>
      <c r="F68" s="9" t="s">
        <v>49</v>
      </c>
      <c r="G68" s="9" t="s">
        <v>1129</v>
      </c>
      <c r="H68" s="9" t="s">
        <v>1130</v>
      </c>
      <c r="I68" s="9" t="s">
        <v>1131</v>
      </c>
      <c r="J68" s="10">
        <v>46093</v>
      </c>
      <c r="K68" s="10">
        <v>46424</v>
      </c>
      <c r="L68" s="10"/>
      <c r="M68">
        <v>3</v>
      </c>
      <c r="N68">
        <v>2</v>
      </c>
      <c r="O68">
        <v>6</v>
      </c>
      <c r="P68" s="9" t="s">
        <v>1386</v>
      </c>
      <c r="Q68" s="9" t="s">
        <v>1339</v>
      </c>
      <c r="R68">
        <v>1</v>
      </c>
      <c r="S68">
        <v>0</v>
      </c>
      <c r="T68">
        <v>0</v>
      </c>
      <c r="U68">
        <v>202</v>
      </c>
      <c r="V68" s="9" t="s">
        <v>1340</v>
      </c>
    </row>
    <row r="69" spans="1:22" x14ac:dyDescent="0.35">
      <c r="A69" s="9" t="s">
        <v>1422</v>
      </c>
      <c r="B69" s="9" t="s">
        <v>1318</v>
      </c>
      <c r="C69" s="9" t="s">
        <v>1349</v>
      </c>
      <c r="D69" s="9" t="s">
        <v>112</v>
      </c>
      <c r="E69" s="9" t="s">
        <v>113</v>
      </c>
      <c r="F69" s="9" t="s">
        <v>54</v>
      </c>
      <c r="G69" s="9" t="s">
        <v>1155</v>
      </c>
      <c r="H69" s="9" t="s">
        <v>1156</v>
      </c>
      <c r="I69" s="9" t="s">
        <v>1131</v>
      </c>
      <c r="J69" s="10">
        <v>45680</v>
      </c>
      <c r="K69" s="10">
        <v>46034</v>
      </c>
      <c r="L69" s="10">
        <v>45774</v>
      </c>
      <c r="M69">
        <v>5</v>
      </c>
      <c r="N69">
        <v>1</v>
      </c>
      <c r="O69">
        <v>5</v>
      </c>
      <c r="P69" s="9" t="s">
        <v>1386</v>
      </c>
      <c r="Q69" s="9" t="s">
        <v>1321</v>
      </c>
      <c r="R69">
        <v>0</v>
      </c>
      <c r="S69">
        <v>0</v>
      </c>
      <c r="T69">
        <v>0</v>
      </c>
      <c r="U69">
        <v>615</v>
      </c>
      <c r="V69" s="9" t="s">
        <v>1322</v>
      </c>
    </row>
    <row r="70" spans="1:22" x14ac:dyDescent="0.35">
      <c r="A70" s="9" t="s">
        <v>1423</v>
      </c>
      <c r="B70" s="9" t="s">
        <v>1328</v>
      </c>
      <c r="C70" s="9" t="s">
        <v>1336</v>
      </c>
      <c r="D70" s="9" t="s">
        <v>69</v>
      </c>
      <c r="E70" s="9" t="s">
        <v>70</v>
      </c>
      <c r="F70" s="9" t="s">
        <v>49</v>
      </c>
      <c r="G70" s="9" t="s">
        <v>1176</v>
      </c>
      <c r="H70" s="9" t="s">
        <v>1177</v>
      </c>
      <c r="I70" s="9" t="s">
        <v>1160</v>
      </c>
      <c r="J70" s="10">
        <v>45881</v>
      </c>
      <c r="K70" s="10">
        <v>46175</v>
      </c>
      <c r="L70" s="10">
        <v>45959</v>
      </c>
      <c r="M70">
        <v>4</v>
      </c>
      <c r="N70">
        <v>1</v>
      </c>
      <c r="O70">
        <v>4</v>
      </c>
      <c r="P70" s="9" t="s">
        <v>1424</v>
      </c>
      <c r="Q70" s="9" t="s">
        <v>1321</v>
      </c>
      <c r="R70">
        <v>0</v>
      </c>
      <c r="S70">
        <v>0</v>
      </c>
      <c r="T70">
        <v>0</v>
      </c>
      <c r="U70">
        <v>414</v>
      </c>
      <c r="V70" s="9" t="s">
        <v>1322</v>
      </c>
    </row>
    <row r="71" spans="1:22" x14ac:dyDescent="0.35">
      <c r="A71" s="9" t="s">
        <v>1425</v>
      </c>
      <c r="B71" s="9" t="s">
        <v>1333</v>
      </c>
      <c r="C71" s="9" t="s">
        <v>1353</v>
      </c>
      <c r="D71" s="9" t="s">
        <v>56</v>
      </c>
      <c r="E71" s="9" t="s">
        <v>57</v>
      </c>
      <c r="F71" s="9" t="s">
        <v>54</v>
      </c>
      <c r="G71" s="9" t="s">
        <v>1211</v>
      </c>
      <c r="H71" s="9" t="s">
        <v>1212</v>
      </c>
      <c r="I71" s="9" t="s">
        <v>1160</v>
      </c>
      <c r="J71" s="10">
        <v>46200</v>
      </c>
      <c r="K71" s="10">
        <v>46407</v>
      </c>
      <c r="L71" s="10">
        <v>46254</v>
      </c>
      <c r="M71">
        <v>2</v>
      </c>
      <c r="N71">
        <v>2</v>
      </c>
      <c r="O71">
        <v>4</v>
      </c>
      <c r="P71" s="9" t="s">
        <v>1424</v>
      </c>
      <c r="Q71" s="9" t="s">
        <v>1321</v>
      </c>
      <c r="R71">
        <v>0</v>
      </c>
      <c r="S71">
        <v>0</v>
      </c>
      <c r="T71">
        <v>0</v>
      </c>
      <c r="U71">
        <v>95</v>
      </c>
      <c r="V71" s="9" t="s">
        <v>1322</v>
      </c>
    </row>
    <row r="72" spans="1:22" x14ac:dyDescent="0.35">
      <c r="A72" s="9" t="s">
        <v>1426</v>
      </c>
      <c r="B72" s="9" t="s">
        <v>1328</v>
      </c>
      <c r="C72" s="9" t="s">
        <v>1410</v>
      </c>
      <c r="D72" s="9" t="s">
        <v>47</v>
      </c>
      <c r="E72" s="9" t="s">
        <v>48</v>
      </c>
      <c r="F72" s="9" t="s">
        <v>49</v>
      </c>
      <c r="G72" s="9" t="s">
        <v>1180</v>
      </c>
      <c r="H72" s="9" t="s">
        <v>1181</v>
      </c>
      <c r="I72" s="9" t="s">
        <v>1160</v>
      </c>
      <c r="J72" s="10">
        <v>46110</v>
      </c>
      <c r="K72" s="10">
        <v>46326</v>
      </c>
      <c r="L72" s="10">
        <v>46166</v>
      </c>
      <c r="M72">
        <v>4</v>
      </c>
      <c r="N72">
        <v>1</v>
      </c>
      <c r="O72">
        <v>4</v>
      </c>
      <c r="P72" s="9" t="s">
        <v>1424</v>
      </c>
      <c r="Q72" s="9" t="s">
        <v>1321</v>
      </c>
      <c r="R72">
        <v>0</v>
      </c>
      <c r="S72">
        <v>0</v>
      </c>
      <c r="T72">
        <v>0</v>
      </c>
      <c r="U72">
        <v>185</v>
      </c>
      <c r="V72" s="9" t="s">
        <v>1322</v>
      </c>
    </row>
    <row r="73" spans="1:22" x14ac:dyDescent="0.35">
      <c r="A73" s="9" t="s">
        <v>1427</v>
      </c>
      <c r="B73" s="9" t="s">
        <v>1318</v>
      </c>
      <c r="C73" s="9" t="s">
        <v>1324</v>
      </c>
      <c r="D73" s="9" t="s">
        <v>56</v>
      </c>
      <c r="E73" s="9" t="s">
        <v>57</v>
      </c>
      <c r="F73" s="9" t="s">
        <v>54</v>
      </c>
      <c r="G73" s="9" t="s">
        <v>1167</v>
      </c>
      <c r="H73" s="9" t="s">
        <v>1168</v>
      </c>
      <c r="I73" s="9" t="s">
        <v>1136</v>
      </c>
      <c r="J73" s="10">
        <v>46014</v>
      </c>
      <c r="K73" s="10">
        <v>46217</v>
      </c>
      <c r="L73" s="10">
        <v>46067</v>
      </c>
      <c r="M73">
        <v>4</v>
      </c>
      <c r="N73">
        <v>1</v>
      </c>
      <c r="O73">
        <v>4</v>
      </c>
      <c r="P73" s="9" t="s">
        <v>1424</v>
      </c>
      <c r="Q73" s="9" t="s">
        <v>1321</v>
      </c>
      <c r="R73">
        <v>0</v>
      </c>
      <c r="S73">
        <v>0</v>
      </c>
      <c r="T73">
        <v>0</v>
      </c>
      <c r="U73">
        <v>281</v>
      </c>
      <c r="V73" s="9" t="s">
        <v>1322</v>
      </c>
    </row>
    <row r="74" spans="1:22" x14ac:dyDescent="0.35">
      <c r="A74" s="9" t="s">
        <v>1428</v>
      </c>
      <c r="B74" s="9" t="s">
        <v>1318</v>
      </c>
      <c r="C74" s="9" t="s">
        <v>1324</v>
      </c>
      <c r="D74" s="9" t="s">
        <v>56</v>
      </c>
      <c r="E74" s="9" t="s">
        <v>57</v>
      </c>
      <c r="F74" s="9" t="s">
        <v>54</v>
      </c>
      <c r="G74" s="9" t="s">
        <v>1196</v>
      </c>
      <c r="H74" s="9" t="s">
        <v>1197</v>
      </c>
      <c r="I74" s="9" t="s">
        <v>1136</v>
      </c>
      <c r="J74" s="10">
        <v>46196</v>
      </c>
      <c r="K74" s="10">
        <v>46517</v>
      </c>
      <c r="L74" s="10"/>
      <c r="M74">
        <v>1</v>
      </c>
      <c r="N74">
        <v>3</v>
      </c>
      <c r="O74">
        <v>3</v>
      </c>
      <c r="P74" s="9" t="s">
        <v>1424</v>
      </c>
      <c r="Q74" s="9" t="s">
        <v>1325</v>
      </c>
      <c r="R74">
        <v>1</v>
      </c>
      <c r="S74">
        <v>0</v>
      </c>
      <c r="T74">
        <v>0</v>
      </c>
      <c r="U74">
        <v>99</v>
      </c>
      <c r="V74" s="9" t="s">
        <v>1326</v>
      </c>
    </row>
    <row r="75" spans="1:22" x14ac:dyDescent="0.35">
      <c r="A75" s="9" t="s">
        <v>1429</v>
      </c>
      <c r="B75" s="9" t="s">
        <v>1318</v>
      </c>
      <c r="C75" s="9" t="s">
        <v>1324</v>
      </c>
      <c r="D75" s="9" t="s">
        <v>56</v>
      </c>
      <c r="E75" s="9" t="s">
        <v>57</v>
      </c>
      <c r="F75" s="9" t="s">
        <v>54</v>
      </c>
      <c r="G75" s="9" t="s">
        <v>1167</v>
      </c>
      <c r="H75" s="9" t="s">
        <v>1168</v>
      </c>
      <c r="I75" s="9" t="s">
        <v>1136</v>
      </c>
      <c r="J75" s="10">
        <v>45804</v>
      </c>
      <c r="K75" s="10">
        <v>46156</v>
      </c>
      <c r="L75" s="10"/>
      <c r="M75">
        <v>3</v>
      </c>
      <c r="N75">
        <v>1</v>
      </c>
      <c r="O75">
        <v>3</v>
      </c>
      <c r="P75" s="9" t="s">
        <v>1424</v>
      </c>
      <c r="Q75" s="9" t="s">
        <v>1325</v>
      </c>
      <c r="R75">
        <v>1</v>
      </c>
      <c r="S75">
        <v>1</v>
      </c>
      <c r="T75">
        <v>139</v>
      </c>
      <c r="U75">
        <v>491</v>
      </c>
      <c r="V75" s="9" t="s">
        <v>1326</v>
      </c>
    </row>
    <row r="76" spans="1:22" x14ac:dyDescent="0.35">
      <c r="A76" s="9" t="s">
        <v>1430</v>
      </c>
      <c r="B76" s="9" t="s">
        <v>1328</v>
      </c>
      <c r="C76" s="9" t="s">
        <v>1355</v>
      </c>
      <c r="D76" s="9" t="s">
        <v>80</v>
      </c>
      <c r="E76" s="9" t="s">
        <v>81</v>
      </c>
      <c r="F76" s="9" t="s">
        <v>82</v>
      </c>
      <c r="G76" s="9" t="s">
        <v>1196</v>
      </c>
      <c r="H76" s="9" t="s">
        <v>1197</v>
      </c>
      <c r="I76" s="9" t="s">
        <v>1136</v>
      </c>
      <c r="J76" s="10">
        <v>46053</v>
      </c>
      <c r="K76" s="10">
        <v>46042</v>
      </c>
      <c r="L76" s="10"/>
      <c r="M76">
        <v>3</v>
      </c>
      <c r="N76">
        <v>1</v>
      </c>
      <c r="O76">
        <v>3</v>
      </c>
      <c r="P76" s="9" t="s">
        <v>1424</v>
      </c>
      <c r="Q76" s="9" t="s">
        <v>1339</v>
      </c>
      <c r="R76">
        <v>1</v>
      </c>
      <c r="S76">
        <v>0</v>
      </c>
      <c r="T76">
        <v>0</v>
      </c>
      <c r="U76">
        <v>242</v>
      </c>
      <c r="V76" s="9" t="s">
        <v>1340</v>
      </c>
    </row>
    <row r="77" spans="1:22" x14ac:dyDescent="0.35">
      <c r="A77" s="9" t="s">
        <v>1431</v>
      </c>
      <c r="B77" s="9" t="s">
        <v>1328</v>
      </c>
      <c r="C77" s="9" t="s">
        <v>1329</v>
      </c>
      <c r="D77" s="9" t="s">
        <v>56</v>
      </c>
      <c r="E77" s="9" t="s">
        <v>57</v>
      </c>
      <c r="F77" s="9" t="s">
        <v>54</v>
      </c>
      <c r="G77" s="9" t="s">
        <v>1162</v>
      </c>
      <c r="H77" s="9" t="s">
        <v>1163</v>
      </c>
      <c r="I77" s="9" t="s">
        <v>1149</v>
      </c>
      <c r="J77" s="10">
        <v>45999</v>
      </c>
      <c r="K77" s="10">
        <v>46372</v>
      </c>
      <c r="L77" s="10">
        <v>46098</v>
      </c>
      <c r="M77">
        <v>3</v>
      </c>
      <c r="N77">
        <v>1</v>
      </c>
      <c r="O77">
        <v>3</v>
      </c>
      <c r="P77" s="9" t="s">
        <v>1424</v>
      </c>
      <c r="Q77" s="9" t="s">
        <v>1321</v>
      </c>
      <c r="R77">
        <v>0</v>
      </c>
      <c r="S77">
        <v>0</v>
      </c>
      <c r="T77">
        <v>0</v>
      </c>
      <c r="U77">
        <v>296</v>
      </c>
      <c r="V77" s="9" t="s">
        <v>1322</v>
      </c>
    </row>
    <row r="78" spans="1:22" x14ac:dyDescent="0.35">
      <c r="A78" s="9" t="s">
        <v>1432</v>
      </c>
      <c r="B78" s="9" t="s">
        <v>1333</v>
      </c>
      <c r="C78" s="9" t="s">
        <v>1334</v>
      </c>
      <c r="D78" s="9" t="s">
        <v>69</v>
      </c>
      <c r="E78" s="9" t="s">
        <v>70</v>
      </c>
      <c r="F78" s="9" t="s">
        <v>49</v>
      </c>
      <c r="G78" s="9" t="s">
        <v>1183</v>
      </c>
      <c r="H78" s="9" t="s">
        <v>1184</v>
      </c>
      <c r="I78" s="9" t="s">
        <v>1160</v>
      </c>
      <c r="J78" s="10">
        <v>45747</v>
      </c>
      <c r="K78" s="10">
        <v>45825</v>
      </c>
      <c r="L78" s="10"/>
      <c r="M78">
        <v>3</v>
      </c>
      <c r="N78">
        <v>1</v>
      </c>
      <c r="O78">
        <v>3</v>
      </c>
      <c r="P78" s="9" t="s">
        <v>1424</v>
      </c>
      <c r="Q78" s="9" t="s">
        <v>1339</v>
      </c>
      <c r="R78">
        <v>1</v>
      </c>
      <c r="S78">
        <v>1</v>
      </c>
      <c r="T78">
        <v>470</v>
      </c>
      <c r="U78">
        <v>548</v>
      </c>
      <c r="V78" s="9" t="s">
        <v>1340</v>
      </c>
    </row>
    <row r="79" spans="1:22" x14ac:dyDescent="0.35">
      <c r="A79" s="9" t="s">
        <v>1433</v>
      </c>
      <c r="B79" s="9" t="s">
        <v>1328</v>
      </c>
      <c r="C79" s="9" t="s">
        <v>1329</v>
      </c>
      <c r="D79" s="9" t="s">
        <v>56</v>
      </c>
      <c r="E79" s="9" t="s">
        <v>57</v>
      </c>
      <c r="F79" s="9" t="s">
        <v>54</v>
      </c>
      <c r="G79" s="9" t="s">
        <v>1129</v>
      </c>
      <c r="H79" s="9" t="s">
        <v>1130</v>
      </c>
      <c r="I79" s="9" t="s">
        <v>1131</v>
      </c>
      <c r="J79" s="10">
        <v>45762</v>
      </c>
      <c r="K79" s="10">
        <v>45970</v>
      </c>
      <c r="L79" s="10"/>
      <c r="M79">
        <v>3</v>
      </c>
      <c r="N79">
        <v>1</v>
      </c>
      <c r="O79">
        <v>3</v>
      </c>
      <c r="P79" s="9" t="s">
        <v>1424</v>
      </c>
      <c r="Q79" s="9" t="s">
        <v>1325</v>
      </c>
      <c r="R79">
        <v>1</v>
      </c>
      <c r="S79">
        <v>1</v>
      </c>
      <c r="T79">
        <v>325</v>
      </c>
      <c r="U79">
        <v>533</v>
      </c>
      <c r="V79" s="9" t="s">
        <v>1326</v>
      </c>
    </row>
    <row r="80" spans="1:22" x14ac:dyDescent="0.35">
      <c r="A80" s="9" t="s">
        <v>1434</v>
      </c>
      <c r="B80" s="9" t="s">
        <v>1328</v>
      </c>
      <c r="C80" s="9" t="s">
        <v>1347</v>
      </c>
      <c r="D80" s="9" t="s">
        <v>112</v>
      </c>
      <c r="E80" s="9" t="s">
        <v>113</v>
      </c>
      <c r="F80" s="9" t="s">
        <v>54</v>
      </c>
      <c r="G80" s="9" t="s">
        <v>1152</v>
      </c>
      <c r="H80" s="9" t="s">
        <v>1153</v>
      </c>
      <c r="I80" s="9" t="s">
        <v>1131</v>
      </c>
      <c r="J80" s="10">
        <v>45978</v>
      </c>
      <c r="K80" s="10">
        <v>45967</v>
      </c>
      <c r="L80" s="10"/>
      <c r="M80">
        <v>3</v>
      </c>
      <c r="N80">
        <v>1</v>
      </c>
      <c r="O80">
        <v>3</v>
      </c>
      <c r="P80" s="9" t="s">
        <v>1424</v>
      </c>
      <c r="Q80" s="9" t="s">
        <v>1325</v>
      </c>
      <c r="R80">
        <v>1</v>
      </c>
      <c r="S80">
        <v>0</v>
      </c>
      <c r="T80">
        <v>0</v>
      </c>
      <c r="U80">
        <v>317</v>
      </c>
      <c r="V80" s="9" t="s">
        <v>1326</v>
      </c>
    </row>
    <row r="81" spans="1:22" x14ac:dyDescent="0.35">
      <c r="A81" s="9" t="s">
        <v>1435</v>
      </c>
      <c r="B81" s="9" t="s">
        <v>1328</v>
      </c>
      <c r="C81" s="9" t="s">
        <v>1329</v>
      </c>
      <c r="D81" s="9" t="s">
        <v>56</v>
      </c>
      <c r="E81" s="9" t="s">
        <v>57</v>
      </c>
      <c r="F81" s="9" t="s">
        <v>54</v>
      </c>
      <c r="G81" s="9" t="s">
        <v>1137</v>
      </c>
      <c r="H81" s="9" t="s">
        <v>1138</v>
      </c>
      <c r="I81" s="9" t="s">
        <v>1136</v>
      </c>
      <c r="J81" s="10">
        <v>45894</v>
      </c>
      <c r="K81" s="10">
        <v>46192</v>
      </c>
      <c r="L81" s="10"/>
      <c r="M81">
        <v>1</v>
      </c>
      <c r="N81">
        <v>3</v>
      </c>
      <c r="O81">
        <v>3</v>
      </c>
      <c r="P81" s="9" t="s">
        <v>1424</v>
      </c>
      <c r="Q81" s="9" t="s">
        <v>1325</v>
      </c>
      <c r="R81">
        <v>1</v>
      </c>
      <c r="S81">
        <v>1</v>
      </c>
      <c r="T81">
        <v>103</v>
      </c>
      <c r="U81">
        <v>401</v>
      </c>
      <c r="V81" s="9" t="s">
        <v>1326</v>
      </c>
    </row>
    <row r="82" spans="1:22" x14ac:dyDescent="0.35">
      <c r="A82" s="9" t="s">
        <v>1436</v>
      </c>
      <c r="B82" s="9" t="s">
        <v>1328</v>
      </c>
      <c r="C82" s="9" t="s">
        <v>1368</v>
      </c>
      <c r="D82" s="9" t="s">
        <v>63</v>
      </c>
      <c r="E82" s="9" t="s">
        <v>64</v>
      </c>
      <c r="F82" s="9" t="s">
        <v>49</v>
      </c>
      <c r="G82" s="9" t="s">
        <v>1143</v>
      </c>
      <c r="H82" s="9" t="s">
        <v>1144</v>
      </c>
      <c r="I82" s="9" t="s">
        <v>1131</v>
      </c>
      <c r="J82" s="10">
        <v>45845</v>
      </c>
      <c r="K82" s="10">
        <v>46217</v>
      </c>
      <c r="L82" s="10">
        <v>45944</v>
      </c>
      <c r="M82">
        <v>1</v>
      </c>
      <c r="N82">
        <v>3</v>
      </c>
      <c r="O82">
        <v>3</v>
      </c>
      <c r="P82" s="9" t="s">
        <v>1424</v>
      </c>
      <c r="Q82" s="9" t="s">
        <v>1321</v>
      </c>
      <c r="R82">
        <v>0</v>
      </c>
      <c r="S82">
        <v>0</v>
      </c>
      <c r="T82">
        <v>0</v>
      </c>
      <c r="U82">
        <v>450</v>
      </c>
      <c r="V82" s="9" t="s">
        <v>1322</v>
      </c>
    </row>
    <row r="83" spans="1:22" x14ac:dyDescent="0.35">
      <c r="A83" s="9" t="s">
        <v>1437</v>
      </c>
      <c r="B83" s="9" t="s">
        <v>1328</v>
      </c>
      <c r="C83" s="9" t="s">
        <v>1329</v>
      </c>
      <c r="D83" s="9" t="s">
        <v>56</v>
      </c>
      <c r="E83" s="9" t="s">
        <v>57</v>
      </c>
      <c r="F83" s="9" t="s">
        <v>54</v>
      </c>
      <c r="G83" s="9" t="s">
        <v>1139</v>
      </c>
      <c r="H83" s="9" t="s">
        <v>1140</v>
      </c>
      <c r="I83" s="9" t="s">
        <v>1131</v>
      </c>
      <c r="J83" s="10">
        <v>45790</v>
      </c>
      <c r="K83" s="10">
        <v>45981</v>
      </c>
      <c r="L83" s="10">
        <v>45839</v>
      </c>
      <c r="M83">
        <v>1</v>
      </c>
      <c r="N83">
        <v>3</v>
      </c>
      <c r="O83">
        <v>3</v>
      </c>
      <c r="P83" s="9" t="s">
        <v>1424</v>
      </c>
      <c r="Q83" s="9" t="s">
        <v>1321</v>
      </c>
      <c r="R83">
        <v>0</v>
      </c>
      <c r="S83">
        <v>0</v>
      </c>
      <c r="T83">
        <v>0</v>
      </c>
      <c r="U83">
        <v>505</v>
      </c>
      <c r="V83" s="9" t="s">
        <v>1322</v>
      </c>
    </row>
    <row r="84" spans="1:22" x14ac:dyDescent="0.35">
      <c r="A84" s="9" t="s">
        <v>1438</v>
      </c>
      <c r="B84" s="9" t="s">
        <v>1342</v>
      </c>
      <c r="C84" s="9" t="s">
        <v>1370</v>
      </c>
      <c r="D84" s="9" t="s">
        <v>112</v>
      </c>
      <c r="E84" s="9" t="s">
        <v>113</v>
      </c>
      <c r="F84" s="9" t="s">
        <v>54</v>
      </c>
      <c r="G84" s="9" t="s">
        <v>1158</v>
      </c>
      <c r="H84" s="9" t="s">
        <v>1159</v>
      </c>
      <c r="I84" s="9" t="s">
        <v>1160</v>
      </c>
      <c r="J84" s="10">
        <v>45832</v>
      </c>
      <c r="K84" s="10">
        <v>46117</v>
      </c>
      <c r="L84" s="10">
        <v>45907</v>
      </c>
      <c r="M84">
        <v>3</v>
      </c>
      <c r="N84">
        <v>1</v>
      </c>
      <c r="O84">
        <v>3</v>
      </c>
      <c r="P84" s="9" t="s">
        <v>1424</v>
      </c>
      <c r="Q84" s="9" t="s">
        <v>1321</v>
      </c>
      <c r="R84">
        <v>0</v>
      </c>
      <c r="S84">
        <v>0</v>
      </c>
      <c r="T84">
        <v>0</v>
      </c>
      <c r="U84">
        <v>463</v>
      </c>
      <c r="V84" s="9" t="s">
        <v>1322</v>
      </c>
    </row>
    <row r="85" spans="1:22" x14ac:dyDescent="0.35">
      <c r="A85" s="9" t="s">
        <v>1439</v>
      </c>
      <c r="B85" s="9" t="s">
        <v>1328</v>
      </c>
      <c r="C85" s="9" t="s">
        <v>1329</v>
      </c>
      <c r="D85" s="9" t="s">
        <v>56</v>
      </c>
      <c r="E85" s="9" t="s">
        <v>57</v>
      </c>
      <c r="F85" s="9" t="s">
        <v>54</v>
      </c>
      <c r="G85" s="9" t="s">
        <v>1167</v>
      </c>
      <c r="H85" s="9" t="s">
        <v>1168</v>
      </c>
      <c r="I85" s="9" t="s">
        <v>1136</v>
      </c>
      <c r="J85" s="10">
        <v>46080</v>
      </c>
      <c r="K85" s="10">
        <v>46187</v>
      </c>
      <c r="L85" s="10"/>
      <c r="M85">
        <v>3</v>
      </c>
      <c r="N85">
        <v>1</v>
      </c>
      <c r="O85">
        <v>3</v>
      </c>
      <c r="P85" s="9" t="s">
        <v>1424</v>
      </c>
      <c r="Q85" s="9" t="s">
        <v>1325</v>
      </c>
      <c r="R85">
        <v>1</v>
      </c>
      <c r="S85">
        <v>1</v>
      </c>
      <c r="T85">
        <v>108</v>
      </c>
      <c r="U85">
        <v>215</v>
      </c>
      <c r="V85" s="9" t="s">
        <v>1326</v>
      </c>
    </row>
    <row r="86" spans="1:22" x14ac:dyDescent="0.35">
      <c r="A86" s="9" t="s">
        <v>1440</v>
      </c>
      <c r="B86" s="9" t="s">
        <v>1328</v>
      </c>
      <c r="C86" s="9" t="s">
        <v>1368</v>
      </c>
      <c r="D86" s="9" t="s">
        <v>63</v>
      </c>
      <c r="E86" s="9" t="s">
        <v>64</v>
      </c>
      <c r="F86" s="9" t="s">
        <v>49</v>
      </c>
      <c r="G86" s="9" t="s">
        <v>1155</v>
      </c>
      <c r="H86" s="9" t="s">
        <v>1156</v>
      </c>
      <c r="I86" s="9" t="s">
        <v>1131</v>
      </c>
      <c r="J86" s="10">
        <v>46085</v>
      </c>
      <c r="K86" s="10">
        <v>46328</v>
      </c>
      <c r="L86" s="10">
        <v>46149</v>
      </c>
      <c r="M86">
        <v>3</v>
      </c>
      <c r="N86">
        <v>1</v>
      </c>
      <c r="O86">
        <v>3</v>
      </c>
      <c r="P86" s="9" t="s">
        <v>1424</v>
      </c>
      <c r="Q86" s="9" t="s">
        <v>1321</v>
      </c>
      <c r="R86">
        <v>0</v>
      </c>
      <c r="S86">
        <v>0</v>
      </c>
      <c r="T86">
        <v>0</v>
      </c>
      <c r="U86">
        <v>210</v>
      </c>
      <c r="V86" s="9" t="s">
        <v>1322</v>
      </c>
    </row>
    <row r="87" spans="1:22" x14ac:dyDescent="0.35">
      <c r="A87" s="9" t="s">
        <v>1441</v>
      </c>
      <c r="B87" s="9" t="s">
        <v>1333</v>
      </c>
      <c r="C87" s="9" t="s">
        <v>1353</v>
      </c>
      <c r="D87" s="9" t="s">
        <v>56</v>
      </c>
      <c r="E87" s="9" t="s">
        <v>57</v>
      </c>
      <c r="F87" s="9" t="s">
        <v>54</v>
      </c>
      <c r="G87" s="9" t="s">
        <v>1129</v>
      </c>
      <c r="H87" s="9" t="s">
        <v>1130</v>
      </c>
      <c r="I87" s="9" t="s">
        <v>1131</v>
      </c>
      <c r="J87" s="10">
        <v>46037</v>
      </c>
      <c r="K87" s="10">
        <v>46219</v>
      </c>
      <c r="L87" s="10"/>
      <c r="M87">
        <v>2</v>
      </c>
      <c r="N87">
        <v>1</v>
      </c>
      <c r="O87">
        <v>2</v>
      </c>
      <c r="P87" s="9" t="s">
        <v>1424</v>
      </c>
      <c r="Q87" s="9" t="s">
        <v>1325</v>
      </c>
      <c r="R87">
        <v>1</v>
      </c>
      <c r="S87">
        <v>1</v>
      </c>
      <c r="T87">
        <v>76</v>
      </c>
      <c r="U87">
        <v>258</v>
      </c>
      <c r="V87" s="9" t="s">
        <v>1326</v>
      </c>
    </row>
    <row r="88" spans="1:22" x14ac:dyDescent="0.35">
      <c r="A88" s="9" t="s">
        <v>1442</v>
      </c>
      <c r="B88" s="9" t="s">
        <v>1328</v>
      </c>
      <c r="C88" s="9" t="s">
        <v>1336</v>
      </c>
      <c r="D88" s="9" t="s">
        <v>69</v>
      </c>
      <c r="E88" s="9" t="s">
        <v>70</v>
      </c>
      <c r="F88" s="9" t="s">
        <v>49</v>
      </c>
      <c r="G88" s="9" t="s">
        <v>1176</v>
      </c>
      <c r="H88" s="9" t="s">
        <v>1177</v>
      </c>
      <c r="I88" s="9" t="s">
        <v>1160</v>
      </c>
      <c r="J88" s="10">
        <v>45933</v>
      </c>
      <c r="K88" s="10">
        <v>46030</v>
      </c>
      <c r="L88" s="10"/>
      <c r="M88">
        <v>2</v>
      </c>
      <c r="N88">
        <v>1</v>
      </c>
      <c r="O88">
        <v>2</v>
      </c>
      <c r="P88" s="9" t="s">
        <v>1424</v>
      </c>
      <c r="Q88" s="9" t="s">
        <v>1325</v>
      </c>
      <c r="R88">
        <v>1</v>
      </c>
      <c r="S88">
        <v>1</v>
      </c>
      <c r="T88">
        <v>265</v>
      </c>
      <c r="U88">
        <v>362</v>
      </c>
      <c r="V88" s="9" t="s">
        <v>1326</v>
      </c>
    </row>
    <row r="89" spans="1:22" x14ac:dyDescent="0.35">
      <c r="A89" s="9" t="s">
        <v>1443</v>
      </c>
      <c r="B89" s="9" t="s">
        <v>1328</v>
      </c>
      <c r="C89" s="9" t="s">
        <v>1347</v>
      </c>
      <c r="D89" s="9" t="s">
        <v>112</v>
      </c>
      <c r="E89" s="9" t="s">
        <v>113</v>
      </c>
      <c r="F89" s="9" t="s">
        <v>54</v>
      </c>
      <c r="G89" s="9" t="s">
        <v>1134</v>
      </c>
      <c r="H89" s="9" t="s">
        <v>1135</v>
      </c>
      <c r="I89" s="9" t="s">
        <v>1136</v>
      </c>
      <c r="J89" s="10">
        <v>46152</v>
      </c>
      <c r="K89" s="10">
        <v>46358</v>
      </c>
      <c r="L89" s="10">
        <v>46206</v>
      </c>
      <c r="M89">
        <v>2</v>
      </c>
      <c r="N89">
        <v>1</v>
      </c>
      <c r="O89">
        <v>2</v>
      </c>
      <c r="P89" s="9" t="s">
        <v>1424</v>
      </c>
      <c r="Q89" s="9" t="s">
        <v>1321</v>
      </c>
      <c r="R89">
        <v>0</v>
      </c>
      <c r="S89">
        <v>0</v>
      </c>
      <c r="T89">
        <v>0</v>
      </c>
      <c r="U89">
        <v>143</v>
      </c>
      <c r="V89" s="9" t="s">
        <v>1322</v>
      </c>
    </row>
    <row r="90" spans="1:22" x14ac:dyDescent="0.35">
      <c r="A90" s="9" t="s">
        <v>1444</v>
      </c>
      <c r="B90" s="9" t="s">
        <v>1328</v>
      </c>
      <c r="C90" s="9" t="s">
        <v>1368</v>
      </c>
      <c r="D90" s="9" t="s">
        <v>63</v>
      </c>
      <c r="E90" s="9" t="s">
        <v>64</v>
      </c>
      <c r="F90" s="9" t="s">
        <v>49</v>
      </c>
      <c r="G90" s="9" t="s">
        <v>1158</v>
      </c>
      <c r="H90" s="9" t="s">
        <v>1159</v>
      </c>
      <c r="I90" s="9" t="s">
        <v>1160</v>
      </c>
      <c r="J90" s="10">
        <v>45750</v>
      </c>
      <c r="K90" s="10">
        <v>45814</v>
      </c>
      <c r="L90" s="10"/>
      <c r="M90">
        <v>1</v>
      </c>
      <c r="N90">
        <v>2</v>
      </c>
      <c r="O90">
        <v>2</v>
      </c>
      <c r="P90" s="9" t="s">
        <v>1424</v>
      </c>
      <c r="Q90" s="9" t="s">
        <v>1325</v>
      </c>
      <c r="R90">
        <v>1</v>
      </c>
      <c r="S90">
        <v>1</v>
      </c>
      <c r="T90">
        <v>481</v>
      </c>
      <c r="U90">
        <v>545</v>
      </c>
      <c r="V90" s="9" t="s">
        <v>1326</v>
      </c>
    </row>
    <row r="91" spans="1:22" x14ac:dyDescent="0.35">
      <c r="A91" s="9" t="s">
        <v>1445</v>
      </c>
      <c r="B91" s="9" t="s">
        <v>1342</v>
      </c>
      <c r="C91" s="9" t="s">
        <v>1370</v>
      </c>
      <c r="D91" s="9" t="s">
        <v>112</v>
      </c>
      <c r="E91" s="9" t="s">
        <v>113</v>
      </c>
      <c r="F91" s="9" t="s">
        <v>54</v>
      </c>
      <c r="G91" s="9" t="s">
        <v>1129</v>
      </c>
      <c r="H91" s="9" t="s">
        <v>1130</v>
      </c>
      <c r="I91" s="9" t="s">
        <v>1131</v>
      </c>
      <c r="J91" s="10">
        <v>46191</v>
      </c>
      <c r="K91" s="10">
        <v>46462</v>
      </c>
      <c r="L91" s="10"/>
      <c r="M91">
        <v>2</v>
      </c>
      <c r="N91">
        <v>1</v>
      </c>
      <c r="O91">
        <v>2</v>
      </c>
      <c r="P91" s="9" t="s">
        <v>1424</v>
      </c>
      <c r="Q91" s="9" t="s">
        <v>1325</v>
      </c>
      <c r="R91">
        <v>1</v>
      </c>
      <c r="S91">
        <v>0</v>
      </c>
      <c r="T91">
        <v>0</v>
      </c>
      <c r="U91">
        <v>104</v>
      </c>
      <c r="V91" s="9" t="s">
        <v>1326</v>
      </c>
    </row>
    <row r="92" spans="1:22" x14ac:dyDescent="0.35">
      <c r="A92" s="9" t="s">
        <v>1446</v>
      </c>
      <c r="B92" s="9" t="s">
        <v>1328</v>
      </c>
      <c r="C92" s="9" t="s">
        <v>1336</v>
      </c>
      <c r="D92" s="9" t="s">
        <v>69</v>
      </c>
      <c r="E92" s="9" t="s">
        <v>70</v>
      </c>
      <c r="F92" s="9" t="s">
        <v>49</v>
      </c>
      <c r="G92" s="9" t="s">
        <v>1143</v>
      </c>
      <c r="H92" s="9" t="s">
        <v>1144</v>
      </c>
      <c r="I92" s="9" t="s">
        <v>1131</v>
      </c>
      <c r="J92" s="10">
        <v>45837</v>
      </c>
      <c r="K92" s="10">
        <v>45996</v>
      </c>
      <c r="L92" s="10">
        <v>45878</v>
      </c>
      <c r="M92">
        <v>1</v>
      </c>
      <c r="N92">
        <v>1</v>
      </c>
      <c r="O92">
        <v>1</v>
      </c>
      <c r="P92" s="9" t="s">
        <v>1424</v>
      </c>
      <c r="Q92" s="9" t="s">
        <v>1321</v>
      </c>
      <c r="R92">
        <v>0</v>
      </c>
      <c r="S92">
        <v>0</v>
      </c>
      <c r="T92">
        <v>0</v>
      </c>
      <c r="U92">
        <v>458</v>
      </c>
      <c r="V92" s="9" t="s">
        <v>1322</v>
      </c>
    </row>
    <row r="93" spans="1:22" x14ac:dyDescent="0.35">
      <c r="A93" s="9" t="s">
        <v>1447</v>
      </c>
      <c r="B93" s="9" t="s">
        <v>1328</v>
      </c>
      <c r="C93" s="9" t="s">
        <v>1368</v>
      </c>
      <c r="D93" s="9" t="s">
        <v>63</v>
      </c>
      <c r="E93" s="9" t="s">
        <v>64</v>
      </c>
      <c r="F93" s="9" t="s">
        <v>49</v>
      </c>
      <c r="G93" s="9" t="s">
        <v>1158</v>
      </c>
      <c r="H93" s="9" t="s">
        <v>1159</v>
      </c>
      <c r="I93" s="9" t="s">
        <v>1160</v>
      </c>
      <c r="J93" s="10">
        <v>46153</v>
      </c>
      <c r="K93" s="10">
        <v>46318</v>
      </c>
      <c r="L93" s="10">
        <v>46195</v>
      </c>
      <c r="M93">
        <v>1</v>
      </c>
      <c r="N93">
        <v>1</v>
      </c>
      <c r="O93">
        <v>1</v>
      </c>
      <c r="P93" s="9" t="s">
        <v>1424</v>
      </c>
      <c r="Q93" s="9" t="s">
        <v>1321</v>
      </c>
      <c r="R93">
        <v>0</v>
      </c>
      <c r="S93">
        <v>0</v>
      </c>
      <c r="T93">
        <v>0</v>
      </c>
      <c r="U93">
        <v>142</v>
      </c>
      <c r="V93" s="9" t="s">
        <v>1322</v>
      </c>
    </row>
    <row r="94" spans="1:22" x14ac:dyDescent="0.35">
      <c r="A94" s="9" t="s">
        <v>1448</v>
      </c>
      <c r="B94" s="9" t="s">
        <v>1328</v>
      </c>
      <c r="C94" s="9" t="s">
        <v>1368</v>
      </c>
      <c r="D94" s="9" t="s">
        <v>63</v>
      </c>
      <c r="E94" s="9" t="s">
        <v>64</v>
      </c>
      <c r="F94" s="9" t="s">
        <v>49</v>
      </c>
      <c r="G94" s="9" t="s">
        <v>1145</v>
      </c>
      <c r="H94" s="9" t="s">
        <v>1146</v>
      </c>
      <c r="I94" s="9" t="s">
        <v>1136</v>
      </c>
      <c r="J94" s="10">
        <v>45998</v>
      </c>
      <c r="K94" s="10">
        <v>46110</v>
      </c>
      <c r="L94" s="10"/>
      <c r="M94">
        <v>1</v>
      </c>
      <c r="N94">
        <v>1</v>
      </c>
      <c r="O94">
        <v>1</v>
      </c>
      <c r="P94" s="9" t="s">
        <v>1424</v>
      </c>
      <c r="Q94" s="9" t="s">
        <v>1325</v>
      </c>
      <c r="R94">
        <v>1</v>
      </c>
      <c r="S94">
        <v>1</v>
      </c>
      <c r="T94">
        <v>185</v>
      </c>
      <c r="U94">
        <v>297</v>
      </c>
      <c r="V94" s="9" t="s">
        <v>1326</v>
      </c>
    </row>
    <row r="95" spans="1:22" x14ac:dyDescent="0.35">
      <c r="A95" s="9" t="s">
        <v>1449</v>
      </c>
      <c r="B95" s="9" t="s">
        <v>1342</v>
      </c>
      <c r="C95" s="9" t="s">
        <v>1450</v>
      </c>
      <c r="D95" s="9" t="s">
        <v>56</v>
      </c>
      <c r="E95" s="9" t="s">
        <v>57</v>
      </c>
      <c r="F95" s="9" t="s">
        <v>54</v>
      </c>
      <c r="G95" s="9" t="s">
        <v>1171</v>
      </c>
      <c r="H95" s="9" t="s">
        <v>1172</v>
      </c>
      <c r="I95" s="9" t="s">
        <v>1149</v>
      </c>
      <c r="J95" s="10">
        <v>45696</v>
      </c>
      <c r="K95" s="10">
        <v>45972</v>
      </c>
      <c r="L95" s="10"/>
      <c r="M95">
        <v>1</v>
      </c>
      <c r="N95">
        <v>1</v>
      </c>
      <c r="O95">
        <v>1</v>
      </c>
      <c r="P95" s="9" t="s">
        <v>1424</v>
      </c>
      <c r="Q95" s="9" t="s">
        <v>1325</v>
      </c>
      <c r="R95">
        <v>1</v>
      </c>
      <c r="S95">
        <v>1</v>
      </c>
      <c r="T95">
        <v>323</v>
      </c>
      <c r="U95">
        <v>599</v>
      </c>
      <c r="V95" s="9" t="s">
        <v>1326</v>
      </c>
    </row>
    <row r="96" spans="1:22" x14ac:dyDescent="0.35">
      <c r="A96" s="9" t="s">
        <v>1451</v>
      </c>
      <c r="B96" s="9" t="s">
        <v>1342</v>
      </c>
      <c r="C96" s="9" t="s">
        <v>1370</v>
      </c>
      <c r="D96" s="9" t="s">
        <v>112</v>
      </c>
      <c r="E96" s="9" t="s">
        <v>113</v>
      </c>
      <c r="F96" s="9" t="s">
        <v>54</v>
      </c>
      <c r="G96" s="9" t="s">
        <v>1180</v>
      </c>
      <c r="H96" s="9" t="s">
        <v>1181</v>
      </c>
      <c r="I96" s="9" t="s">
        <v>1160</v>
      </c>
      <c r="J96" s="10">
        <v>45848</v>
      </c>
      <c r="K96" s="10">
        <v>46018</v>
      </c>
      <c r="L96" s="10"/>
      <c r="M96">
        <v>1</v>
      </c>
      <c r="N96">
        <v>1</v>
      </c>
      <c r="O96">
        <v>1</v>
      </c>
      <c r="P96" s="9" t="s">
        <v>1424</v>
      </c>
      <c r="Q96" s="9" t="s">
        <v>1325</v>
      </c>
      <c r="R96">
        <v>1</v>
      </c>
      <c r="S96">
        <v>1</v>
      </c>
      <c r="T96">
        <v>277</v>
      </c>
      <c r="U96">
        <v>447</v>
      </c>
      <c r="V96" s="9" t="s">
        <v>1326</v>
      </c>
    </row>
    <row r="97" spans="1:22" x14ac:dyDescent="0.35">
      <c r="A97" s="9" t="s">
        <v>1452</v>
      </c>
      <c r="B97" s="9" t="s">
        <v>1333</v>
      </c>
      <c r="C97" s="9" t="s">
        <v>1453</v>
      </c>
      <c r="D97" s="9" t="s">
        <v>80</v>
      </c>
      <c r="E97" s="9" t="s">
        <v>81</v>
      </c>
      <c r="F97" s="9" t="s">
        <v>82</v>
      </c>
      <c r="G97" s="9" t="s">
        <v>1155</v>
      </c>
      <c r="H97" s="9" t="s">
        <v>1156</v>
      </c>
      <c r="I97" s="9" t="s">
        <v>1131</v>
      </c>
      <c r="J97" s="10">
        <v>45669</v>
      </c>
      <c r="K97" s="10">
        <v>45874</v>
      </c>
      <c r="L97" s="10">
        <v>45722</v>
      </c>
      <c r="M97">
        <v>1</v>
      </c>
      <c r="N97">
        <v>1</v>
      </c>
      <c r="O97">
        <v>1</v>
      </c>
      <c r="P97" s="9" t="s">
        <v>1424</v>
      </c>
      <c r="Q97" s="9" t="s">
        <v>1321</v>
      </c>
      <c r="R97">
        <v>0</v>
      </c>
      <c r="S97">
        <v>0</v>
      </c>
      <c r="T97">
        <v>0</v>
      </c>
      <c r="U97">
        <v>626</v>
      </c>
      <c r="V97" s="9" t="s">
        <v>1322</v>
      </c>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7304-760A-4DAF-8206-13A2287BCC27}">
  <dimension ref="A1:K1092"/>
  <sheetViews>
    <sheetView workbookViewId="0"/>
  </sheetViews>
  <sheetFormatPr defaultRowHeight="14.5" x14ac:dyDescent="0.35"/>
  <cols>
    <col min="1" max="1" width="13" bestFit="1" customWidth="1"/>
    <col min="2" max="2" width="15.90625" bestFit="1" customWidth="1"/>
    <col min="3" max="3" width="9.7265625" bestFit="1" customWidth="1"/>
    <col min="4" max="4" width="16.81640625" bestFit="1" customWidth="1"/>
    <col min="5" max="5" width="14.36328125" bestFit="1" customWidth="1"/>
    <col min="6" max="6" width="17.54296875" bestFit="1" customWidth="1"/>
    <col min="7" max="7" width="13.54296875" bestFit="1" customWidth="1"/>
    <col min="8" max="8" width="12.81640625" bestFit="1" customWidth="1"/>
    <col min="9" max="9" width="15.453125" bestFit="1" customWidth="1"/>
    <col min="10" max="10" width="13.36328125" bestFit="1" customWidth="1"/>
    <col min="11" max="11" width="16.6328125" bestFit="1" customWidth="1"/>
  </cols>
  <sheetData>
    <row r="1" spans="1:11" s="3" customFormat="1" x14ac:dyDescent="0.35">
      <c r="A1" s="3" t="s">
        <v>1454</v>
      </c>
      <c r="B1" s="3" t="s">
        <v>18</v>
      </c>
      <c r="C1" s="3" t="s">
        <v>21</v>
      </c>
      <c r="D1" s="3" t="s">
        <v>22</v>
      </c>
      <c r="E1" s="3" t="s">
        <v>1455</v>
      </c>
      <c r="F1" s="3" t="s">
        <v>1456</v>
      </c>
      <c r="G1" s="3" t="s">
        <v>1457</v>
      </c>
      <c r="H1" s="3" t="s">
        <v>1306</v>
      </c>
      <c r="I1" s="3" t="s">
        <v>1458</v>
      </c>
      <c r="J1" s="3" t="s">
        <v>1459</v>
      </c>
      <c r="K1" s="3" t="s">
        <v>1460</v>
      </c>
    </row>
    <row r="2" spans="1:11" x14ac:dyDescent="0.35">
      <c r="A2" s="9" t="s">
        <v>1461</v>
      </c>
      <c r="B2" s="9" t="s">
        <v>43</v>
      </c>
      <c r="C2" s="9" t="s">
        <v>46</v>
      </c>
      <c r="D2" s="9" t="s">
        <v>47</v>
      </c>
      <c r="E2" s="9" t="s">
        <v>1139</v>
      </c>
      <c r="F2" s="9" t="s">
        <v>1140</v>
      </c>
      <c r="G2" s="10">
        <v>45665</v>
      </c>
      <c r="H2" s="10">
        <v>45689</v>
      </c>
      <c r="I2">
        <v>18.7</v>
      </c>
      <c r="J2">
        <v>19.100000000000001</v>
      </c>
      <c r="K2" s="9" t="s">
        <v>1321</v>
      </c>
    </row>
    <row r="3" spans="1:11" x14ac:dyDescent="0.35">
      <c r="A3" s="9" t="s">
        <v>1462</v>
      </c>
      <c r="B3" s="9" t="s">
        <v>52</v>
      </c>
      <c r="C3" s="9" t="s">
        <v>55</v>
      </c>
      <c r="D3" s="9" t="s">
        <v>56</v>
      </c>
      <c r="E3" s="9" t="s">
        <v>1152</v>
      </c>
      <c r="F3" s="9" t="s">
        <v>1153</v>
      </c>
      <c r="G3" s="10">
        <v>46057</v>
      </c>
      <c r="H3" s="10">
        <v>46067</v>
      </c>
      <c r="I3">
        <v>12.2</v>
      </c>
      <c r="J3">
        <v>10.3</v>
      </c>
      <c r="K3" s="9" t="s">
        <v>1321</v>
      </c>
    </row>
    <row r="4" spans="1:11" x14ac:dyDescent="0.35">
      <c r="A4" s="9" t="s">
        <v>1463</v>
      </c>
      <c r="B4" s="9" t="s">
        <v>52</v>
      </c>
      <c r="C4" s="9" t="s">
        <v>55</v>
      </c>
      <c r="D4" s="9" t="s">
        <v>56</v>
      </c>
      <c r="E4" s="9" t="s">
        <v>1193</v>
      </c>
      <c r="F4" s="9" t="s">
        <v>1194</v>
      </c>
      <c r="G4" s="10">
        <v>45953</v>
      </c>
      <c r="H4" s="10">
        <v>45984</v>
      </c>
      <c r="I4">
        <v>35.200000000000003</v>
      </c>
      <c r="J4">
        <v>39</v>
      </c>
      <c r="K4" s="9" t="s">
        <v>1321</v>
      </c>
    </row>
    <row r="5" spans="1:11" x14ac:dyDescent="0.35">
      <c r="A5" s="9" t="s">
        <v>1464</v>
      </c>
      <c r="B5" s="9" t="s">
        <v>59</v>
      </c>
      <c r="C5" s="9" t="s">
        <v>62</v>
      </c>
      <c r="D5" s="9" t="s">
        <v>63</v>
      </c>
      <c r="E5" s="9" t="s">
        <v>1190</v>
      </c>
      <c r="F5" s="9" t="s">
        <v>1191</v>
      </c>
      <c r="G5" s="10">
        <v>45906</v>
      </c>
      <c r="H5" s="10">
        <v>45961</v>
      </c>
      <c r="I5">
        <v>25.7</v>
      </c>
      <c r="J5">
        <v>36.4</v>
      </c>
      <c r="K5" s="9" t="s">
        <v>1321</v>
      </c>
    </row>
    <row r="6" spans="1:11" x14ac:dyDescent="0.35">
      <c r="A6" s="9" t="s">
        <v>1465</v>
      </c>
      <c r="B6" s="9" t="s">
        <v>59</v>
      </c>
      <c r="C6" s="9" t="s">
        <v>62</v>
      </c>
      <c r="D6" s="9" t="s">
        <v>63</v>
      </c>
      <c r="E6" s="9" t="s">
        <v>1145</v>
      </c>
      <c r="F6" s="9" t="s">
        <v>1146</v>
      </c>
      <c r="G6" s="10">
        <v>45761</v>
      </c>
      <c r="H6" s="10">
        <v>45766</v>
      </c>
      <c r="I6">
        <v>10.3</v>
      </c>
      <c r="J6">
        <v>8</v>
      </c>
      <c r="K6" s="9" t="s">
        <v>1321</v>
      </c>
    </row>
    <row r="7" spans="1:11" x14ac:dyDescent="0.35">
      <c r="A7" s="9" t="s">
        <v>1466</v>
      </c>
      <c r="B7" s="9" t="s">
        <v>66</v>
      </c>
      <c r="C7" s="9" t="s">
        <v>55</v>
      </c>
      <c r="D7" s="9" t="s">
        <v>69</v>
      </c>
      <c r="E7" s="9" t="s">
        <v>1167</v>
      </c>
      <c r="F7" s="9" t="s">
        <v>1168</v>
      </c>
      <c r="G7" s="10">
        <v>45768</v>
      </c>
      <c r="H7" s="10">
        <v>45781</v>
      </c>
      <c r="I7">
        <v>16.5</v>
      </c>
      <c r="J7">
        <v>14.5</v>
      </c>
      <c r="K7" s="9" t="s">
        <v>1321</v>
      </c>
    </row>
    <row r="8" spans="1:11" x14ac:dyDescent="0.35">
      <c r="A8" s="9" t="s">
        <v>1467</v>
      </c>
      <c r="B8" s="9" t="s">
        <v>66</v>
      </c>
      <c r="C8" s="9" t="s">
        <v>55</v>
      </c>
      <c r="D8" s="9" t="s">
        <v>69</v>
      </c>
      <c r="E8" s="9" t="s">
        <v>1137</v>
      </c>
      <c r="F8" s="9" t="s">
        <v>1138</v>
      </c>
      <c r="G8" s="10">
        <v>46091</v>
      </c>
      <c r="H8" s="10">
        <v>46136</v>
      </c>
      <c r="I8">
        <v>16.100000000000001</v>
      </c>
      <c r="J8">
        <v>20.8</v>
      </c>
      <c r="K8" s="9" t="s">
        <v>1321</v>
      </c>
    </row>
    <row r="9" spans="1:11" x14ac:dyDescent="0.35">
      <c r="A9" s="9" t="s">
        <v>1468</v>
      </c>
      <c r="B9" s="9" t="s">
        <v>71</v>
      </c>
      <c r="C9" s="9" t="s">
        <v>55</v>
      </c>
      <c r="D9" s="9" t="s">
        <v>47</v>
      </c>
      <c r="E9" s="9" t="s">
        <v>1211</v>
      </c>
      <c r="F9" s="9" t="s">
        <v>1212</v>
      </c>
      <c r="G9" s="10">
        <v>46152</v>
      </c>
      <c r="H9" s="10">
        <v>46189</v>
      </c>
      <c r="I9">
        <v>32.6</v>
      </c>
      <c r="J9">
        <v>38.799999999999997</v>
      </c>
      <c r="K9" s="9" t="s">
        <v>1321</v>
      </c>
    </row>
    <row r="10" spans="1:11" x14ac:dyDescent="0.35">
      <c r="A10" s="9" t="s">
        <v>1469</v>
      </c>
      <c r="B10" s="9" t="s">
        <v>71</v>
      </c>
      <c r="C10" s="9" t="s">
        <v>55</v>
      </c>
      <c r="D10" s="9" t="s">
        <v>47</v>
      </c>
      <c r="E10" s="9" t="s">
        <v>1139</v>
      </c>
      <c r="F10" s="9" t="s">
        <v>1140</v>
      </c>
      <c r="G10" s="10">
        <v>45804</v>
      </c>
      <c r="H10" s="10">
        <v>45820</v>
      </c>
      <c r="I10">
        <v>4.8</v>
      </c>
      <c r="J10">
        <v>4.4000000000000004</v>
      </c>
      <c r="K10" s="9" t="s">
        <v>1321</v>
      </c>
    </row>
    <row r="11" spans="1:11" x14ac:dyDescent="0.35">
      <c r="A11" s="9" t="s">
        <v>1470</v>
      </c>
      <c r="B11" s="9" t="s">
        <v>71</v>
      </c>
      <c r="C11" s="9" t="s">
        <v>55</v>
      </c>
      <c r="D11" s="9" t="s">
        <v>47</v>
      </c>
      <c r="E11" s="9" t="s">
        <v>1147</v>
      </c>
      <c r="F11" s="9" t="s">
        <v>1148</v>
      </c>
      <c r="G11" s="10">
        <v>45891</v>
      </c>
      <c r="H11" s="10">
        <v>45946</v>
      </c>
      <c r="I11">
        <v>28.5</v>
      </c>
      <c r="J11">
        <v>40.6</v>
      </c>
      <c r="K11" s="9" t="s">
        <v>1321</v>
      </c>
    </row>
    <row r="12" spans="1:11" x14ac:dyDescent="0.35">
      <c r="A12" s="9" t="s">
        <v>1471</v>
      </c>
      <c r="B12" s="9" t="s">
        <v>74</v>
      </c>
      <c r="C12" s="9" t="s">
        <v>46</v>
      </c>
      <c r="D12" s="9" t="s">
        <v>76</v>
      </c>
      <c r="E12" s="9" t="s">
        <v>1180</v>
      </c>
      <c r="F12" s="9" t="s">
        <v>1181</v>
      </c>
      <c r="G12" s="10">
        <v>46182</v>
      </c>
      <c r="H12" s="10">
        <v>46188</v>
      </c>
      <c r="I12">
        <v>33.700000000000003</v>
      </c>
      <c r="J12">
        <v>27</v>
      </c>
      <c r="K12" s="9" t="s">
        <v>1321</v>
      </c>
    </row>
    <row r="13" spans="1:11" x14ac:dyDescent="0.35">
      <c r="A13" s="9" t="s">
        <v>1472</v>
      </c>
      <c r="B13" s="9" t="s">
        <v>74</v>
      </c>
      <c r="C13" s="9" t="s">
        <v>46</v>
      </c>
      <c r="D13" s="9" t="s">
        <v>76</v>
      </c>
      <c r="E13" s="9" t="s">
        <v>1211</v>
      </c>
      <c r="F13" s="9" t="s">
        <v>1212</v>
      </c>
      <c r="G13" s="10">
        <v>45728</v>
      </c>
      <c r="H13" s="10"/>
      <c r="I13">
        <v>4.2</v>
      </c>
      <c r="K13" s="9" t="s">
        <v>1473</v>
      </c>
    </row>
    <row r="14" spans="1:11" x14ac:dyDescent="0.35">
      <c r="A14" s="9" t="s">
        <v>1474</v>
      </c>
      <c r="B14" s="9" t="s">
        <v>78</v>
      </c>
      <c r="C14" s="9" t="s">
        <v>55</v>
      </c>
      <c r="D14" s="9" t="s">
        <v>80</v>
      </c>
      <c r="E14" s="9" t="s">
        <v>1145</v>
      </c>
      <c r="F14" s="9" t="s">
        <v>1146</v>
      </c>
      <c r="G14" s="10">
        <v>45739</v>
      </c>
      <c r="H14" s="10">
        <v>45765</v>
      </c>
      <c r="I14">
        <v>17.2</v>
      </c>
      <c r="J14">
        <v>17.899999999999999</v>
      </c>
      <c r="K14" s="9" t="s">
        <v>1321</v>
      </c>
    </row>
    <row r="15" spans="1:11" x14ac:dyDescent="0.35">
      <c r="A15" s="9" t="s">
        <v>1475</v>
      </c>
      <c r="B15" s="9" t="s">
        <v>78</v>
      </c>
      <c r="C15" s="9" t="s">
        <v>55</v>
      </c>
      <c r="D15" s="9" t="s">
        <v>80</v>
      </c>
      <c r="E15" s="9" t="s">
        <v>1155</v>
      </c>
      <c r="F15" s="9" t="s">
        <v>1156</v>
      </c>
      <c r="G15" s="10">
        <v>45861</v>
      </c>
      <c r="H15" s="10">
        <v>45868</v>
      </c>
      <c r="I15">
        <v>17.899999999999999</v>
      </c>
      <c r="J15">
        <v>14.5</v>
      </c>
      <c r="K15" s="9" t="s">
        <v>1321</v>
      </c>
    </row>
    <row r="16" spans="1:11" x14ac:dyDescent="0.35">
      <c r="A16" s="9" t="s">
        <v>1476</v>
      </c>
      <c r="B16" s="9" t="s">
        <v>78</v>
      </c>
      <c r="C16" s="9" t="s">
        <v>55</v>
      </c>
      <c r="D16" s="9" t="s">
        <v>80</v>
      </c>
      <c r="E16" s="9" t="s">
        <v>1147</v>
      </c>
      <c r="F16" s="9" t="s">
        <v>1148</v>
      </c>
      <c r="G16" s="10">
        <v>45820</v>
      </c>
      <c r="H16" s="10"/>
      <c r="I16">
        <v>20.399999999999999</v>
      </c>
      <c r="K16" s="9" t="s">
        <v>1473</v>
      </c>
    </row>
    <row r="17" spans="1:11" x14ac:dyDescent="0.35">
      <c r="A17" s="9" t="s">
        <v>1477</v>
      </c>
      <c r="B17" s="9" t="s">
        <v>83</v>
      </c>
      <c r="C17" s="9" t="s">
        <v>46</v>
      </c>
      <c r="D17" s="9" t="s">
        <v>47</v>
      </c>
      <c r="E17" s="9" t="s">
        <v>1167</v>
      </c>
      <c r="F17" s="9" t="s">
        <v>1168</v>
      </c>
      <c r="G17" s="10">
        <v>45837</v>
      </c>
      <c r="H17" s="10">
        <v>45865</v>
      </c>
      <c r="I17">
        <v>32.5</v>
      </c>
      <c r="J17">
        <v>35.1</v>
      </c>
      <c r="K17" s="9" t="s">
        <v>1321</v>
      </c>
    </row>
    <row r="18" spans="1:11" x14ac:dyDescent="0.35">
      <c r="A18" s="9" t="s">
        <v>1478</v>
      </c>
      <c r="B18" s="9" t="s">
        <v>83</v>
      </c>
      <c r="C18" s="9" t="s">
        <v>46</v>
      </c>
      <c r="D18" s="9" t="s">
        <v>47</v>
      </c>
      <c r="E18" s="9" t="s">
        <v>1167</v>
      </c>
      <c r="F18" s="9" t="s">
        <v>1168</v>
      </c>
      <c r="G18" s="10">
        <v>46169</v>
      </c>
      <c r="H18" s="10">
        <v>46195</v>
      </c>
      <c r="I18">
        <v>5</v>
      </c>
      <c r="J18">
        <v>5.2</v>
      </c>
      <c r="K18" s="9" t="s">
        <v>1321</v>
      </c>
    </row>
    <row r="19" spans="1:11" x14ac:dyDescent="0.35">
      <c r="A19" s="9" t="s">
        <v>1479</v>
      </c>
      <c r="B19" s="9" t="s">
        <v>83</v>
      </c>
      <c r="C19" s="9" t="s">
        <v>46</v>
      </c>
      <c r="D19" s="9" t="s">
        <v>47</v>
      </c>
      <c r="E19" s="9" t="s">
        <v>1196</v>
      </c>
      <c r="F19" s="9" t="s">
        <v>1197</v>
      </c>
      <c r="G19" s="10">
        <v>45864</v>
      </c>
      <c r="H19" s="10"/>
      <c r="I19">
        <v>10</v>
      </c>
      <c r="K19" s="9" t="s">
        <v>1325</v>
      </c>
    </row>
    <row r="20" spans="1:11" x14ac:dyDescent="0.35">
      <c r="A20" s="9" t="s">
        <v>1480</v>
      </c>
      <c r="B20" s="9" t="s">
        <v>85</v>
      </c>
      <c r="C20" s="9" t="s">
        <v>46</v>
      </c>
      <c r="D20" s="9" t="s">
        <v>56</v>
      </c>
      <c r="E20" s="9" t="s">
        <v>1147</v>
      </c>
      <c r="F20" s="9" t="s">
        <v>1148</v>
      </c>
      <c r="G20" s="10">
        <v>45861</v>
      </c>
      <c r="H20" s="10">
        <v>45864</v>
      </c>
      <c r="I20">
        <v>22</v>
      </c>
      <c r="J20">
        <v>16.5</v>
      </c>
      <c r="K20" s="9" t="s">
        <v>1321</v>
      </c>
    </row>
    <row r="21" spans="1:11" x14ac:dyDescent="0.35">
      <c r="A21" s="9" t="s">
        <v>1481</v>
      </c>
      <c r="B21" s="9" t="s">
        <v>85</v>
      </c>
      <c r="C21" s="9" t="s">
        <v>46</v>
      </c>
      <c r="D21" s="9" t="s">
        <v>56</v>
      </c>
      <c r="E21" s="9" t="s">
        <v>1188</v>
      </c>
      <c r="F21" s="9" t="s">
        <v>1189</v>
      </c>
      <c r="G21" s="10">
        <v>46040</v>
      </c>
      <c r="H21" s="10">
        <v>46092</v>
      </c>
      <c r="I21">
        <v>35.799999999999997</v>
      </c>
      <c r="J21">
        <v>49.2</v>
      </c>
      <c r="K21" s="9" t="s">
        <v>1321</v>
      </c>
    </row>
    <row r="22" spans="1:11" x14ac:dyDescent="0.35">
      <c r="A22" s="9" t="s">
        <v>1482</v>
      </c>
      <c r="B22" s="9" t="s">
        <v>85</v>
      </c>
      <c r="C22" s="9" t="s">
        <v>46</v>
      </c>
      <c r="D22" s="9" t="s">
        <v>56</v>
      </c>
      <c r="E22" s="9" t="s">
        <v>1134</v>
      </c>
      <c r="F22" s="9" t="s">
        <v>1135</v>
      </c>
      <c r="G22" s="10">
        <v>45838</v>
      </c>
      <c r="H22" s="10">
        <v>45860</v>
      </c>
      <c r="I22">
        <v>4.2</v>
      </c>
      <c r="J22">
        <v>4.2</v>
      </c>
      <c r="K22" s="9" t="s">
        <v>1321</v>
      </c>
    </row>
    <row r="23" spans="1:11" x14ac:dyDescent="0.35">
      <c r="A23" s="9" t="s">
        <v>1483</v>
      </c>
      <c r="B23" s="9" t="s">
        <v>87</v>
      </c>
      <c r="C23" s="9" t="s">
        <v>46</v>
      </c>
      <c r="D23" s="9" t="s">
        <v>80</v>
      </c>
      <c r="E23" s="9" t="s">
        <v>1152</v>
      </c>
      <c r="F23" s="9" t="s">
        <v>1153</v>
      </c>
      <c r="G23" s="10">
        <v>46122</v>
      </c>
      <c r="H23" s="10">
        <v>46157</v>
      </c>
      <c r="I23">
        <v>22.3</v>
      </c>
      <c r="J23">
        <v>25.9</v>
      </c>
      <c r="K23" s="9" t="s">
        <v>1321</v>
      </c>
    </row>
    <row r="24" spans="1:11" x14ac:dyDescent="0.35">
      <c r="A24" s="9" t="s">
        <v>1484</v>
      </c>
      <c r="B24" s="9" t="s">
        <v>89</v>
      </c>
      <c r="C24" s="9" t="s">
        <v>55</v>
      </c>
      <c r="D24" s="9" t="s">
        <v>63</v>
      </c>
      <c r="E24" s="9" t="s">
        <v>1145</v>
      </c>
      <c r="F24" s="9" t="s">
        <v>1146</v>
      </c>
      <c r="G24" s="10">
        <v>45663</v>
      </c>
      <c r="H24" s="10">
        <v>45699</v>
      </c>
      <c r="I24">
        <v>8.6</v>
      </c>
      <c r="J24">
        <v>10.1</v>
      </c>
      <c r="K24" s="9" t="s">
        <v>1321</v>
      </c>
    </row>
    <row r="25" spans="1:11" x14ac:dyDescent="0.35">
      <c r="A25" s="9" t="s">
        <v>1485</v>
      </c>
      <c r="B25" s="9" t="s">
        <v>89</v>
      </c>
      <c r="C25" s="9" t="s">
        <v>55</v>
      </c>
      <c r="D25" s="9" t="s">
        <v>63</v>
      </c>
      <c r="E25" s="9" t="s">
        <v>1211</v>
      </c>
      <c r="F25" s="9" t="s">
        <v>1212</v>
      </c>
      <c r="G25" s="10">
        <v>45918</v>
      </c>
      <c r="H25" s="10">
        <v>45945</v>
      </c>
      <c r="I25">
        <v>29.4</v>
      </c>
      <c r="J25">
        <v>31.2</v>
      </c>
      <c r="K25" s="9" t="s">
        <v>1321</v>
      </c>
    </row>
    <row r="26" spans="1:11" x14ac:dyDescent="0.35">
      <c r="A26" s="9" t="s">
        <v>1486</v>
      </c>
      <c r="B26" s="9" t="s">
        <v>91</v>
      </c>
      <c r="C26" s="9" t="s">
        <v>46</v>
      </c>
      <c r="D26" s="9" t="s">
        <v>93</v>
      </c>
      <c r="E26" s="9" t="s">
        <v>1129</v>
      </c>
      <c r="F26" s="9" t="s">
        <v>1130</v>
      </c>
      <c r="G26" s="10">
        <v>45926</v>
      </c>
      <c r="H26" s="10">
        <v>45939</v>
      </c>
      <c r="I26">
        <v>10.1</v>
      </c>
      <c r="J26">
        <v>8.9</v>
      </c>
      <c r="K26" s="9" t="s">
        <v>1321</v>
      </c>
    </row>
    <row r="27" spans="1:11" x14ac:dyDescent="0.35">
      <c r="A27" s="9" t="s">
        <v>1487</v>
      </c>
      <c r="B27" s="9" t="s">
        <v>91</v>
      </c>
      <c r="C27" s="9" t="s">
        <v>46</v>
      </c>
      <c r="D27" s="9" t="s">
        <v>93</v>
      </c>
      <c r="E27" s="9" t="s">
        <v>1183</v>
      </c>
      <c r="F27" s="9" t="s">
        <v>1184</v>
      </c>
      <c r="G27" s="10">
        <v>46068</v>
      </c>
      <c r="H27" s="10">
        <v>46108</v>
      </c>
      <c r="I27">
        <v>8.5</v>
      </c>
      <c r="J27">
        <v>10.4</v>
      </c>
      <c r="K27" s="9" t="s">
        <v>1321</v>
      </c>
    </row>
    <row r="28" spans="1:11" x14ac:dyDescent="0.35">
      <c r="A28" s="9" t="s">
        <v>1488</v>
      </c>
      <c r="B28" s="9" t="s">
        <v>96</v>
      </c>
      <c r="C28" s="9" t="s">
        <v>55</v>
      </c>
      <c r="D28" s="9" t="s">
        <v>69</v>
      </c>
      <c r="E28" s="9" t="s">
        <v>1171</v>
      </c>
      <c r="F28" s="9" t="s">
        <v>1172</v>
      </c>
      <c r="G28" s="10">
        <v>46042</v>
      </c>
      <c r="H28" s="10">
        <v>46050</v>
      </c>
      <c r="I28">
        <v>27</v>
      </c>
      <c r="J28">
        <v>22.2</v>
      </c>
      <c r="K28" s="9" t="s">
        <v>1321</v>
      </c>
    </row>
    <row r="29" spans="1:11" x14ac:dyDescent="0.35">
      <c r="A29" s="9" t="s">
        <v>1489</v>
      </c>
      <c r="B29" s="9" t="s">
        <v>98</v>
      </c>
      <c r="C29" s="9" t="s">
        <v>46</v>
      </c>
      <c r="D29" s="9" t="s">
        <v>76</v>
      </c>
      <c r="E29" s="9" t="s">
        <v>1183</v>
      </c>
      <c r="F29" s="9" t="s">
        <v>1184</v>
      </c>
      <c r="G29" s="10">
        <v>46159</v>
      </c>
      <c r="H29" s="10">
        <v>46168</v>
      </c>
      <c r="I29">
        <v>21.5</v>
      </c>
      <c r="J29">
        <v>18</v>
      </c>
      <c r="K29" s="9" t="s">
        <v>1321</v>
      </c>
    </row>
    <row r="30" spans="1:11" x14ac:dyDescent="0.35">
      <c r="A30" s="9" t="s">
        <v>1490</v>
      </c>
      <c r="B30" s="9" t="s">
        <v>98</v>
      </c>
      <c r="C30" s="9" t="s">
        <v>46</v>
      </c>
      <c r="D30" s="9" t="s">
        <v>76</v>
      </c>
      <c r="E30" s="9" t="s">
        <v>1167</v>
      </c>
      <c r="F30" s="9" t="s">
        <v>1168</v>
      </c>
      <c r="G30" s="10">
        <v>46150</v>
      </c>
      <c r="H30" s="10">
        <v>46207</v>
      </c>
      <c r="I30">
        <v>4.0999999999999996</v>
      </c>
      <c r="J30">
        <v>6</v>
      </c>
      <c r="K30" s="9" t="s">
        <v>1321</v>
      </c>
    </row>
    <row r="31" spans="1:11" x14ac:dyDescent="0.35">
      <c r="A31" s="9" t="s">
        <v>1491</v>
      </c>
      <c r="B31" s="9" t="s">
        <v>100</v>
      </c>
      <c r="C31" s="9" t="s">
        <v>46</v>
      </c>
      <c r="D31" s="9" t="s">
        <v>69</v>
      </c>
      <c r="E31" s="9" t="s">
        <v>1211</v>
      </c>
      <c r="F31" s="9" t="s">
        <v>1212</v>
      </c>
      <c r="G31" s="10">
        <v>45999</v>
      </c>
      <c r="H31" s="10">
        <v>46036</v>
      </c>
      <c r="I31">
        <v>28.1</v>
      </c>
      <c r="J31">
        <v>33.6</v>
      </c>
      <c r="K31" s="9" t="s">
        <v>1321</v>
      </c>
    </row>
    <row r="32" spans="1:11" x14ac:dyDescent="0.35">
      <c r="A32" s="9" t="s">
        <v>1492</v>
      </c>
      <c r="B32" s="9" t="s">
        <v>100</v>
      </c>
      <c r="C32" s="9" t="s">
        <v>46</v>
      </c>
      <c r="D32" s="9" t="s">
        <v>69</v>
      </c>
      <c r="E32" s="9" t="s">
        <v>1152</v>
      </c>
      <c r="F32" s="9" t="s">
        <v>1153</v>
      </c>
      <c r="G32" s="10">
        <v>46122</v>
      </c>
      <c r="H32" s="10">
        <v>46149</v>
      </c>
      <c r="I32">
        <v>3</v>
      </c>
      <c r="J32">
        <v>3.2</v>
      </c>
      <c r="K32" s="9" t="s">
        <v>1321</v>
      </c>
    </row>
    <row r="33" spans="1:11" x14ac:dyDescent="0.35">
      <c r="A33" s="9" t="s">
        <v>1493</v>
      </c>
      <c r="B33" s="9" t="s">
        <v>100</v>
      </c>
      <c r="C33" s="9" t="s">
        <v>46</v>
      </c>
      <c r="D33" s="9" t="s">
        <v>69</v>
      </c>
      <c r="E33" s="9" t="s">
        <v>1129</v>
      </c>
      <c r="F33" s="9" t="s">
        <v>1130</v>
      </c>
      <c r="G33" s="10">
        <v>45790</v>
      </c>
      <c r="H33" s="10">
        <v>45793</v>
      </c>
      <c r="I33">
        <v>6.8</v>
      </c>
      <c r="J33">
        <v>5.2</v>
      </c>
      <c r="K33" s="9" t="s">
        <v>1321</v>
      </c>
    </row>
    <row r="34" spans="1:11" x14ac:dyDescent="0.35">
      <c r="A34" s="9" t="s">
        <v>1494</v>
      </c>
      <c r="B34" s="9" t="s">
        <v>100</v>
      </c>
      <c r="C34" s="9" t="s">
        <v>46</v>
      </c>
      <c r="D34" s="9" t="s">
        <v>69</v>
      </c>
      <c r="E34" s="9" t="s">
        <v>1147</v>
      </c>
      <c r="F34" s="9" t="s">
        <v>1148</v>
      </c>
      <c r="G34" s="10">
        <v>45731</v>
      </c>
      <c r="H34" s="10">
        <v>45725</v>
      </c>
      <c r="I34">
        <v>32.4</v>
      </c>
      <c r="J34">
        <v>40.6</v>
      </c>
      <c r="K34" s="9" t="s">
        <v>1321</v>
      </c>
    </row>
    <row r="35" spans="1:11" x14ac:dyDescent="0.35">
      <c r="A35" s="9" t="s">
        <v>1495</v>
      </c>
      <c r="B35" s="9" t="s">
        <v>102</v>
      </c>
      <c r="C35" s="9" t="s">
        <v>46</v>
      </c>
      <c r="D35" s="9" t="s">
        <v>80</v>
      </c>
      <c r="E35" s="9" t="s">
        <v>1158</v>
      </c>
      <c r="F35" s="9" t="s">
        <v>1159</v>
      </c>
      <c r="G35" s="10">
        <v>45737</v>
      </c>
      <c r="H35" s="10">
        <v>45758</v>
      </c>
      <c r="I35">
        <v>2</v>
      </c>
      <c r="J35">
        <v>2</v>
      </c>
      <c r="K35" s="9" t="s">
        <v>1321</v>
      </c>
    </row>
    <row r="36" spans="1:11" x14ac:dyDescent="0.35">
      <c r="A36" s="9" t="s">
        <v>1496</v>
      </c>
      <c r="B36" s="9" t="s">
        <v>104</v>
      </c>
      <c r="C36" s="9" t="s">
        <v>62</v>
      </c>
      <c r="D36" s="9" t="s">
        <v>93</v>
      </c>
      <c r="E36" s="9" t="s">
        <v>1158</v>
      </c>
      <c r="F36" s="9" t="s">
        <v>1159</v>
      </c>
      <c r="G36" s="10">
        <v>45919</v>
      </c>
      <c r="H36" s="10">
        <v>45934</v>
      </c>
      <c r="I36">
        <v>18.2</v>
      </c>
      <c r="J36">
        <v>16.5</v>
      </c>
      <c r="K36" s="9" t="s">
        <v>1321</v>
      </c>
    </row>
    <row r="37" spans="1:11" x14ac:dyDescent="0.35">
      <c r="A37" s="9" t="s">
        <v>1497</v>
      </c>
      <c r="B37" s="9" t="s">
        <v>106</v>
      </c>
      <c r="C37" s="9" t="s">
        <v>46</v>
      </c>
      <c r="D37" s="9" t="s">
        <v>76</v>
      </c>
      <c r="E37" s="9" t="s">
        <v>1211</v>
      </c>
      <c r="F37" s="9" t="s">
        <v>1212</v>
      </c>
      <c r="G37" s="10">
        <v>46027</v>
      </c>
      <c r="H37" s="10"/>
      <c r="I37">
        <v>23</v>
      </c>
      <c r="K37" s="9" t="s">
        <v>1473</v>
      </c>
    </row>
    <row r="38" spans="1:11" x14ac:dyDescent="0.35">
      <c r="A38" s="9" t="s">
        <v>1498</v>
      </c>
      <c r="B38" s="9" t="s">
        <v>108</v>
      </c>
      <c r="C38" s="9" t="s">
        <v>46</v>
      </c>
      <c r="D38" s="9" t="s">
        <v>63</v>
      </c>
      <c r="E38" s="9" t="s">
        <v>1129</v>
      </c>
      <c r="F38" s="9" t="s">
        <v>1130</v>
      </c>
      <c r="G38" s="10">
        <v>45787</v>
      </c>
      <c r="H38" s="10">
        <v>45844</v>
      </c>
      <c r="I38">
        <v>17.5</v>
      </c>
      <c r="J38">
        <v>25.2</v>
      </c>
      <c r="K38" s="9" t="s">
        <v>1321</v>
      </c>
    </row>
    <row r="39" spans="1:11" x14ac:dyDescent="0.35">
      <c r="A39" s="9" t="s">
        <v>1499</v>
      </c>
      <c r="B39" s="9" t="s">
        <v>110</v>
      </c>
      <c r="C39" s="9" t="s">
        <v>55</v>
      </c>
      <c r="D39" s="9" t="s">
        <v>112</v>
      </c>
      <c r="E39" s="9" t="s">
        <v>1162</v>
      </c>
      <c r="F39" s="9" t="s">
        <v>1163</v>
      </c>
      <c r="G39" s="10">
        <v>45901</v>
      </c>
      <c r="H39" s="10">
        <v>45956</v>
      </c>
      <c r="I39">
        <v>9.8000000000000007</v>
      </c>
      <c r="J39">
        <v>13.9</v>
      </c>
      <c r="K39" s="9" t="s">
        <v>1321</v>
      </c>
    </row>
    <row r="40" spans="1:11" x14ac:dyDescent="0.35">
      <c r="A40" s="9" t="s">
        <v>1500</v>
      </c>
      <c r="B40" s="9" t="s">
        <v>110</v>
      </c>
      <c r="C40" s="9" t="s">
        <v>55</v>
      </c>
      <c r="D40" s="9" t="s">
        <v>112</v>
      </c>
      <c r="E40" s="9" t="s">
        <v>1183</v>
      </c>
      <c r="F40" s="9" t="s">
        <v>1184</v>
      </c>
      <c r="G40" s="10">
        <v>46130</v>
      </c>
      <c r="H40" s="10">
        <v>46178</v>
      </c>
      <c r="I40">
        <v>8.1</v>
      </c>
      <c r="J40">
        <v>10.8</v>
      </c>
      <c r="K40" s="9" t="s">
        <v>1321</v>
      </c>
    </row>
    <row r="41" spans="1:11" x14ac:dyDescent="0.35">
      <c r="A41" s="9" t="s">
        <v>1501</v>
      </c>
      <c r="B41" s="9" t="s">
        <v>110</v>
      </c>
      <c r="C41" s="9" t="s">
        <v>55</v>
      </c>
      <c r="D41" s="9" t="s">
        <v>112</v>
      </c>
      <c r="E41" s="9" t="s">
        <v>1190</v>
      </c>
      <c r="F41" s="9" t="s">
        <v>1191</v>
      </c>
      <c r="G41" s="10">
        <v>45916</v>
      </c>
      <c r="H41" s="10">
        <v>45924</v>
      </c>
      <c r="I41">
        <v>5.5</v>
      </c>
      <c r="J41">
        <v>4.5</v>
      </c>
      <c r="K41" s="9" t="s">
        <v>1321</v>
      </c>
    </row>
    <row r="42" spans="1:11" x14ac:dyDescent="0.35">
      <c r="A42" s="9" t="s">
        <v>1502</v>
      </c>
      <c r="B42" s="9" t="s">
        <v>114</v>
      </c>
      <c r="C42" s="9" t="s">
        <v>55</v>
      </c>
      <c r="D42" s="9" t="s">
        <v>69</v>
      </c>
      <c r="E42" s="9" t="s">
        <v>1134</v>
      </c>
      <c r="F42" s="9" t="s">
        <v>1135</v>
      </c>
      <c r="G42" s="10">
        <v>45685</v>
      </c>
      <c r="H42" s="10">
        <v>45703</v>
      </c>
      <c r="I42">
        <v>32</v>
      </c>
      <c r="J42">
        <v>30.4</v>
      </c>
      <c r="K42" s="9" t="s">
        <v>1321</v>
      </c>
    </row>
    <row r="43" spans="1:11" x14ac:dyDescent="0.35">
      <c r="A43" s="9" t="s">
        <v>1503</v>
      </c>
      <c r="B43" s="9" t="s">
        <v>114</v>
      </c>
      <c r="C43" s="9" t="s">
        <v>55</v>
      </c>
      <c r="D43" s="9" t="s">
        <v>69</v>
      </c>
      <c r="E43" s="9" t="s">
        <v>1183</v>
      </c>
      <c r="F43" s="9" t="s">
        <v>1184</v>
      </c>
      <c r="G43" s="10">
        <v>45934</v>
      </c>
      <c r="H43" s="10">
        <v>45967</v>
      </c>
      <c r="I43">
        <v>15</v>
      </c>
      <c r="J43">
        <v>17.100000000000001</v>
      </c>
      <c r="K43" s="9" t="s">
        <v>1321</v>
      </c>
    </row>
    <row r="44" spans="1:11" x14ac:dyDescent="0.35">
      <c r="A44" s="9" t="s">
        <v>1504</v>
      </c>
      <c r="B44" s="9" t="s">
        <v>116</v>
      </c>
      <c r="C44" s="9" t="s">
        <v>46</v>
      </c>
      <c r="D44" s="9" t="s">
        <v>56</v>
      </c>
      <c r="E44" s="9" t="s">
        <v>1143</v>
      </c>
      <c r="F44" s="9" t="s">
        <v>1144</v>
      </c>
      <c r="G44" s="10">
        <v>46131</v>
      </c>
      <c r="H44" s="10">
        <v>46181</v>
      </c>
      <c r="I44">
        <v>28.8</v>
      </c>
      <c r="J44">
        <v>39</v>
      </c>
      <c r="K44" s="9" t="s">
        <v>1321</v>
      </c>
    </row>
    <row r="45" spans="1:11" x14ac:dyDescent="0.35">
      <c r="A45" s="9" t="s">
        <v>1505</v>
      </c>
      <c r="B45" s="9" t="s">
        <v>118</v>
      </c>
      <c r="C45" s="9" t="s">
        <v>46</v>
      </c>
      <c r="D45" s="9" t="s">
        <v>63</v>
      </c>
      <c r="E45" s="9" t="s">
        <v>1147</v>
      </c>
      <c r="F45" s="9" t="s">
        <v>1148</v>
      </c>
      <c r="G45" s="10">
        <v>45876</v>
      </c>
      <c r="H45" s="10">
        <v>45906</v>
      </c>
      <c r="I45">
        <v>23.3</v>
      </c>
      <c r="J45">
        <v>25.7</v>
      </c>
      <c r="K45" s="9" t="s">
        <v>1321</v>
      </c>
    </row>
    <row r="46" spans="1:11" x14ac:dyDescent="0.35">
      <c r="A46" s="9" t="s">
        <v>1506</v>
      </c>
      <c r="B46" s="9" t="s">
        <v>120</v>
      </c>
      <c r="C46" s="9" t="s">
        <v>62</v>
      </c>
      <c r="D46" s="9" t="s">
        <v>80</v>
      </c>
      <c r="E46" s="9" t="s">
        <v>1147</v>
      </c>
      <c r="F46" s="9" t="s">
        <v>1148</v>
      </c>
      <c r="G46" s="10">
        <v>45888</v>
      </c>
      <c r="H46" s="10">
        <v>45896</v>
      </c>
      <c r="I46">
        <v>24.8</v>
      </c>
      <c r="J46">
        <v>20.399999999999999</v>
      </c>
      <c r="K46" s="9" t="s">
        <v>1321</v>
      </c>
    </row>
    <row r="47" spans="1:11" x14ac:dyDescent="0.35">
      <c r="A47" s="9" t="s">
        <v>1507</v>
      </c>
      <c r="B47" s="9" t="s">
        <v>120</v>
      </c>
      <c r="C47" s="9" t="s">
        <v>62</v>
      </c>
      <c r="D47" s="9" t="s">
        <v>80</v>
      </c>
      <c r="E47" s="9" t="s">
        <v>1129</v>
      </c>
      <c r="F47" s="9" t="s">
        <v>1130</v>
      </c>
      <c r="G47" s="10">
        <v>45880</v>
      </c>
      <c r="H47" s="10">
        <v>45906</v>
      </c>
      <c r="I47">
        <v>24.3</v>
      </c>
      <c r="J47">
        <v>25.6</v>
      </c>
      <c r="K47" s="9" t="s">
        <v>1321</v>
      </c>
    </row>
    <row r="48" spans="1:11" x14ac:dyDescent="0.35">
      <c r="A48" s="9" t="s">
        <v>1508</v>
      </c>
      <c r="B48" s="9" t="s">
        <v>120</v>
      </c>
      <c r="C48" s="9" t="s">
        <v>62</v>
      </c>
      <c r="D48" s="9" t="s">
        <v>80</v>
      </c>
      <c r="E48" s="9" t="s">
        <v>1183</v>
      </c>
      <c r="F48" s="9" t="s">
        <v>1184</v>
      </c>
      <c r="G48" s="10">
        <v>45804</v>
      </c>
      <c r="H48" s="10">
        <v>45859</v>
      </c>
      <c r="I48">
        <v>30.3</v>
      </c>
      <c r="J48">
        <v>43.2</v>
      </c>
      <c r="K48" s="9" t="s">
        <v>1321</v>
      </c>
    </row>
    <row r="49" spans="1:11" x14ac:dyDescent="0.35">
      <c r="A49" s="9" t="s">
        <v>1509</v>
      </c>
      <c r="B49" s="9" t="s">
        <v>122</v>
      </c>
      <c r="C49" s="9" t="s">
        <v>46</v>
      </c>
      <c r="D49" s="9" t="s">
        <v>112</v>
      </c>
      <c r="E49" s="9" t="s">
        <v>1196</v>
      </c>
      <c r="F49" s="9" t="s">
        <v>1197</v>
      </c>
      <c r="G49" s="10">
        <v>45997</v>
      </c>
      <c r="H49" s="10">
        <v>46041</v>
      </c>
      <c r="I49">
        <v>11.8</v>
      </c>
      <c r="J49">
        <v>15</v>
      </c>
      <c r="K49" s="9" t="s">
        <v>1321</v>
      </c>
    </row>
    <row r="50" spans="1:11" x14ac:dyDescent="0.35">
      <c r="A50" s="9" t="s">
        <v>1510</v>
      </c>
      <c r="B50" s="9" t="s">
        <v>124</v>
      </c>
      <c r="C50" s="9" t="s">
        <v>46</v>
      </c>
      <c r="D50" s="9" t="s">
        <v>56</v>
      </c>
      <c r="E50" s="9" t="s">
        <v>1190</v>
      </c>
      <c r="F50" s="9" t="s">
        <v>1191</v>
      </c>
      <c r="G50" s="10">
        <v>46037</v>
      </c>
      <c r="H50" s="10">
        <v>46070</v>
      </c>
      <c r="I50">
        <v>3.8</v>
      </c>
      <c r="J50">
        <v>4.4000000000000004</v>
      </c>
      <c r="K50" s="9" t="s">
        <v>1321</v>
      </c>
    </row>
    <row r="51" spans="1:11" x14ac:dyDescent="0.35">
      <c r="A51" s="9" t="s">
        <v>1511</v>
      </c>
      <c r="B51" s="9" t="s">
        <v>126</v>
      </c>
      <c r="C51" s="9" t="s">
        <v>46</v>
      </c>
      <c r="D51" s="9" t="s">
        <v>47</v>
      </c>
      <c r="E51" s="9" t="s">
        <v>1190</v>
      </c>
      <c r="F51" s="9" t="s">
        <v>1191</v>
      </c>
      <c r="G51" s="10">
        <v>45826</v>
      </c>
      <c r="H51" s="10">
        <v>45820</v>
      </c>
      <c r="I51">
        <v>10.5</v>
      </c>
      <c r="J51">
        <v>12.6</v>
      </c>
      <c r="K51" s="9" t="s">
        <v>1321</v>
      </c>
    </row>
    <row r="52" spans="1:11" x14ac:dyDescent="0.35">
      <c r="A52" s="9" t="s">
        <v>1512</v>
      </c>
      <c r="B52" s="9" t="s">
        <v>128</v>
      </c>
      <c r="C52" s="9" t="s">
        <v>46</v>
      </c>
      <c r="D52" s="9" t="s">
        <v>63</v>
      </c>
      <c r="E52" s="9" t="s">
        <v>1129</v>
      </c>
      <c r="F52" s="9" t="s">
        <v>1130</v>
      </c>
      <c r="G52" s="10">
        <v>46086</v>
      </c>
      <c r="H52" s="10">
        <v>46140</v>
      </c>
      <c r="I52">
        <v>33.5</v>
      </c>
      <c r="J52">
        <v>47.2</v>
      </c>
      <c r="K52" s="9" t="s">
        <v>1321</v>
      </c>
    </row>
    <row r="53" spans="1:11" x14ac:dyDescent="0.35">
      <c r="A53" s="9" t="s">
        <v>1513</v>
      </c>
      <c r="B53" s="9" t="s">
        <v>130</v>
      </c>
      <c r="C53" s="9" t="s">
        <v>46</v>
      </c>
      <c r="D53" s="9" t="s">
        <v>63</v>
      </c>
      <c r="E53" s="9" t="s">
        <v>1171</v>
      </c>
      <c r="F53" s="9" t="s">
        <v>1172</v>
      </c>
      <c r="G53" s="10">
        <v>45871</v>
      </c>
      <c r="H53" s="10">
        <v>45923</v>
      </c>
      <c r="I53">
        <v>31.7</v>
      </c>
      <c r="J53">
        <v>43.8</v>
      </c>
      <c r="K53" s="9" t="s">
        <v>1321</v>
      </c>
    </row>
    <row r="54" spans="1:11" x14ac:dyDescent="0.35">
      <c r="A54" s="9" t="s">
        <v>1514</v>
      </c>
      <c r="B54" s="9" t="s">
        <v>132</v>
      </c>
      <c r="C54" s="9" t="s">
        <v>55</v>
      </c>
      <c r="D54" s="9" t="s">
        <v>47</v>
      </c>
      <c r="E54" s="9" t="s">
        <v>1155</v>
      </c>
      <c r="F54" s="9" t="s">
        <v>1156</v>
      </c>
      <c r="G54" s="10">
        <v>45951</v>
      </c>
      <c r="H54" s="10">
        <v>46008</v>
      </c>
      <c r="I54">
        <v>2.2999999999999998</v>
      </c>
      <c r="J54">
        <v>3.3</v>
      </c>
      <c r="K54" s="9" t="s">
        <v>1321</v>
      </c>
    </row>
    <row r="55" spans="1:11" x14ac:dyDescent="0.35">
      <c r="A55" s="9" t="s">
        <v>1515</v>
      </c>
      <c r="B55" s="9" t="s">
        <v>132</v>
      </c>
      <c r="C55" s="9" t="s">
        <v>55</v>
      </c>
      <c r="D55" s="9" t="s">
        <v>47</v>
      </c>
      <c r="E55" s="9" t="s">
        <v>1143</v>
      </c>
      <c r="F55" s="9" t="s">
        <v>1144</v>
      </c>
      <c r="G55" s="10">
        <v>45789</v>
      </c>
      <c r="H55" s="10">
        <v>45806</v>
      </c>
      <c r="I55">
        <v>11.2</v>
      </c>
      <c r="J55">
        <v>10.5</v>
      </c>
      <c r="K55" s="9" t="s">
        <v>1321</v>
      </c>
    </row>
    <row r="56" spans="1:11" x14ac:dyDescent="0.35">
      <c r="A56" s="9" t="s">
        <v>1516</v>
      </c>
      <c r="B56" s="9" t="s">
        <v>132</v>
      </c>
      <c r="C56" s="9" t="s">
        <v>55</v>
      </c>
      <c r="D56" s="9" t="s">
        <v>47</v>
      </c>
      <c r="E56" s="9" t="s">
        <v>1143</v>
      </c>
      <c r="F56" s="9" t="s">
        <v>1144</v>
      </c>
      <c r="G56" s="10">
        <v>46141</v>
      </c>
      <c r="H56" s="10">
        <v>46166</v>
      </c>
      <c r="I56">
        <v>32.799999999999997</v>
      </c>
      <c r="J56">
        <v>33.799999999999997</v>
      </c>
      <c r="K56" s="9" t="s">
        <v>1321</v>
      </c>
    </row>
    <row r="57" spans="1:11" x14ac:dyDescent="0.35">
      <c r="A57" s="9" t="s">
        <v>1517</v>
      </c>
      <c r="B57" s="9" t="s">
        <v>136</v>
      </c>
      <c r="C57" s="9" t="s">
        <v>62</v>
      </c>
      <c r="D57" s="9" t="s">
        <v>56</v>
      </c>
      <c r="E57" s="9" t="s">
        <v>1176</v>
      </c>
      <c r="F57" s="9" t="s">
        <v>1177</v>
      </c>
      <c r="G57" s="10">
        <v>45952</v>
      </c>
      <c r="H57" s="10">
        <v>45962</v>
      </c>
      <c r="I57">
        <v>5.2</v>
      </c>
      <c r="J57">
        <v>4.4000000000000004</v>
      </c>
      <c r="K57" s="9" t="s">
        <v>1321</v>
      </c>
    </row>
    <row r="58" spans="1:11" x14ac:dyDescent="0.35">
      <c r="A58" s="9" t="s">
        <v>1518</v>
      </c>
      <c r="B58" s="9" t="s">
        <v>136</v>
      </c>
      <c r="C58" s="9" t="s">
        <v>62</v>
      </c>
      <c r="D58" s="9" t="s">
        <v>56</v>
      </c>
      <c r="E58" s="9" t="s">
        <v>1211</v>
      </c>
      <c r="F58" s="9" t="s">
        <v>1212</v>
      </c>
      <c r="G58" s="10">
        <v>45912</v>
      </c>
      <c r="H58" s="10">
        <v>45944</v>
      </c>
      <c r="I58">
        <v>2.7</v>
      </c>
      <c r="J58">
        <v>3.1</v>
      </c>
      <c r="K58" s="9" t="s">
        <v>1321</v>
      </c>
    </row>
    <row r="59" spans="1:11" x14ac:dyDescent="0.35">
      <c r="A59" s="9" t="s">
        <v>1519</v>
      </c>
      <c r="B59" s="9" t="s">
        <v>136</v>
      </c>
      <c r="C59" s="9" t="s">
        <v>62</v>
      </c>
      <c r="D59" s="9" t="s">
        <v>56</v>
      </c>
      <c r="E59" s="9" t="s">
        <v>1162</v>
      </c>
      <c r="F59" s="9" t="s">
        <v>1163</v>
      </c>
      <c r="G59" s="10">
        <v>45950</v>
      </c>
      <c r="H59" s="10">
        <v>45979</v>
      </c>
      <c r="I59">
        <v>11.7</v>
      </c>
      <c r="J59">
        <v>12.7</v>
      </c>
      <c r="K59" s="9" t="s">
        <v>1321</v>
      </c>
    </row>
    <row r="60" spans="1:11" x14ac:dyDescent="0.35">
      <c r="A60" s="9" t="s">
        <v>1520</v>
      </c>
      <c r="B60" s="9" t="s">
        <v>136</v>
      </c>
      <c r="C60" s="9" t="s">
        <v>62</v>
      </c>
      <c r="D60" s="9" t="s">
        <v>56</v>
      </c>
      <c r="E60" s="9" t="s">
        <v>1190</v>
      </c>
      <c r="F60" s="9" t="s">
        <v>1191</v>
      </c>
      <c r="G60" s="10">
        <v>45882</v>
      </c>
      <c r="H60" s="10">
        <v>45916</v>
      </c>
      <c r="I60">
        <v>29.3</v>
      </c>
      <c r="J60">
        <v>33.6</v>
      </c>
      <c r="K60" s="9" t="s">
        <v>1321</v>
      </c>
    </row>
    <row r="61" spans="1:11" x14ac:dyDescent="0.35">
      <c r="A61" s="9" t="s">
        <v>1521</v>
      </c>
      <c r="B61" s="9" t="s">
        <v>138</v>
      </c>
      <c r="C61" s="9" t="s">
        <v>55</v>
      </c>
      <c r="D61" s="9" t="s">
        <v>47</v>
      </c>
      <c r="E61" s="9" t="s">
        <v>1190</v>
      </c>
      <c r="F61" s="9" t="s">
        <v>1191</v>
      </c>
      <c r="G61" s="10">
        <v>46171</v>
      </c>
      <c r="H61" s="10">
        <v>46188</v>
      </c>
      <c r="I61">
        <v>30.6</v>
      </c>
      <c r="J61">
        <v>28.4</v>
      </c>
      <c r="K61" s="9" t="s">
        <v>1321</v>
      </c>
    </row>
    <row r="62" spans="1:11" x14ac:dyDescent="0.35">
      <c r="A62" s="9" t="s">
        <v>1522</v>
      </c>
      <c r="B62" s="9" t="s">
        <v>138</v>
      </c>
      <c r="C62" s="9" t="s">
        <v>55</v>
      </c>
      <c r="D62" s="9" t="s">
        <v>47</v>
      </c>
      <c r="E62" s="9" t="s">
        <v>1134</v>
      </c>
      <c r="F62" s="9" t="s">
        <v>1135</v>
      </c>
      <c r="G62" s="10">
        <v>46081</v>
      </c>
      <c r="H62" s="10">
        <v>46112</v>
      </c>
      <c r="I62">
        <v>13.5</v>
      </c>
      <c r="J62">
        <v>15.1</v>
      </c>
      <c r="K62" s="9" t="s">
        <v>1321</v>
      </c>
    </row>
    <row r="63" spans="1:11" x14ac:dyDescent="0.35">
      <c r="A63" s="9" t="s">
        <v>1523</v>
      </c>
      <c r="B63" s="9" t="s">
        <v>140</v>
      </c>
      <c r="C63" s="9" t="s">
        <v>46</v>
      </c>
      <c r="D63" s="9" t="s">
        <v>80</v>
      </c>
      <c r="E63" s="9" t="s">
        <v>1139</v>
      </c>
      <c r="F63" s="9" t="s">
        <v>1140</v>
      </c>
      <c r="G63" s="10">
        <v>45850</v>
      </c>
      <c r="H63" s="10">
        <v>45902</v>
      </c>
      <c r="I63">
        <v>14.5</v>
      </c>
      <c r="J63">
        <v>20.100000000000001</v>
      </c>
      <c r="K63" s="9" t="s">
        <v>1321</v>
      </c>
    </row>
    <row r="64" spans="1:11" x14ac:dyDescent="0.35">
      <c r="A64" s="9" t="s">
        <v>1524</v>
      </c>
      <c r="B64" s="9" t="s">
        <v>142</v>
      </c>
      <c r="C64" s="9" t="s">
        <v>46</v>
      </c>
      <c r="D64" s="9" t="s">
        <v>112</v>
      </c>
      <c r="E64" s="9" t="s">
        <v>1134</v>
      </c>
      <c r="F64" s="9" t="s">
        <v>1135</v>
      </c>
      <c r="G64" s="10">
        <v>45965</v>
      </c>
      <c r="H64" s="10">
        <v>46018</v>
      </c>
      <c r="I64">
        <v>17.600000000000001</v>
      </c>
      <c r="J64">
        <v>24.6</v>
      </c>
      <c r="K64" s="9" t="s">
        <v>1321</v>
      </c>
    </row>
    <row r="65" spans="1:11" x14ac:dyDescent="0.35">
      <c r="A65" s="9" t="s">
        <v>1525</v>
      </c>
      <c r="B65" s="9" t="s">
        <v>142</v>
      </c>
      <c r="C65" s="9" t="s">
        <v>46</v>
      </c>
      <c r="D65" s="9" t="s">
        <v>112</v>
      </c>
      <c r="E65" s="9" t="s">
        <v>1143</v>
      </c>
      <c r="F65" s="9" t="s">
        <v>1144</v>
      </c>
      <c r="G65" s="10">
        <v>46202</v>
      </c>
      <c r="H65" s="10">
        <v>46216</v>
      </c>
      <c r="I65">
        <v>21.2</v>
      </c>
      <c r="J65">
        <v>19.100000000000001</v>
      </c>
      <c r="K65" s="9" t="s">
        <v>1321</v>
      </c>
    </row>
    <row r="66" spans="1:11" x14ac:dyDescent="0.35">
      <c r="A66" s="9" t="s">
        <v>1526</v>
      </c>
      <c r="B66" s="9" t="s">
        <v>144</v>
      </c>
      <c r="C66" s="9" t="s">
        <v>46</v>
      </c>
      <c r="D66" s="9" t="s">
        <v>112</v>
      </c>
      <c r="E66" s="9" t="s">
        <v>1139</v>
      </c>
      <c r="F66" s="9" t="s">
        <v>1140</v>
      </c>
      <c r="G66" s="10">
        <v>46166</v>
      </c>
      <c r="H66" s="10">
        <v>46220</v>
      </c>
      <c r="I66">
        <v>29.3</v>
      </c>
      <c r="J66">
        <v>41.3</v>
      </c>
      <c r="K66" s="9" t="s">
        <v>1321</v>
      </c>
    </row>
    <row r="67" spans="1:11" x14ac:dyDescent="0.35">
      <c r="A67" s="9" t="s">
        <v>1527</v>
      </c>
      <c r="B67" s="9" t="s">
        <v>146</v>
      </c>
      <c r="C67" s="9" t="s">
        <v>46</v>
      </c>
      <c r="D67" s="9" t="s">
        <v>112</v>
      </c>
      <c r="E67" s="9" t="s">
        <v>1176</v>
      </c>
      <c r="F67" s="9" t="s">
        <v>1177</v>
      </c>
      <c r="G67" s="10">
        <v>45881</v>
      </c>
      <c r="H67" s="10">
        <v>45917</v>
      </c>
      <c r="I67">
        <v>8.9</v>
      </c>
      <c r="J67">
        <v>10.5</v>
      </c>
      <c r="K67" s="9" t="s">
        <v>1321</v>
      </c>
    </row>
    <row r="68" spans="1:11" x14ac:dyDescent="0.35">
      <c r="A68" s="9" t="s">
        <v>1528</v>
      </c>
      <c r="B68" s="9" t="s">
        <v>146</v>
      </c>
      <c r="C68" s="9" t="s">
        <v>46</v>
      </c>
      <c r="D68" s="9" t="s">
        <v>112</v>
      </c>
      <c r="E68" s="9" t="s">
        <v>1147</v>
      </c>
      <c r="F68" s="9" t="s">
        <v>1148</v>
      </c>
      <c r="G68" s="10">
        <v>46197</v>
      </c>
      <c r="H68" s="10">
        <v>46241</v>
      </c>
      <c r="I68">
        <v>27.4</v>
      </c>
      <c r="J68">
        <v>35.1</v>
      </c>
      <c r="K68" s="9" t="s">
        <v>1321</v>
      </c>
    </row>
    <row r="69" spans="1:11" x14ac:dyDescent="0.35">
      <c r="A69" s="9" t="s">
        <v>1529</v>
      </c>
      <c r="B69" s="9" t="s">
        <v>148</v>
      </c>
      <c r="C69" s="9" t="s">
        <v>55</v>
      </c>
      <c r="D69" s="9" t="s">
        <v>56</v>
      </c>
      <c r="E69" s="9" t="s">
        <v>1129</v>
      </c>
      <c r="F69" s="9" t="s">
        <v>1130</v>
      </c>
      <c r="G69" s="10">
        <v>46050</v>
      </c>
      <c r="H69" s="10">
        <v>46059</v>
      </c>
      <c r="I69">
        <v>34.9</v>
      </c>
      <c r="J69">
        <v>29.1</v>
      </c>
      <c r="K69" s="9" t="s">
        <v>1321</v>
      </c>
    </row>
    <row r="70" spans="1:11" x14ac:dyDescent="0.35">
      <c r="A70" s="9" t="s">
        <v>1530</v>
      </c>
      <c r="B70" s="9" t="s">
        <v>148</v>
      </c>
      <c r="C70" s="9" t="s">
        <v>55</v>
      </c>
      <c r="D70" s="9" t="s">
        <v>56</v>
      </c>
      <c r="E70" s="9" t="s">
        <v>1134</v>
      </c>
      <c r="F70" s="9" t="s">
        <v>1135</v>
      </c>
      <c r="G70" s="10">
        <v>45726</v>
      </c>
      <c r="H70" s="10">
        <v>45757</v>
      </c>
      <c r="I70">
        <v>2.6</v>
      </c>
      <c r="J70">
        <v>2.9</v>
      </c>
      <c r="K70" s="9" t="s">
        <v>1321</v>
      </c>
    </row>
    <row r="71" spans="1:11" x14ac:dyDescent="0.35">
      <c r="A71" s="9" t="s">
        <v>1531</v>
      </c>
      <c r="B71" s="9" t="s">
        <v>148</v>
      </c>
      <c r="C71" s="9" t="s">
        <v>55</v>
      </c>
      <c r="D71" s="9" t="s">
        <v>56</v>
      </c>
      <c r="E71" s="9" t="s">
        <v>1147</v>
      </c>
      <c r="F71" s="9" t="s">
        <v>1148</v>
      </c>
      <c r="G71" s="10">
        <v>45783</v>
      </c>
      <c r="H71" s="10">
        <v>45808</v>
      </c>
      <c r="I71">
        <v>23.3</v>
      </c>
      <c r="J71">
        <v>24.2</v>
      </c>
      <c r="K71" s="9" t="s">
        <v>1321</v>
      </c>
    </row>
    <row r="72" spans="1:11" x14ac:dyDescent="0.35">
      <c r="A72" s="9" t="s">
        <v>1532</v>
      </c>
      <c r="B72" s="9" t="s">
        <v>150</v>
      </c>
      <c r="C72" s="9" t="s">
        <v>46</v>
      </c>
      <c r="D72" s="9" t="s">
        <v>63</v>
      </c>
      <c r="E72" s="9" t="s">
        <v>1190</v>
      </c>
      <c r="F72" s="9" t="s">
        <v>1191</v>
      </c>
      <c r="G72" s="10">
        <v>45771</v>
      </c>
      <c r="H72" s="10">
        <v>45778</v>
      </c>
      <c r="I72">
        <v>19.8</v>
      </c>
      <c r="J72">
        <v>16</v>
      </c>
      <c r="K72" s="9" t="s">
        <v>1321</v>
      </c>
    </row>
    <row r="73" spans="1:11" x14ac:dyDescent="0.35">
      <c r="A73" s="9" t="s">
        <v>1533</v>
      </c>
      <c r="B73" s="9" t="s">
        <v>150</v>
      </c>
      <c r="C73" s="9" t="s">
        <v>46</v>
      </c>
      <c r="D73" s="9" t="s">
        <v>63</v>
      </c>
      <c r="E73" s="9" t="s">
        <v>1211</v>
      </c>
      <c r="F73" s="9" t="s">
        <v>1212</v>
      </c>
      <c r="G73" s="10">
        <v>45895</v>
      </c>
      <c r="H73" s="10">
        <v>45952</v>
      </c>
      <c r="I73">
        <v>23.7</v>
      </c>
      <c r="J73">
        <v>34.1</v>
      </c>
      <c r="K73" s="9" t="s">
        <v>1321</v>
      </c>
    </row>
    <row r="74" spans="1:11" x14ac:dyDescent="0.35">
      <c r="A74" s="9" t="s">
        <v>1534</v>
      </c>
      <c r="B74" s="9" t="s">
        <v>150</v>
      </c>
      <c r="C74" s="9" t="s">
        <v>46</v>
      </c>
      <c r="D74" s="9" t="s">
        <v>63</v>
      </c>
      <c r="E74" s="9" t="s">
        <v>1129</v>
      </c>
      <c r="F74" s="9" t="s">
        <v>1130</v>
      </c>
      <c r="G74" s="10">
        <v>45681</v>
      </c>
      <c r="H74" s="10">
        <v>45697</v>
      </c>
      <c r="I74">
        <v>17.5</v>
      </c>
      <c r="J74">
        <v>16.2</v>
      </c>
      <c r="K74" s="9" t="s">
        <v>1321</v>
      </c>
    </row>
    <row r="75" spans="1:11" x14ac:dyDescent="0.35">
      <c r="A75" s="9" t="s">
        <v>1535</v>
      </c>
      <c r="B75" s="9" t="s">
        <v>152</v>
      </c>
      <c r="C75" s="9" t="s">
        <v>55</v>
      </c>
      <c r="D75" s="9" t="s">
        <v>80</v>
      </c>
      <c r="E75" s="9" t="s">
        <v>1145</v>
      </c>
      <c r="F75" s="9" t="s">
        <v>1146</v>
      </c>
      <c r="G75" s="10">
        <v>45678</v>
      </c>
      <c r="H75" s="10">
        <v>45724</v>
      </c>
      <c r="I75">
        <v>33.1</v>
      </c>
      <c r="J75">
        <v>43.1</v>
      </c>
      <c r="K75" s="9" t="s">
        <v>1321</v>
      </c>
    </row>
    <row r="76" spans="1:11" x14ac:dyDescent="0.35">
      <c r="A76" s="9" t="s">
        <v>1536</v>
      </c>
      <c r="B76" s="9" t="s">
        <v>152</v>
      </c>
      <c r="C76" s="9" t="s">
        <v>55</v>
      </c>
      <c r="D76" s="9" t="s">
        <v>80</v>
      </c>
      <c r="E76" s="9" t="s">
        <v>1143</v>
      </c>
      <c r="F76" s="9" t="s">
        <v>1144</v>
      </c>
      <c r="G76" s="10">
        <v>46039</v>
      </c>
      <c r="H76" s="10">
        <v>46085</v>
      </c>
      <c r="I76">
        <v>28.3</v>
      </c>
      <c r="J76">
        <v>36.799999999999997</v>
      </c>
      <c r="K76" s="9" t="s">
        <v>1321</v>
      </c>
    </row>
    <row r="77" spans="1:11" x14ac:dyDescent="0.35">
      <c r="A77" s="9" t="s">
        <v>1537</v>
      </c>
      <c r="B77" s="9" t="s">
        <v>152</v>
      </c>
      <c r="C77" s="9" t="s">
        <v>55</v>
      </c>
      <c r="D77" s="9" t="s">
        <v>80</v>
      </c>
      <c r="E77" s="9" t="s">
        <v>1134</v>
      </c>
      <c r="F77" s="9" t="s">
        <v>1135</v>
      </c>
      <c r="G77" s="10">
        <v>45690</v>
      </c>
      <c r="H77" s="10">
        <v>45747</v>
      </c>
      <c r="I77">
        <v>19.899999999999999</v>
      </c>
      <c r="J77">
        <v>28.9</v>
      </c>
      <c r="K77" s="9" t="s">
        <v>1321</v>
      </c>
    </row>
    <row r="78" spans="1:11" x14ac:dyDescent="0.35">
      <c r="A78" s="9" t="s">
        <v>1538</v>
      </c>
      <c r="B78" s="9" t="s">
        <v>154</v>
      </c>
      <c r="C78" s="9" t="s">
        <v>55</v>
      </c>
      <c r="D78" s="9" t="s">
        <v>63</v>
      </c>
      <c r="E78" s="9" t="s">
        <v>1196</v>
      </c>
      <c r="F78" s="9" t="s">
        <v>1197</v>
      </c>
      <c r="G78" s="10">
        <v>45789</v>
      </c>
      <c r="H78" s="10">
        <v>45802</v>
      </c>
      <c r="I78">
        <v>13.1</v>
      </c>
      <c r="J78">
        <v>11.5</v>
      </c>
      <c r="K78" s="9" t="s">
        <v>1321</v>
      </c>
    </row>
    <row r="79" spans="1:11" x14ac:dyDescent="0.35">
      <c r="A79" s="9" t="s">
        <v>1539</v>
      </c>
      <c r="B79" s="9" t="s">
        <v>156</v>
      </c>
      <c r="C79" s="9" t="s">
        <v>46</v>
      </c>
      <c r="D79" s="9" t="s">
        <v>93</v>
      </c>
      <c r="E79" s="9" t="s">
        <v>1139</v>
      </c>
      <c r="F79" s="9" t="s">
        <v>1140</v>
      </c>
      <c r="G79" s="10">
        <v>45999</v>
      </c>
      <c r="H79" s="10">
        <v>46043</v>
      </c>
      <c r="I79">
        <v>8.5</v>
      </c>
      <c r="J79">
        <v>10.9</v>
      </c>
      <c r="K79" s="9" t="s">
        <v>1321</v>
      </c>
    </row>
    <row r="80" spans="1:11" x14ac:dyDescent="0.35">
      <c r="A80" s="9" t="s">
        <v>1540</v>
      </c>
      <c r="B80" s="9" t="s">
        <v>158</v>
      </c>
      <c r="C80" s="9" t="s">
        <v>46</v>
      </c>
      <c r="D80" s="9" t="s">
        <v>47</v>
      </c>
      <c r="E80" s="9" t="s">
        <v>1193</v>
      </c>
      <c r="F80" s="9" t="s">
        <v>1194</v>
      </c>
      <c r="G80" s="10">
        <v>46106</v>
      </c>
      <c r="H80" s="10">
        <v>46118</v>
      </c>
      <c r="I80">
        <v>17.600000000000001</v>
      </c>
      <c r="J80">
        <v>15.4</v>
      </c>
      <c r="K80" s="9" t="s">
        <v>1321</v>
      </c>
    </row>
    <row r="81" spans="1:11" x14ac:dyDescent="0.35">
      <c r="A81" s="9" t="s">
        <v>1541</v>
      </c>
      <c r="B81" s="9" t="s">
        <v>158</v>
      </c>
      <c r="C81" s="9" t="s">
        <v>46</v>
      </c>
      <c r="D81" s="9" t="s">
        <v>47</v>
      </c>
      <c r="E81" s="9" t="s">
        <v>1139</v>
      </c>
      <c r="F81" s="9" t="s">
        <v>1140</v>
      </c>
      <c r="G81" s="10">
        <v>46090</v>
      </c>
      <c r="H81" s="10">
        <v>46093</v>
      </c>
      <c r="I81">
        <v>25</v>
      </c>
      <c r="J81">
        <v>18.899999999999999</v>
      </c>
      <c r="K81" s="9" t="s">
        <v>1321</v>
      </c>
    </row>
    <row r="82" spans="1:11" x14ac:dyDescent="0.35">
      <c r="A82" s="9" t="s">
        <v>1542</v>
      </c>
      <c r="B82" s="9" t="s">
        <v>158</v>
      </c>
      <c r="C82" s="9" t="s">
        <v>46</v>
      </c>
      <c r="D82" s="9" t="s">
        <v>47</v>
      </c>
      <c r="E82" s="9" t="s">
        <v>1145</v>
      </c>
      <c r="F82" s="9" t="s">
        <v>1146</v>
      </c>
      <c r="G82" s="10">
        <v>46188</v>
      </c>
      <c r="H82" s="10">
        <v>46225</v>
      </c>
      <c r="I82">
        <v>31.8</v>
      </c>
      <c r="J82">
        <v>37.799999999999997</v>
      </c>
      <c r="K82" s="9" t="s">
        <v>1321</v>
      </c>
    </row>
    <row r="83" spans="1:11" x14ac:dyDescent="0.35">
      <c r="A83" s="9" t="s">
        <v>1543</v>
      </c>
      <c r="B83" s="9" t="s">
        <v>160</v>
      </c>
      <c r="C83" s="9" t="s">
        <v>46</v>
      </c>
      <c r="D83" s="9" t="s">
        <v>112</v>
      </c>
      <c r="E83" s="9" t="s">
        <v>1176</v>
      </c>
      <c r="F83" s="9" t="s">
        <v>1177</v>
      </c>
      <c r="G83" s="10">
        <v>46070</v>
      </c>
      <c r="H83" s="10">
        <v>46089</v>
      </c>
      <c r="I83">
        <v>35.299999999999997</v>
      </c>
      <c r="J83">
        <v>34</v>
      </c>
      <c r="K83" s="9" t="s">
        <v>1321</v>
      </c>
    </row>
    <row r="84" spans="1:11" x14ac:dyDescent="0.35">
      <c r="A84" s="9" t="s">
        <v>1544</v>
      </c>
      <c r="B84" s="9" t="s">
        <v>162</v>
      </c>
      <c r="C84" s="9" t="s">
        <v>55</v>
      </c>
      <c r="D84" s="9" t="s">
        <v>69</v>
      </c>
      <c r="E84" s="9" t="s">
        <v>1143</v>
      </c>
      <c r="F84" s="9" t="s">
        <v>1144</v>
      </c>
      <c r="G84" s="10">
        <v>45715</v>
      </c>
      <c r="H84" s="10">
        <v>45771</v>
      </c>
      <c r="I84">
        <v>14.5</v>
      </c>
      <c r="J84">
        <v>20.6</v>
      </c>
      <c r="K84" s="9" t="s">
        <v>1321</v>
      </c>
    </row>
    <row r="85" spans="1:11" x14ac:dyDescent="0.35">
      <c r="A85" s="9" t="s">
        <v>1545</v>
      </c>
      <c r="B85" s="9" t="s">
        <v>162</v>
      </c>
      <c r="C85" s="9" t="s">
        <v>55</v>
      </c>
      <c r="D85" s="9" t="s">
        <v>69</v>
      </c>
      <c r="E85" s="9" t="s">
        <v>1190</v>
      </c>
      <c r="F85" s="9" t="s">
        <v>1191</v>
      </c>
      <c r="G85" s="10">
        <v>45958</v>
      </c>
      <c r="H85" s="10">
        <v>45986</v>
      </c>
      <c r="I85">
        <v>24.7</v>
      </c>
      <c r="J85">
        <v>26.6</v>
      </c>
      <c r="K85" s="9" t="s">
        <v>1321</v>
      </c>
    </row>
    <row r="86" spans="1:11" x14ac:dyDescent="0.35">
      <c r="A86" s="9" t="s">
        <v>1546</v>
      </c>
      <c r="B86" s="9" t="s">
        <v>162</v>
      </c>
      <c r="C86" s="9" t="s">
        <v>55</v>
      </c>
      <c r="D86" s="9" t="s">
        <v>69</v>
      </c>
      <c r="E86" s="9" t="s">
        <v>1158</v>
      </c>
      <c r="F86" s="9" t="s">
        <v>1159</v>
      </c>
      <c r="G86" s="10">
        <v>46015</v>
      </c>
      <c r="H86" s="10">
        <v>46028</v>
      </c>
      <c r="I86">
        <v>20.8</v>
      </c>
      <c r="J86">
        <v>18.3</v>
      </c>
      <c r="K86" s="9" t="s">
        <v>1321</v>
      </c>
    </row>
    <row r="87" spans="1:11" x14ac:dyDescent="0.35">
      <c r="A87" s="9" t="s">
        <v>1547</v>
      </c>
      <c r="B87" s="9" t="s">
        <v>164</v>
      </c>
      <c r="C87" s="9" t="s">
        <v>46</v>
      </c>
      <c r="D87" s="9" t="s">
        <v>47</v>
      </c>
      <c r="E87" s="9" t="s">
        <v>1188</v>
      </c>
      <c r="F87" s="9" t="s">
        <v>1189</v>
      </c>
      <c r="G87" s="10">
        <v>46068</v>
      </c>
      <c r="H87" s="10">
        <v>46115</v>
      </c>
      <c r="I87">
        <v>31.5</v>
      </c>
      <c r="J87">
        <v>41.3</v>
      </c>
      <c r="K87" s="9" t="s">
        <v>1321</v>
      </c>
    </row>
    <row r="88" spans="1:11" x14ac:dyDescent="0.35">
      <c r="A88" s="9" t="s">
        <v>1548</v>
      </c>
      <c r="B88" s="9" t="s">
        <v>164</v>
      </c>
      <c r="C88" s="9" t="s">
        <v>46</v>
      </c>
      <c r="D88" s="9" t="s">
        <v>47</v>
      </c>
      <c r="E88" s="9" t="s">
        <v>1137</v>
      </c>
      <c r="F88" s="9" t="s">
        <v>1138</v>
      </c>
      <c r="G88" s="10">
        <v>45743</v>
      </c>
      <c r="H88" s="10">
        <v>45798</v>
      </c>
      <c r="I88">
        <v>3.8</v>
      </c>
      <c r="J88">
        <v>5.3</v>
      </c>
      <c r="K88" s="9" t="s">
        <v>1321</v>
      </c>
    </row>
    <row r="89" spans="1:11" x14ac:dyDescent="0.35">
      <c r="A89" s="9" t="s">
        <v>1549</v>
      </c>
      <c r="B89" s="9" t="s">
        <v>164</v>
      </c>
      <c r="C89" s="9" t="s">
        <v>46</v>
      </c>
      <c r="D89" s="9" t="s">
        <v>47</v>
      </c>
      <c r="E89" s="9" t="s">
        <v>1139</v>
      </c>
      <c r="F89" s="9" t="s">
        <v>1140</v>
      </c>
      <c r="G89" s="10">
        <v>46146</v>
      </c>
      <c r="H89" s="10">
        <v>46172</v>
      </c>
      <c r="I89">
        <v>28.1</v>
      </c>
      <c r="J89">
        <v>29.3</v>
      </c>
      <c r="K89" s="9" t="s">
        <v>1321</v>
      </c>
    </row>
    <row r="90" spans="1:11" x14ac:dyDescent="0.35">
      <c r="A90" s="9" t="s">
        <v>1550</v>
      </c>
      <c r="B90" s="9" t="s">
        <v>166</v>
      </c>
      <c r="C90" s="9" t="s">
        <v>46</v>
      </c>
      <c r="D90" s="9" t="s">
        <v>80</v>
      </c>
      <c r="E90" s="9" t="s">
        <v>1190</v>
      </c>
      <c r="F90" s="9" t="s">
        <v>1191</v>
      </c>
      <c r="G90" s="10">
        <v>46121</v>
      </c>
      <c r="H90" s="10">
        <v>46132</v>
      </c>
      <c r="I90">
        <v>32.1</v>
      </c>
      <c r="J90">
        <v>27.6</v>
      </c>
      <c r="K90" s="9" t="s">
        <v>1321</v>
      </c>
    </row>
    <row r="91" spans="1:11" x14ac:dyDescent="0.35">
      <c r="A91" s="9" t="s">
        <v>1551</v>
      </c>
      <c r="B91" s="9" t="s">
        <v>166</v>
      </c>
      <c r="C91" s="9" t="s">
        <v>46</v>
      </c>
      <c r="D91" s="9" t="s">
        <v>80</v>
      </c>
      <c r="E91" s="9" t="s">
        <v>1145</v>
      </c>
      <c r="F91" s="9" t="s">
        <v>1146</v>
      </c>
      <c r="G91" s="10">
        <v>45854</v>
      </c>
      <c r="H91" s="10"/>
      <c r="I91">
        <v>34</v>
      </c>
      <c r="K91" s="9" t="s">
        <v>1473</v>
      </c>
    </row>
    <row r="92" spans="1:11" x14ac:dyDescent="0.35">
      <c r="A92" s="9" t="s">
        <v>1552</v>
      </c>
      <c r="B92" s="9" t="s">
        <v>166</v>
      </c>
      <c r="C92" s="9" t="s">
        <v>46</v>
      </c>
      <c r="D92" s="9" t="s">
        <v>80</v>
      </c>
      <c r="E92" s="9" t="s">
        <v>1171</v>
      </c>
      <c r="F92" s="9" t="s">
        <v>1172</v>
      </c>
      <c r="G92" s="10">
        <v>45787</v>
      </c>
      <c r="H92" s="10">
        <v>45810</v>
      </c>
      <c r="I92">
        <v>32.799999999999997</v>
      </c>
      <c r="J92">
        <v>33.1</v>
      </c>
      <c r="K92" s="9" t="s">
        <v>1321</v>
      </c>
    </row>
    <row r="93" spans="1:11" x14ac:dyDescent="0.35">
      <c r="A93" s="9" t="s">
        <v>1553</v>
      </c>
      <c r="B93" s="9" t="s">
        <v>168</v>
      </c>
      <c r="C93" s="9" t="s">
        <v>55</v>
      </c>
      <c r="D93" s="9" t="s">
        <v>63</v>
      </c>
      <c r="E93" s="9" t="s">
        <v>1155</v>
      </c>
      <c r="F93" s="9" t="s">
        <v>1156</v>
      </c>
      <c r="G93" s="10">
        <v>46196</v>
      </c>
      <c r="H93" s="10">
        <v>46221</v>
      </c>
      <c r="I93">
        <v>13.7</v>
      </c>
      <c r="J93">
        <v>14.1</v>
      </c>
      <c r="K93" s="9" t="s">
        <v>1321</v>
      </c>
    </row>
    <row r="94" spans="1:11" x14ac:dyDescent="0.35">
      <c r="A94" s="9" t="s">
        <v>1554</v>
      </c>
      <c r="B94" s="9" t="s">
        <v>170</v>
      </c>
      <c r="C94" s="9" t="s">
        <v>62</v>
      </c>
      <c r="D94" s="9" t="s">
        <v>47</v>
      </c>
      <c r="E94" s="9" t="s">
        <v>1211</v>
      </c>
      <c r="F94" s="9" t="s">
        <v>1212</v>
      </c>
      <c r="G94" s="10">
        <v>45985</v>
      </c>
      <c r="H94" s="10">
        <v>46037</v>
      </c>
      <c r="I94">
        <v>15.6</v>
      </c>
      <c r="J94">
        <v>21.5</v>
      </c>
      <c r="K94" s="9" t="s">
        <v>1321</v>
      </c>
    </row>
    <row r="95" spans="1:11" x14ac:dyDescent="0.35">
      <c r="A95" s="9" t="s">
        <v>1555</v>
      </c>
      <c r="B95" s="9" t="s">
        <v>170</v>
      </c>
      <c r="C95" s="9" t="s">
        <v>62</v>
      </c>
      <c r="D95" s="9" t="s">
        <v>47</v>
      </c>
      <c r="E95" s="9" t="s">
        <v>1158</v>
      </c>
      <c r="F95" s="9" t="s">
        <v>1159</v>
      </c>
      <c r="G95" s="10">
        <v>45965</v>
      </c>
      <c r="H95" s="10">
        <v>45995</v>
      </c>
      <c r="I95">
        <v>30.5</v>
      </c>
      <c r="J95">
        <v>33.700000000000003</v>
      </c>
      <c r="K95" s="9" t="s">
        <v>1321</v>
      </c>
    </row>
    <row r="96" spans="1:11" x14ac:dyDescent="0.35">
      <c r="A96" s="9" t="s">
        <v>1556</v>
      </c>
      <c r="B96" s="9" t="s">
        <v>170</v>
      </c>
      <c r="C96" s="9" t="s">
        <v>62</v>
      </c>
      <c r="D96" s="9" t="s">
        <v>47</v>
      </c>
      <c r="E96" s="9" t="s">
        <v>1176</v>
      </c>
      <c r="F96" s="9" t="s">
        <v>1177</v>
      </c>
      <c r="G96" s="10">
        <v>45992</v>
      </c>
      <c r="H96" s="10">
        <v>46008</v>
      </c>
      <c r="I96">
        <v>16.399999999999999</v>
      </c>
      <c r="J96">
        <v>15.2</v>
      </c>
      <c r="K96" s="9" t="s">
        <v>1321</v>
      </c>
    </row>
    <row r="97" spans="1:11" x14ac:dyDescent="0.35">
      <c r="A97" s="9" t="s">
        <v>1557</v>
      </c>
      <c r="B97" s="9" t="s">
        <v>172</v>
      </c>
      <c r="C97" s="9" t="s">
        <v>46</v>
      </c>
      <c r="D97" s="9" t="s">
        <v>47</v>
      </c>
      <c r="E97" s="9" t="s">
        <v>1211</v>
      </c>
      <c r="F97" s="9" t="s">
        <v>1212</v>
      </c>
      <c r="G97" s="10">
        <v>46163</v>
      </c>
      <c r="H97" s="10">
        <v>46170</v>
      </c>
      <c r="I97">
        <v>9.8000000000000007</v>
      </c>
      <c r="J97">
        <v>8</v>
      </c>
      <c r="K97" s="9" t="s">
        <v>1321</v>
      </c>
    </row>
    <row r="98" spans="1:11" x14ac:dyDescent="0.35">
      <c r="A98" s="9" t="s">
        <v>1558</v>
      </c>
      <c r="B98" s="9" t="s">
        <v>172</v>
      </c>
      <c r="C98" s="9" t="s">
        <v>46</v>
      </c>
      <c r="D98" s="9" t="s">
        <v>47</v>
      </c>
      <c r="E98" s="9" t="s">
        <v>1158</v>
      </c>
      <c r="F98" s="9" t="s">
        <v>1159</v>
      </c>
      <c r="G98" s="10">
        <v>45997</v>
      </c>
      <c r="H98" s="10">
        <v>46037</v>
      </c>
      <c r="I98">
        <v>12</v>
      </c>
      <c r="J98">
        <v>14.8</v>
      </c>
      <c r="K98" s="9" t="s">
        <v>1321</v>
      </c>
    </row>
    <row r="99" spans="1:11" x14ac:dyDescent="0.35">
      <c r="A99" s="9" t="s">
        <v>1559</v>
      </c>
      <c r="B99" s="9" t="s">
        <v>174</v>
      </c>
      <c r="C99" s="9" t="s">
        <v>46</v>
      </c>
      <c r="D99" s="9" t="s">
        <v>69</v>
      </c>
      <c r="E99" s="9" t="s">
        <v>1176</v>
      </c>
      <c r="F99" s="9" t="s">
        <v>1177</v>
      </c>
      <c r="G99" s="10">
        <v>45841</v>
      </c>
      <c r="H99" s="10">
        <v>45855</v>
      </c>
      <c r="I99">
        <v>4</v>
      </c>
      <c r="J99">
        <v>3.6</v>
      </c>
      <c r="K99" s="9" t="s">
        <v>1321</v>
      </c>
    </row>
    <row r="100" spans="1:11" x14ac:dyDescent="0.35">
      <c r="A100" s="9" t="s">
        <v>1560</v>
      </c>
      <c r="B100" s="9" t="s">
        <v>174</v>
      </c>
      <c r="C100" s="9" t="s">
        <v>46</v>
      </c>
      <c r="D100" s="9" t="s">
        <v>69</v>
      </c>
      <c r="E100" s="9" t="s">
        <v>1158</v>
      </c>
      <c r="F100" s="9" t="s">
        <v>1159</v>
      </c>
      <c r="G100" s="10">
        <v>46006</v>
      </c>
      <c r="H100" s="10">
        <v>46046</v>
      </c>
      <c r="I100">
        <v>35</v>
      </c>
      <c r="J100">
        <v>42.9</v>
      </c>
      <c r="K100" s="9" t="s">
        <v>1321</v>
      </c>
    </row>
    <row r="101" spans="1:11" x14ac:dyDescent="0.35">
      <c r="A101" s="9" t="s">
        <v>1561</v>
      </c>
      <c r="B101" s="9" t="s">
        <v>176</v>
      </c>
      <c r="C101" s="9" t="s">
        <v>46</v>
      </c>
      <c r="D101" s="9" t="s">
        <v>47</v>
      </c>
      <c r="E101" s="9" t="s">
        <v>1139</v>
      </c>
      <c r="F101" s="9" t="s">
        <v>1140</v>
      </c>
      <c r="G101" s="10">
        <v>46152</v>
      </c>
      <c r="H101" s="10">
        <v>46177</v>
      </c>
      <c r="I101">
        <v>19.100000000000001</v>
      </c>
      <c r="J101">
        <v>19.8</v>
      </c>
      <c r="K101" s="9" t="s">
        <v>1321</v>
      </c>
    </row>
    <row r="102" spans="1:11" x14ac:dyDescent="0.35">
      <c r="A102" s="9" t="s">
        <v>1562</v>
      </c>
      <c r="B102" s="9" t="s">
        <v>176</v>
      </c>
      <c r="C102" s="9" t="s">
        <v>46</v>
      </c>
      <c r="D102" s="9" t="s">
        <v>47</v>
      </c>
      <c r="E102" s="9" t="s">
        <v>1162</v>
      </c>
      <c r="F102" s="9" t="s">
        <v>1163</v>
      </c>
      <c r="G102" s="10">
        <v>46094</v>
      </c>
      <c r="H102" s="10">
        <v>46120</v>
      </c>
      <c r="I102">
        <v>3.8</v>
      </c>
      <c r="J102">
        <v>3.9</v>
      </c>
      <c r="K102" s="9" t="s">
        <v>1321</v>
      </c>
    </row>
    <row r="103" spans="1:11" x14ac:dyDescent="0.35">
      <c r="A103" s="9" t="s">
        <v>1563</v>
      </c>
      <c r="B103" s="9" t="s">
        <v>176</v>
      </c>
      <c r="C103" s="9" t="s">
        <v>46</v>
      </c>
      <c r="D103" s="9" t="s">
        <v>47</v>
      </c>
      <c r="E103" s="9" t="s">
        <v>1188</v>
      </c>
      <c r="F103" s="9" t="s">
        <v>1189</v>
      </c>
      <c r="G103" s="10">
        <v>46052</v>
      </c>
      <c r="H103" s="10">
        <v>46099</v>
      </c>
      <c r="I103">
        <v>20.8</v>
      </c>
      <c r="J103">
        <v>27.4</v>
      </c>
      <c r="K103" s="9" t="s">
        <v>1321</v>
      </c>
    </row>
    <row r="104" spans="1:11" x14ac:dyDescent="0.35">
      <c r="A104" s="9" t="s">
        <v>1564</v>
      </c>
      <c r="B104" s="9" t="s">
        <v>178</v>
      </c>
      <c r="C104" s="9" t="s">
        <v>55</v>
      </c>
      <c r="D104" s="9" t="s">
        <v>63</v>
      </c>
      <c r="E104" s="9" t="s">
        <v>1190</v>
      </c>
      <c r="F104" s="9" t="s">
        <v>1191</v>
      </c>
      <c r="G104" s="10">
        <v>45878</v>
      </c>
      <c r="H104" s="10">
        <v>45926</v>
      </c>
      <c r="I104">
        <v>20.9</v>
      </c>
      <c r="J104">
        <v>27.8</v>
      </c>
      <c r="K104" s="9" t="s">
        <v>1321</v>
      </c>
    </row>
    <row r="105" spans="1:11" x14ac:dyDescent="0.35">
      <c r="A105" s="9" t="s">
        <v>1565</v>
      </c>
      <c r="B105" s="9" t="s">
        <v>178</v>
      </c>
      <c r="C105" s="9" t="s">
        <v>55</v>
      </c>
      <c r="D105" s="9" t="s">
        <v>63</v>
      </c>
      <c r="E105" s="9" t="s">
        <v>1145</v>
      </c>
      <c r="F105" s="9" t="s">
        <v>1146</v>
      </c>
      <c r="G105" s="10">
        <v>46190</v>
      </c>
      <c r="H105" s="10">
        <v>46247</v>
      </c>
      <c r="I105">
        <v>15.5</v>
      </c>
      <c r="J105">
        <v>22.3</v>
      </c>
      <c r="K105" s="9" t="s">
        <v>1321</v>
      </c>
    </row>
    <row r="106" spans="1:11" x14ac:dyDescent="0.35">
      <c r="A106" s="9" t="s">
        <v>1566</v>
      </c>
      <c r="B106" s="9" t="s">
        <v>178</v>
      </c>
      <c r="C106" s="9" t="s">
        <v>55</v>
      </c>
      <c r="D106" s="9" t="s">
        <v>63</v>
      </c>
      <c r="E106" s="9" t="s">
        <v>1137</v>
      </c>
      <c r="F106" s="9" t="s">
        <v>1138</v>
      </c>
      <c r="G106" s="10">
        <v>45860</v>
      </c>
      <c r="H106" s="10">
        <v>45895</v>
      </c>
      <c r="I106">
        <v>9.4</v>
      </c>
      <c r="J106">
        <v>11</v>
      </c>
      <c r="K106" s="9" t="s">
        <v>1321</v>
      </c>
    </row>
    <row r="107" spans="1:11" x14ac:dyDescent="0.35">
      <c r="A107" s="9" t="s">
        <v>1567</v>
      </c>
      <c r="B107" s="9" t="s">
        <v>180</v>
      </c>
      <c r="C107" s="9" t="s">
        <v>46</v>
      </c>
      <c r="D107" s="9" t="s">
        <v>56</v>
      </c>
      <c r="E107" s="9" t="s">
        <v>1196</v>
      </c>
      <c r="F107" s="9" t="s">
        <v>1197</v>
      </c>
      <c r="G107" s="10">
        <v>45804</v>
      </c>
      <c r="H107" s="10">
        <v>45845</v>
      </c>
      <c r="I107">
        <v>18.100000000000001</v>
      </c>
      <c r="J107">
        <v>22.3</v>
      </c>
      <c r="K107" s="9" t="s">
        <v>1321</v>
      </c>
    </row>
    <row r="108" spans="1:11" x14ac:dyDescent="0.35">
      <c r="A108" s="9" t="s">
        <v>1568</v>
      </c>
      <c r="B108" s="9" t="s">
        <v>180</v>
      </c>
      <c r="C108" s="9" t="s">
        <v>46</v>
      </c>
      <c r="D108" s="9" t="s">
        <v>56</v>
      </c>
      <c r="E108" s="9" t="s">
        <v>1167</v>
      </c>
      <c r="F108" s="9" t="s">
        <v>1168</v>
      </c>
      <c r="G108" s="10">
        <v>45941</v>
      </c>
      <c r="H108" s="10">
        <v>45992</v>
      </c>
      <c r="I108">
        <v>27.3</v>
      </c>
      <c r="J108">
        <v>37.299999999999997</v>
      </c>
      <c r="K108" s="9" t="s">
        <v>1321</v>
      </c>
    </row>
    <row r="109" spans="1:11" x14ac:dyDescent="0.35">
      <c r="A109" s="9" t="s">
        <v>1569</v>
      </c>
      <c r="B109" s="9" t="s">
        <v>180</v>
      </c>
      <c r="C109" s="9" t="s">
        <v>46</v>
      </c>
      <c r="D109" s="9" t="s">
        <v>56</v>
      </c>
      <c r="E109" s="9" t="s">
        <v>1143</v>
      </c>
      <c r="F109" s="9" t="s">
        <v>1144</v>
      </c>
      <c r="G109" s="10">
        <v>46005</v>
      </c>
      <c r="H109" s="10">
        <v>46029</v>
      </c>
      <c r="I109">
        <v>9.6999999999999993</v>
      </c>
      <c r="J109">
        <v>9.9</v>
      </c>
      <c r="K109" s="9" t="s">
        <v>1321</v>
      </c>
    </row>
    <row r="110" spans="1:11" x14ac:dyDescent="0.35">
      <c r="A110" s="9" t="s">
        <v>1570</v>
      </c>
      <c r="B110" s="9" t="s">
        <v>182</v>
      </c>
      <c r="C110" s="9" t="s">
        <v>46</v>
      </c>
      <c r="D110" s="9" t="s">
        <v>63</v>
      </c>
      <c r="E110" s="9" t="s">
        <v>1196</v>
      </c>
      <c r="F110" s="9" t="s">
        <v>1197</v>
      </c>
      <c r="G110" s="10">
        <v>45968</v>
      </c>
      <c r="H110" s="10">
        <v>46004</v>
      </c>
      <c r="I110">
        <v>12.7</v>
      </c>
      <c r="J110">
        <v>14.9</v>
      </c>
      <c r="K110" s="9" t="s">
        <v>1321</v>
      </c>
    </row>
    <row r="111" spans="1:11" x14ac:dyDescent="0.35">
      <c r="A111" s="9" t="s">
        <v>1571</v>
      </c>
      <c r="B111" s="9" t="s">
        <v>182</v>
      </c>
      <c r="C111" s="9" t="s">
        <v>46</v>
      </c>
      <c r="D111" s="9" t="s">
        <v>63</v>
      </c>
      <c r="E111" s="9" t="s">
        <v>1129</v>
      </c>
      <c r="F111" s="9" t="s">
        <v>1130</v>
      </c>
      <c r="G111" s="10">
        <v>46005</v>
      </c>
      <c r="H111" s="10">
        <v>46031</v>
      </c>
      <c r="I111">
        <v>19</v>
      </c>
      <c r="J111">
        <v>19.899999999999999</v>
      </c>
      <c r="K111" s="9" t="s">
        <v>1321</v>
      </c>
    </row>
    <row r="112" spans="1:11" x14ac:dyDescent="0.35">
      <c r="A112" s="9" t="s">
        <v>1572</v>
      </c>
      <c r="B112" s="9" t="s">
        <v>184</v>
      </c>
      <c r="C112" s="9" t="s">
        <v>62</v>
      </c>
      <c r="D112" s="9" t="s">
        <v>56</v>
      </c>
      <c r="E112" s="9" t="s">
        <v>1155</v>
      </c>
      <c r="F112" s="9" t="s">
        <v>1156</v>
      </c>
      <c r="G112" s="10">
        <v>45769</v>
      </c>
      <c r="H112" s="10">
        <v>45778</v>
      </c>
      <c r="I112">
        <v>8.9</v>
      </c>
      <c r="J112">
        <v>7.4</v>
      </c>
      <c r="K112" s="9" t="s">
        <v>1321</v>
      </c>
    </row>
    <row r="113" spans="1:11" x14ac:dyDescent="0.35">
      <c r="A113" s="9" t="s">
        <v>1573</v>
      </c>
      <c r="B113" s="9" t="s">
        <v>184</v>
      </c>
      <c r="C113" s="9" t="s">
        <v>62</v>
      </c>
      <c r="D113" s="9" t="s">
        <v>56</v>
      </c>
      <c r="E113" s="9" t="s">
        <v>1139</v>
      </c>
      <c r="F113" s="9" t="s">
        <v>1140</v>
      </c>
      <c r="G113" s="10">
        <v>46042</v>
      </c>
      <c r="H113" s="10"/>
      <c r="I113">
        <v>10.8</v>
      </c>
      <c r="K113" s="9" t="s">
        <v>1473</v>
      </c>
    </row>
    <row r="114" spans="1:11" x14ac:dyDescent="0.35">
      <c r="A114" s="9" t="s">
        <v>1574</v>
      </c>
      <c r="B114" s="9" t="s">
        <v>184</v>
      </c>
      <c r="C114" s="9" t="s">
        <v>62</v>
      </c>
      <c r="D114" s="9" t="s">
        <v>56</v>
      </c>
      <c r="E114" s="9" t="s">
        <v>1190</v>
      </c>
      <c r="F114" s="9" t="s">
        <v>1191</v>
      </c>
      <c r="G114" s="10">
        <v>46145</v>
      </c>
      <c r="H114" s="10"/>
      <c r="I114">
        <v>31.3</v>
      </c>
      <c r="K114" s="9" t="s">
        <v>1473</v>
      </c>
    </row>
    <row r="115" spans="1:11" x14ac:dyDescent="0.35">
      <c r="A115" s="9" t="s">
        <v>1575</v>
      </c>
      <c r="B115" s="9" t="s">
        <v>184</v>
      </c>
      <c r="C115" s="9" t="s">
        <v>62</v>
      </c>
      <c r="D115" s="9" t="s">
        <v>56</v>
      </c>
      <c r="E115" s="9" t="s">
        <v>1188</v>
      </c>
      <c r="F115" s="9" t="s">
        <v>1189</v>
      </c>
      <c r="G115" s="10">
        <v>45735</v>
      </c>
      <c r="H115" s="10">
        <v>45738</v>
      </c>
      <c r="I115">
        <v>31.4</v>
      </c>
      <c r="J115">
        <v>23.6</v>
      </c>
      <c r="K115" s="9" t="s">
        <v>1321</v>
      </c>
    </row>
    <row r="116" spans="1:11" x14ac:dyDescent="0.35">
      <c r="A116" s="9" t="s">
        <v>1576</v>
      </c>
      <c r="B116" s="9" t="s">
        <v>186</v>
      </c>
      <c r="C116" s="9" t="s">
        <v>55</v>
      </c>
      <c r="D116" s="9" t="s">
        <v>112</v>
      </c>
      <c r="E116" s="9" t="s">
        <v>1158</v>
      </c>
      <c r="F116" s="9" t="s">
        <v>1159</v>
      </c>
      <c r="G116" s="10">
        <v>45790</v>
      </c>
      <c r="H116" s="10">
        <v>45802</v>
      </c>
      <c r="I116">
        <v>23.4</v>
      </c>
      <c r="J116">
        <v>20.3</v>
      </c>
      <c r="K116" s="9" t="s">
        <v>1321</v>
      </c>
    </row>
    <row r="117" spans="1:11" x14ac:dyDescent="0.35">
      <c r="A117" s="9" t="s">
        <v>1577</v>
      </c>
      <c r="B117" s="9" t="s">
        <v>186</v>
      </c>
      <c r="C117" s="9" t="s">
        <v>55</v>
      </c>
      <c r="D117" s="9" t="s">
        <v>112</v>
      </c>
      <c r="E117" s="9" t="s">
        <v>1158</v>
      </c>
      <c r="F117" s="9" t="s">
        <v>1159</v>
      </c>
      <c r="G117" s="10">
        <v>45756</v>
      </c>
      <c r="H117" s="10">
        <v>45811</v>
      </c>
      <c r="I117">
        <v>31.1</v>
      </c>
      <c r="J117">
        <v>44</v>
      </c>
      <c r="K117" s="9" t="s">
        <v>1321</v>
      </c>
    </row>
    <row r="118" spans="1:11" x14ac:dyDescent="0.35">
      <c r="A118" s="9" t="s">
        <v>1578</v>
      </c>
      <c r="B118" s="9" t="s">
        <v>188</v>
      </c>
      <c r="C118" s="9" t="s">
        <v>62</v>
      </c>
      <c r="D118" s="9" t="s">
        <v>112</v>
      </c>
      <c r="E118" s="9" t="s">
        <v>1176</v>
      </c>
      <c r="F118" s="9" t="s">
        <v>1177</v>
      </c>
      <c r="G118" s="10">
        <v>45869</v>
      </c>
      <c r="H118" s="10">
        <v>45905</v>
      </c>
      <c r="I118">
        <v>20.399999999999999</v>
      </c>
      <c r="J118">
        <v>23.9</v>
      </c>
      <c r="K118" s="9" t="s">
        <v>1321</v>
      </c>
    </row>
    <row r="119" spans="1:11" x14ac:dyDescent="0.35">
      <c r="A119" s="9" t="s">
        <v>1579</v>
      </c>
      <c r="B119" s="9" t="s">
        <v>188</v>
      </c>
      <c r="C119" s="9" t="s">
        <v>62</v>
      </c>
      <c r="D119" s="9" t="s">
        <v>112</v>
      </c>
      <c r="E119" s="9" t="s">
        <v>1171</v>
      </c>
      <c r="F119" s="9" t="s">
        <v>1172</v>
      </c>
      <c r="G119" s="10">
        <v>46201</v>
      </c>
      <c r="H119" s="10"/>
      <c r="I119">
        <v>23</v>
      </c>
      <c r="K119" s="9" t="s">
        <v>1325</v>
      </c>
    </row>
    <row r="120" spans="1:11" x14ac:dyDescent="0.35">
      <c r="A120" s="9" t="s">
        <v>1580</v>
      </c>
      <c r="B120" s="9" t="s">
        <v>190</v>
      </c>
      <c r="C120" s="9" t="s">
        <v>46</v>
      </c>
      <c r="D120" s="9" t="s">
        <v>69</v>
      </c>
      <c r="E120" s="9" t="s">
        <v>1139</v>
      </c>
      <c r="F120" s="9" t="s">
        <v>1140</v>
      </c>
      <c r="G120" s="10">
        <v>45708</v>
      </c>
      <c r="H120" s="10">
        <v>45764</v>
      </c>
      <c r="I120">
        <v>28.8</v>
      </c>
      <c r="J120">
        <v>41.3</v>
      </c>
      <c r="K120" s="9" t="s">
        <v>1321</v>
      </c>
    </row>
    <row r="121" spans="1:11" x14ac:dyDescent="0.35">
      <c r="A121" s="9" t="s">
        <v>1581</v>
      </c>
      <c r="B121" s="9" t="s">
        <v>190</v>
      </c>
      <c r="C121" s="9" t="s">
        <v>46</v>
      </c>
      <c r="D121" s="9" t="s">
        <v>69</v>
      </c>
      <c r="E121" s="9" t="s">
        <v>1134</v>
      </c>
      <c r="F121" s="9" t="s">
        <v>1135</v>
      </c>
      <c r="G121" s="10">
        <v>45984</v>
      </c>
      <c r="H121" s="10">
        <v>46021</v>
      </c>
      <c r="I121">
        <v>8.5</v>
      </c>
      <c r="J121">
        <v>10.1</v>
      </c>
      <c r="K121" s="9" t="s">
        <v>1321</v>
      </c>
    </row>
    <row r="122" spans="1:11" x14ac:dyDescent="0.35">
      <c r="A122" s="9" t="s">
        <v>1582</v>
      </c>
      <c r="B122" s="9" t="s">
        <v>192</v>
      </c>
      <c r="C122" s="9" t="s">
        <v>46</v>
      </c>
      <c r="D122" s="9" t="s">
        <v>112</v>
      </c>
      <c r="E122" s="9" t="s">
        <v>1129</v>
      </c>
      <c r="F122" s="9" t="s">
        <v>1130</v>
      </c>
      <c r="G122" s="10">
        <v>45795</v>
      </c>
      <c r="H122" s="10">
        <v>45812</v>
      </c>
      <c r="I122">
        <v>34.700000000000003</v>
      </c>
      <c r="J122">
        <v>32.5</v>
      </c>
      <c r="K122" s="9" t="s">
        <v>1321</v>
      </c>
    </row>
    <row r="123" spans="1:11" x14ac:dyDescent="0.35">
      <c r="A123" s="9" t="s">
        <v>1583</v>
      </c>
      <c r="B123" s="9" t="s">
        <v>192</v>
      </c>
      <c r="C123" s="9" t="s">
        <v>46</v>
      </c>
      <c r="D123" s="9" t="s">
        <v>112</v>
      </c>
      <c r="E123" s="9" t="s">
        <v>1190</v>
      </c>
      <c r="F123" s="9" t="s">
        <v>1191</v>
      </c>
      <c r="G123" s="10">
        <v>46075</v>
      </c>
      <c r="H123" s="10">
        <v>46115</v>
      </c>
      <c r="I123">
        <v>3.7</v>
      </c>
      <c r="J123">
        <v>4.5</v>
      </c>
      <c r="K123" s="9" t="s">
        <v>1321</v>
      </c>
    </row>
    <row r="124" spans="1:11" x14ac:dyDescent="0.35">
      <c r="A124" s="9" t="s">
        <v>1584</v>
      </c>
      <c r="B124" s="9" t="s">
        <v>194</v>
      </c>
      <c r="C124" s="9" t="s">
        <v>62</v>
      </c>
      <c r="D124" s="9" t="s">
        <v>69</v>
      </c>
      <c r="E124" s="9" t="s">
        <v>1137</v>
      </c>
      <c r="F124" s="9" t="s">
        <v>1138</v>
      </c>
      <c r="G124" s="10">
        <v>46147</v>
      </c>
      <c r="H124" s="10">
        <v>46159</v>
      </c>
      <c r="I124">
        <v>27.9</v>
      </c>
      <c r="J124">
        <v>24.1</v>
      </c>
      <c r="K124" s="9" t="s">
        <v>1321</v>
      </c>
    </row>
    <row r="125" spans="1:11" x14ac:dyDescent="0.35">
      <c r="A125" s="9" t="s">
        <v>1585</v>
      </c>
      <c r="B125" s="9" t="s">
        <v>194</v>
      </c>
      <c r="C125" s="9" t="s">
        <v>62</v>
      </c>
      <c r="D125" s="9" t="s">
        <v>69</v>
      </c>
      <c r="E125" s="9" t="s">
        <v>1155</v>
      </c>
      <c r="F125" s="9" t="s">
        <v>1156</v>
      </c>
      <c r="G125" s="10">
        <v>46082</v>
      </c>
      <c r="H125" s="10">
        <v>46089</v>
      </c>
      <c r="I125">
        <v>13.4</v>
      </c>
      <c r="J125">
        <v>10.9</v>
      </c>
      <c r="K125" s="9" t="s">
        <v>1321</v>
      </c>
    </row>
    <row r="126" spans="1:11" x14ac:dyDescent="0.35">
      <c r="A126" s="9" t="s">
        <v>1586</v>
      </c>
      <c r="B126" s="9" t="s">
        <v>194</v>
      </c>
      <c r="C126" s="9" t="s">
        <v>62</v>
      </c>
      <c r="D126" s="9" t="s">
        <v>69</v>
      </c>
      <c r="E126" s="9" t="s">
        <v>1211</v>
      </c>
      <c r="F126" s="9" t="s">
        <v>1212</v>
      </c>
      <c r="G126" s="10">
        <v>45851</v>
      </c>
      <c r="H126" s="10">
        <v>45874</v>
      </c>
      <c r="I126">
        <v>18.899999999999999</v>
      </c>
      <c r="J126">
        <v>19.2</v>
      </c>
      <c r="K126" s="9" t="s">
        <v>1321</v>
      </c>
    </row>
    <row r="127" spans="1:11" x14ac:dyDescent="0.35">
      <c r="A127" s="9" t="s">
        <v>1587</v>
      </c>
      <c r="B127" s="9" t="s">
        <v>196</v>
      </c>
      <c r="C127" s="9" t="s">
        <v>46</v>
      </c>
      <c r="D127" s="9" t="s">
        <v>56</v>
      </c>
      <c r="E127" s="9" t="s">
        <v>1211</v>
      </c>
      <c r="F127" s="9" t="s">
        <v>1212</v>
      </c>
      <c r="G127" s="10">
        <v>45840</v>
      </c>
      <c r="H127" s="10">
        <v>45896</v>
      </c>
      <c r="I127">
        <v>14.8</v>
      </c>
      <c r="J127">
        <v>21.2</v>
      </c>
      <c r="K127" s="9" t="s">
        <v>1321</v>
      </c>
    </row>
    <row r="128" spans="1:11" x14ac:dyDescent="0.35">
      <c r="A128" s="9" t="s">
        <v>1588</v>
      </c>
      <c r="B128" s="9" t="s">
        <v>196</v>
      </c>
      <c r="C128" s="9" t="s">
        <v>46</v>
      </c>
      <c r="D128" s="9" t="s">
        <v>56</v>
      </c>
      <c r="E128" s="9" t="s">
        <v>1183</v>
      </c>
      <c r="F128" s="9" t="s">
        <v>1184</v>
      </c>
      <c r="G128" s="10">
        <v>46124</v>
      </c>
      <c r="H128" s="10">
        <v>46179</v>
      </c>
      <c r="I128">
        <v>27.9</v>
      </c>
      <c r="J128">
        <v>39.799999999999997</v>
      </c>
      <c r="K128" s="9" t="s">
        <v>1321</v>
      </c>
    </row>
    <row r="129" spans="1:11" x14ac:dyDescent="0.35">
      <c r="A129" s="9" t="s">
        <v>1589</v>
      </c>
      <c r="B129" s="9" t="s">
        <v>198</v>
      </c>
      <c r="C129" s="9" t="s">
        <v>46</v>
      </c>
      <c r="D129" s="9" t="s">
        <v>80</v>
      </c>
      <c r="E129" s="9" t="s">
        <v>1152</v>
      </c>
      <c r="F129" s="9" t="s">
        <v>1153</v>
      </c>
      <c r="G129" s="10">
        <v>46080</v>
      </c>
      <c r="H129" s="10">
        <v>46091</v>
      </c>
      <c r="I129">
        <v>15.4</v>
      </c>
      <c r="J129">
        <v>13.3</v>
      </c>
      <c r="K129" s="9" t="s">
        <v>1321</v>
      </c>
    </row>
    <row r="130" spans="1:11" x14ac:dyDescent="0.35">
      <c r="A130" s="9" t="s">
        <v>1590</v>
      </c>
      <c r="B130" s="9" t="s">
        <v>198</v>
      </c>
      <c r="C130" s="9" t="s">
        <v>46</v>
      </c>
      <c r="D130" s="9" t="s">
        <v>80</v>
      </c>
      <c r="E130" s="9" t="s">
        <v>1211</v>
      </c>
      <c r="F130" s="9" t="s">
        <v>1212</v>
      </c>
      <c r="G130" s="10">
        <v>45865</v>
      </c>
      <c r="H130" s="10">
        <v>45879</v>
      </c>
      <c r="I130">
        <v>12.4</v>
      </c>
      <c r="J130">
        <v>11</v>
      </c>
      <c r="K130" s="9" t="s">
        <v>1321</v>
      </c>
    </row>
    <row r="131" spans="1:11" x14ac:dyDescent="0.35">
      <c r="A131" s="9" t="s">
        <v>1591</v>
      </c>
      <c r="B131" s="9" t="s">
        <v>198</v>
      </c>
      <c r="C131" s="9" t="s">
        <v>46</v>
      </c>
      <c r="D131" s="9" t="s">
        <v>80</v>
      </c>
      <c r="E131" s="9" t="s">
        <v>1183</v>
      </c>
      <c r="F131" s="9" t="s">
        <v>1184</v>
      </c>
      <c r="G131" s="10">
        <v>45682</v>
      </c>
      <c r="H131" s="10">
        <v>45739</v>
      </c>
      <c r="I131">
        <v>35.799999999999997</v>
      </c>
      <c r="J131">
        <v>51.4</v>
      </c>
      <c r="K131" s="9" t="s">
        <v>1321</v>
      </c>
    </row>
    <row r="132" spans="1:11" x14ac:dyDescent="0.35">
      <c r="A132" s="9" t="s">
        <v>1592</v>
      </c>
      <c r="B132" s="9" t="s">
        <v>200</v>
      </c>
      <c r="C132" s="9" t="s">
        <v>62</v>
      </c>
      <c r="D132" s="9" t="s">
        <v>112</v>
      </c>
      <c r="E132" s="9" t="s">
        <v>1176</v>
      </c>
      <c r="F132" s="9" t="s">
        <v>1177</v>
      </c>
      <c r="G132" s="10">
        <v>45954</v>
      </c>
      <c r="H132" s="10"/>
      <c r="I132">
        <v>8.9</v>
      </c>
      <c r="K132" s="9" t="s">
        <v>1473</v>
      </c>
    </row>
    <row r="133" spans="1:11" x14ac:dyDescent="0.35">
      <c r="A133" s="9" t="s">
        <v>1593</v>
      </c>
      <c r="B133" s="9" t="s">
        <v>200</v>
      </c>
      <c r="C133" s="9" t="s">
        <v>62</v>
      </c>
      <c r="D133" s="9" t="s">
        <v>112</v>
      </c>
      <c r="E133" s="9" t="s">
        <v>1134</v>
      </c>
      <c r="F133" s="9" t="s">
        <v>1135</v>
      </c>
      <c r="G133" s="10">
        <v>46020</v>
      </c>
      <c r="H133" s="10"/>
      <c r="I133">
        <v>13.1</v>
      </c>
      <c r="K133" s="9" t="s">
        <v>1325</v>
      </c>
    </row>
    <row r="134" spans="1:11" x14ac:dyDescent="0.35">
      <c r="A134" s="9" t="s">
        <v>1594</v>
      </c>
      <c r="B134" s="9" t="s">
        <v>200</v>
      </c>
      <c r="C134" s="9" t="s">
        <v>62</v>
      </c>
      <c r="D134" s="9" t="s">
        <v>112</v>
      </c>
      <c r="E134" s="9" t="s">
        <v>1171</v>
      </c>
      <c r="F134" s="9" t="s">
        <v>1172</v>
      </c>
      <c r="G134" s="10">
        <v>45926</v>
      </c>
      <c r="H134" s="10">
        <v>45938</v>
      </c>
      <c r="I134">
        <v>2.1</v>
      </c>
      <c r="J134">
        <v>1.8</v>
      </c>
      <c r="K134" s="9" t="s">
        <v>1321</v>
      </c>
    </row>
    <row r="135" spans="1:11" x14ac:dyDescent="0.35">
      <c r="A135" s="9" t="s">
        <v>1595</v>
      </c>
      <c r="B135" s="9" t="s">
        <v>202</v>
      </c>
      <c r="C135" s="9" t="s">
        <v>62</v>
      </c>
      <c r="D135" s="9" t="s">
        <v>93</v>
      </c>
      <c r="E135" s="9" t="s">
        <v>1155</v>
      </c>
      <c r="F135" s="9" t="s">
        <v>1156</v>
      </c>
      <c r="G135" s="10">
        <v>46045</v>
      </c>
      <c r="H135" s="10">
        <v>46092</v>
      </c>
      <c r="I135">
        <v>31.2</v>
      </c>
      <c r="J135">
        <v>41.3</v>
      </c>
      <c r="K135" s="9" t="s">
        <v>1321</v>
      </c>
    </row>
    <row r="136" spans="1:11" x14ac:dyDescent="0.35">
      <c r="A136" s="9" t="s">
        <v>1596</v>
      </c>
      <c r="B136" s="9" t="s">
        <v>202</v>
      </c>
      <c r="C136" s="9" t="s">
        <v>62</v>
      </c>
      <c r="D136" s="9" t="s">
        <v>93</v>
      </c>
      <c r="E136" s="9" t="s">
        <v>1193</v>
      </c>
      <c r="F136" s="9" t="s">
        <v>1194</v>
      </c>
      <c r="G136" s="10">
        <v>46164</v>
      </c>
      <c r="H136" s="10">
        <v>46173</v>
      </c>
      <c r="I136">
        <v>13.9</v>
      </c>
      <c r="J136">
        <v>11.5</v>
      </c>
      <c r="K136" s="9" t="s">
        <v>1321</v>
      </c>
    </row>
    <row r="137" spans="1:11" x14ac:dyDescent="0.35">
      <c r="A137" s="9" t="s">
        <v>1597</v>
      </c>
      <c r="B137" s="9" t="s">
        <v>202</v>
      </c>
      <c r="C137" s="9" t="s">
        <v>62</v>
      </c>
      <c r="D137" s="9" t="s">
        <v>93</v>
      </c>
      <c r="E137" s="9" t="s">
        <v>1155</v>
      </c>
      <c r="F137" s="9" t="s">
        <v>1156</v>
      </c>
      <c r="G137" s="10">
        <v>46185</v>
      </c>
      <c r="H137" s="10">
        <v>46191</v>
      </c>
      <c r="I137">
        <v>2.5</v>
      </c>
      <c r="J137">
        <v>2</v>
      </c>
      <c r="K137" s="9" t="s">
        <v>1321</v>
      </c>
    </row>
    <row r="138" spans="1:11" x14ac:dyDescent="0.35">
      <c r="A138" s="9" t="s">
        <v>1598</v>
      </c>
      <c r="B138" s="9" t="s">
        <v>204</v>
      </c>
      <c r="C138" s="9" t="s">
        <v>62</v>
      </c>
      <c r="D138" s="9" t="s">
        <v>69</v>
      </c>
      <c r="E138" s="9" t="s">
        <v>1190</v>
      </c>
      <c r="F138" s="9" t="s">
        <v>1191</v>
      </c>
      <c r="G138" s="10">
        <v>45830</v>
      </c>
      <c r="H138" s="10">
        <v>45875</v>
      </c>
      <c r="I138">
        <v>9</v>
      </c>
      <c r="J138">
        <v>11.7</v>
      </c>
      <c r="K138" s="9" t="s">
        <v>1321</v>
      </c>
    </row>
    <row r="139" spans="1:11" x14ac:dyDescent="0.35">
      <c r="A139" s="9" t="s">
        <v>1599</v>
      </c>
      <c r="B139" s="9" t="s">
        <v>204</v>
      </c>
      <c r="C139" s="9" t="s">
        <v>62</v>
      </c>
      <c r="D139" s="9" t="s">
        <v>69</v>
      </c>
      <c r="E139" s="9" t="s">
        <v>1193</v>
      </c>
      <c r="F139" s="9" t="s">
        <v>1194</v>
      </c>
      <c r="G139" s="10">
        <v>45844</v>
      </c>
      <c r="H139" s="10">
        <v>45860</v>
      </c>
      <c r="I139">
        <v>2.7</v>
      </c>
      <c r="J139">
        <v>2.5</v>
      </c>
      <c r="K139" s="9" t="s">
        <v>1321</v>
      </c>
    </row>
    <row r="140" spans="1:11" x14ac:dyDescent="0.35">
      <c r="A140" s="9" t="s">
        <v>1600</v>
      </c>
      <c r="B140" s="9" t="s">
        <v>204</v>
      </c>
      <c r="C140" s="9" t="s">
        <v>62</v>
      </c>
      <c r="D140" s="9" t="s">
        <v>69</v>
      </c>
      <c r="E140" s="9" t="s">
        <v>1152</v>
      </c>
      <c r="F140" s="9" t="s">
        <v>1153</v>
      </c>
      <c r="G140" s="10">
        <v>45873</v>
      </c>
      <c r="H140" s="10">
        <v>45901</v>
      </c>
      <c r="I140">
        <v>10.5</v>
      </c>
      <c r="J140">
        <v>11.3</v>
      </c>
      <c r="K140" s="9" t="s">
        <v>1321</v>
      </c>
    </row>
    <row r="141" spans="1:11" x14ac:dyDescent="0.35">
      <c r="A141" s="9" t="s">
        <v>1601</v>
      </c>
      <c r="B141" s="9" t="s">
        <v>206</v>
      </c>
      <c r="C141" s="9" t="s">
        <v>46</v>
      </c>
      <c r="D141" s="9" t="s">
        <v>80</v>
      </c>
      <c r="E141" s="9" t="s">
        <v>1180</v>
      </c>
      <c r="F141" s="9" t="s">
        <v>1181</v>
      </c>
      <c r="G141" s="10">
        <v>46165</v>
      </c>
      <c r="H141" s="10">
        <v>46178</v>
      </c>
      <c r="I141">
        <v>33.9</v>
      </c>
      <c r="J141">
        <v>29.8</v>
      </c>
      <c r="K141" s="9" t="s">
        <v>1321</v>
      </c>
    </row>
    <row r="142" spans="1:11" x14ac:dyDescent="0.35">
      <c r="A142" s="9" t="s">
        <v>1602</v>
      </c>
      <c r="B142" s="9" t="s">
        <v>208</v>
      </c>
      <c r="C142" s="9" t="s">
        <v>46</v>
      </c>
      <c r="D142" s="9" t="s">
        <v>56</v>
      </c>
      <c r="E142" s="9" t="s">
        <v>1137</v>
      </c>
      <c r="F142" s="9" t="s">
        <v>1138</v>
      </c>
      <c r="G142" s="10">
        <v>45743</v>
      </c>
      <c r="H142" s="10">
        <v>45757</v>
      </c>
      <c r="I142">
        <v>9.1</v>
      </c>
      <c r="J142">
        <v>8.1999999999999993</v>
      </c>
      <c r="K142" s="9" t="s">
        <v>1321</v>
      </c>
    </row>
    <row r="143" spans="1:11" x14ac:dyDescent="0.35">
      <c r="A143" s="9" t="s">
        <v>1603</v>
      </c>
      <c r="B143" s="9" t="s">
        <v>208</v>
      </c>
      <c r="C143" s="9" t="s">
        <v>46</v>
      </c>
      <c r="D143" s="9" t="s">
        <v>56</v>
      </c>
      <c r="E143" s="9" t="s">
        <v>1129</v>
      </c>
      <c r="F143" s="9" t="s">
        <v>1130</v>
      </c>
      <c r="G143" s="10">
        <v>45672</v>
      </c>
      <c r="H143" s="10">
        <v>45724</v>
      </c>
      <c r="I143">
        <v>17.2</v>
      </c>
      <c r="J143">
        <v>23.7</v>
      </c>
      <c r="K143" s="9" t="s">
        <v>1321</v>
      </c>
    </row>
    <row r="144" spans="1:11" x14ac:dyDescent="0.35">
      <c r="A144" s="9" t="s">
        <v>1604</v>
      </c>
      <c r="B144" s="9" t="s">
        <v>210</v>
      </c>
      <c r="C144" s="9" t="s">
        <v>46</v>
      </c>
      <c r="D144" s="9" t="s">
        <v>112</v>
      </c>
      <c r="E144" s="9" t="s">
        <v>1188</v>
      </c>
      <c r="F144" s="9" t="s">
        <v>1189</v>
      </c>
      <c r="G144" s="10">
        <v>45689</v>
      </c>
      <c r="H144" s="10"/>
      <c r="I144">
        <v>15.9</v>
      </c>
      <c r="K144" s="9" t="s">
        <v>1325</v>
      </c>
    </row>
    <row r="145" spans="1:11" x14ac:dyDescent="0.35">
      <c r="A145" s="9" t="s">
        <v>1605</v>
      </c>
      <c r="B145" s="9" t="s">
        <v>210</v>
      </c>
      <c r="C145" s="9" t="s">
        <v>46</v>
      </c>
      <c r="D145" s="9" t="s">
        <v>112</v>
      </c>
      <c r="E145" s="9" t="s">
        <v>1155</v>
      </c>
      <c r="F145" s="9" t="s">
        <v>1156</v>
      </c>
      <c r="G145" s="10">
        <v>45820</v>
      </c>
      <c r="H145" s="10">
        <v>45814</v>
      </c>
      <c r="I145">
        <v>19.3</v>
      </c>
      <c r="J145">
        <v>18.2</v>
      </c>
      <c r="K145" s="9" t="s">
        <v>1321</v>
      </c>
    </row>
    <row r="146" spans="1:11" x14ac:dyDescent="0.35">
      <c r="A146" s="9" t="s">
        <v>1606</v>
      </c>
      <c r="B146" s="9" t="s">
        <v>212</v>
      </c>
      <c r="C146" s="9" t="s">
        <v>55</v>
      </c>
      <c r="D146" s="9" t="s">
        <v>47</v>
      </c>
      <c r="E146" s="9" t="s">
        <v>1211</v>
      </c>
      <c r="F146" s="9" t="s">
        <v>1212</v>
      </c>
      <c r="G146" s="10">
        <v>45991</v>
      </c>
      <c r="H146" s="10">
        <v>46043</v>
      </c>
      <c r="I146">
        <v>24.5</v>
      </c>
      <c r="J146">
        <v>33.700000000000003</v>
      </c>
      <c r="K146" s="9" t="s">
        <v>1321</v>
      </c>
    </row>
    <row r="147" spans="1:11" x14ac:dyDescent="0.35">
      <c r="A147" s="9" t="s">
        <v>1607</v>
      </c>
      <c r="B147" s="9" t="s">
        <v>212</v>
      </c>
      <c r="C147" s="9" t="s">
        <v>55</v>
      </c>
      <c r="D147" s="9" t="s">
        <v>47</v>
      </c>
      <c r="E147" s="9" t="s">
        <v>1134</v>
      </c>
      <c r="F147" s="9" t="s">
        <v>1135</v>
      </c>
      <c r="G147" s="10">
        <v>45762</v>
      </c>
      <c r="H147" s="10">
        <v>45781</v>
      </c>
      <c r="I147">
        <v>35.700000000000003</v>
      </c>
      <c r="J147">
        <v>34.4</v>
      </c>
      <c r="K147" s="9" t="s">
        <v>1321</v>
      </c>
    </row>
    <row r="148" spans="1:11" x14ac:dyDescent="0.35">
      <c r="A148" s="9" t="s">
        <v>1608</v>
      </c>
      <c r="B148" s="9" t="s">
        <v>214</v>
      </c>
      <c r="C148" s="9" t="s">
        <v>46</v>
      </c>
      <c r="D148" s="9" t="s">
        <v>47</v>
      </c>
      <c r="E148" s="9" t="s">
        <v>1167</v>
      </c>
      <c r="F148" s="9" t="s">
        <v>1168</v>
      </c>
      <c r="G148" s="10">
        <v>46174</v>
      </c>
      <c r="H148" s="10">
        <v>46220</v>
      </c>
      <c r="I148">
        <v>23.9</v>
      </c>
      <c r="J148">
        <v>31.2</v>
      </c>
      <c r="K148" s="9" t="s">
        <v>1321</v>
      </c>
    </row>
    <row r="149" spans="1:11" x14ac:dyDescent="0.35">
      <c r="A149" s="9" t="s">
        <v>1609</v>
      </c>
      <c r="B149" s="9" t="s">
        <v>216</v>
      </c>
      <c r="C149" s="9" t="s">
        <v>46</v>
      </c>
      <c r="D149" s="9" t="s">
        <v>56</v>
      </c>
      <c r="E149" s="9" t="s">
        <v>1155</v>
      </c>
      <c r="F149" s="9" t="s">
        <v>1156</v>
      </c>
      <c r="G149" s="10">
        <v>45833</v>
      </c>
      <c r="H149" s="10">
        <v>45881</v>
      </c>
      <c r="I149">
        <v>8</v>
      </c>
      <c r="J149">
        <v>10.7</v>
      </c>
      <c r="K149" s="9" t="s">
        <v>1321</v>
      </c>
    </row>
    <row r="150" spans="1:11" x14ac:dyDescent="0.35">
      <c r="A150" s="9" t="s">
        <v>1610</v>
      </c>
      <c r="B150" s="9" t="s">
        <v>216</v>
      </c>
      <c r="C150" s="9" t="s">
        <v>46</v>
      </c>
      <c r="D150" s="9" t="s">
        <v>56</v>
      </c>
      <c r="E150" s="9" t="s">
        <v>1152</v>
      </c>
      <c r="F150" s="9" t="s">
        <v>1153</v>
      </c>
      <c r="G150" s="10">
        <v>45999</v>
      </c>
      <c r="H150" s="10">
        <v>46008</v>
      </c>
      <c r="I150">
        <v>18.899999999999999</v>
      </c>
      <c r="J150">
        <v>15.9</v>
      </c>
      <c r="K150" s="9" t="s">
        <v>1321</v>
      </c>
    </row>
    <row r="151" spans="1:11" x14ac:dyDescent="0.35">
      <c r="A151" s="9" t="s">
        <v>1611</v>
      </c>
      <c r="B151" s="9" t="s">
        <v>218</v>
      </c>
      <c r="C151" s="9" t="s">
        <v>55</v>
      </c>
      <c r="D151" s="9" t="s">
        <v>47</v>
      </c>
      <c r="E151" s="9" t="s">
        <v>1211</v>
      </c>
      <c r="F151" s="9" t="s">
        <v>1212</v>
      </c>
      <c r="G151" s="10">
        <v>45771</v>
      </c>
      <c r="H151" s="10">
        <v>45827</v>
      </c>
      <c r="I151">
        <v>15.9</v>
      </c>
      <c r="J151">
        <v>22.7</v>
      </c>
      <c r="K151" s="9" t="s">
        <v>1321</v>
      </c>
    </row>
    <row r="152" spans="1:11" x14ac:dyDescent="0.35">
      <c r="A152" s="9" t="s">
        <v>1612</v>
      </c>
      <c r="B152" s="9" t="s">
        <v>218</v>
      </c>
      <c r="C152" s="9" t="s">
        <v>55</v>
      </c>
      <c r="D152" s="9" t="s">
        <v>47</v>
      </c>
      <c r="E152" s="9" t="s">
        <v>1155</v>
      </c>
      <c r="F152" s="9" t="s">
        <v>1156</v>
      </c>
      <c r="G152" s="10">
        <v>45785</v>
      </c>
      <c r="H152" s="10">
        <v>45797</v>
      </c>
      <c r="I152">
        <v>19</v>
      </c>
      <c r="J152">
        <v>16.600000000000001</v>
      </c>
      <c r="K152" s="9" t="s">
        <v>1321</v>
      </c>
    </row>
    <row r="153" spans="1:11" x14ac:dyDescent="0.35">
      <c r="A153" s="9" t="s">
        <v>1613</v>
      </c>
      <c r="B153" s="9" t="s">
        <v>220</v>
      </c>
      <c r="C153" s="9" t="s">
        <v>46</v>
      </c>
      <c r="D153" s="9" t="s">
        <v>76</v>
      </c>
      <c r="E153" s="9" t="s">
        <v>1155</v>
      </c>
      <c r="F153" s="9" t="s">
        <v>1156</v>
      </c>
      <c r="G153" s="10">
        <v>45979</v>
      </c>
      <c r="H153" s="10">
        <v>46023</v>
      </c>
      <c r="I153">
        <v>6</v>
      </c>
      <c r="J153">
        <v>7.7</v>
      </c>
      <c r="K153" s="9" t="s">
        <v>1321</v>
      </c>
    </row>
    <row r="154" spans="1:11" x14ac:dyDescent="0.35">
      <c r="A154" s="9" t="s">
        <v>1614</v>
      </c>
      <c r="B154" s="9" t="s">
        <v>220</v>
      </c>
      <c r="C154" s="9" t="s">
        <v>46</v>
      </c>
      <c r="D154" s="9" t="s">
        <v>76</v>
      </c>
      <c r="E154" s="9" t="s">
        <v>1183</v>
      </c>
      <c r="F154" s="9" t="s">
        <v>1184</v>
      </c>
      <c r="G154" s="10">
        <v>45938</v>
      </c>
      <c r="H154" s="10">
        <v>45951</v>
      </c>
      <c r="I154">
        <v>4.3</v>
      </c>
      <c r="J154">
        <v>3.8</v>
      </c>
      <c r="K154" s="9" t="s">
        <v>1321</v>
      </c>
    </row>
    <row r="155" spans="1:11" x14ac:dyDescent="0.35">
      <c r="A155" s="9" t="s">
        <v>1615</v>
      </c>
      <c r="B155" s="9" t="s">
        <v>222</v>
      </c>
      <c r="C155" s="9" t="s">
        <v>46</v>
      </c>
      <c r="D155" s="9" t="s">
        <v>69</v>
      </c>
      <c r="E155" s="9" t="s">
        <v>1145</v>
      </c>
      <c r="F155" s="9" t="s">
        <v>1146</v>
      </c>
      <c r="G155" s="10">
        <v>45851</v>
      </c>
      <c r="H155" s="10">
        <v>45876</v>
      </c>
      <c r="I155">
        <v>6.1</v>
      </c>
      <c r="J155">
        <v>6.3</v>
      </c>
      <c r="K155" s="9" t="s">
        <v>1321</v>
      </c>
    </row>
    <row r="156" spans="1:11" x14ac:dyDescent="0.35">
      <c r="A156" s="9" t="s">
        <v>1616</v>
      </c>
      <c r="B156" s="9" t="s">
        <v>222</v>
      </c>
      <c r="C156" s="9" t="s">
        <v>46</v>
      </c>
      <c r="D156" s="9" t="s">
        <v>69</v>
      </c>
      <c r="E156" s="9" t="s">
        <v>1134</v>
      </c>
      <c r="F156" s="9" t="s">
        <v>1135</v>
      </c>
      <c r="G156" s="10">
        <v>45805</v>
      </c>
      <c r="H156" s="10">
        <v>45813</v>
      </c>
      <c r="I156">
        <v>10.6</v>
      </c>
      <c r="J156">
        <v>8.6999999999999993</v>
      </c>
      <c r="K156" s="9" t="s">
        <v>1321</v>
      </c>
    </row>
    <row r="157" spans="1:11" x14ac:dyDescent="0.35">
      <c r="A157" s="9" t="s">
        <v>1617</v>
      </c>
      <c r="B157" s="9" t="s">
        <v>224</v>
      </c>
      <c r="C157" s="9" t="s">
        <v>62</v>
      </c>
      <c r="D157" s="9" t="s">
        <v>80</v>
      </c>
      <c r="E157" s="9" t="s">
        <v>1129</v>
      </c>
      <c r="F157" s="9" t="s">
        <v>1130</v>
      </c>
      <c r="G157" s="10">
        <v>46145</v>
      </c>
      <c r="H157" s="10">
        <v>46178</v>
      </c>
      <c r="I157">
        <v>16.5</v>
      </c>
      <c r="J157">
        <v>18.7</v>
      </c>
      <c r="K157" s="9" t="s">
        <v>1321</v>
      </c>
    </row>
    <row r="158" spans="1:11" x14ac:dyDescent="0.35">
      <c r="A158" s="9" t="s">
        <v>1618</v>
      </c>
      <c r="B158" s="9" t="s">
        <v>224</v>
      </c>
      <c r="C158" s="9" t="s">
        <v>62</v>
      </c>
      <c r="D158" s="9" t="s">
        <v>80</v>
      </c>
      <c r="E158" s="9" t="s">
        <v>1137</v>
      </c>
      <c r="F158" s="9" t="s">
        <v>1138</v>
      </c>
      <c r="G158" s="10">
        <v>46194</v>
      </c>
      <c r="H158" s="10">
        <v>46217</v>
      </c>
      <c r="I158">
        <v>14.4</v>
      </c>
      <c r="J158">
        <v>14.6</v>
      </c>
      <c r="K158" s="9" t="s">
        <v>1321</v>
      </c>
    </row>
    <row r="159" spans="1:11" x14ac:dyDescent="0.35">
      <c r="A159" s="9" t="s">
        <v>1619</v>
      </c>
      <c r="B159" s="9" t="s">
        <v>226</v>
      </c>
      <c r="C159" s="9" t="s">
        <v>55</v>
      </c>
      <c r="D159" s="9" t="s">
        <v>56</v>
      </c>
      <c r="E159" s="9" t="s">
        <v>1193</v>
      </c>
      <c r="F159" s="9" t="s">
        <v>1194</v>
      </c>
      <c r="G159" s="10">
        <v>46176</v>
      </c>
      <c r="H159" s="10">
        <v>46233</v>
      </c>
      <c r="I159">
        <v>22.6</v>
      </c>
      <c r="J159">
        <v>32.5</v>
      </c>
      <c r="K159" s="9" t="s">
        <v>1321</v>
      </c>
    </row>
    <row r="160" spans="1:11" x14ac:dyDescent="0.35">
      <c r="A160" s="9" t="s">
        <v>1620</v>
      </c>
      <c r="B160" s="9" t="s">
        <v>226</v>
      </c>
      <c r="C160" s="9" t="s">
        <v>55</v>
      </c>
      <c r="D160" s="9" t="s">
        <v>56</v>
      </c>
      <c r="E160" s="9" t="s">
        <v>1193</v>
      </c>
      <c r="F160" s="9" t="s">
        <v>1194</v>
      </c>
      <c r="G160" s="10">
        <v>45797</v>
      </c>
      <c r="H160" s="10">
        <v>45815</v>
      </c>
      <c r="I160">
        <v>14.4</v>
      </c>
      <c r="J160">
        <v>13.7</v>
      </c>
      <c r="K160" s="9" t="s">
        <v>1321</v>
      </c>
    </row>
    <row r="161" spans="1:11" x14ac:dyDescent="0.35">
      <c r="A161" s="9" t="s">
        <v>1621</v>
      </c>
      <c r="B161" s="9" t="s">
        <v>226</v>
      </c>
      <c r="C161" s="9" t="s">
        <v>55</v>
      </c>
      <c r="D161" s="9" t="s">
        <v>56</v>
      </c>
      <c r="E161" s="9" t="s">
        <v>1143</v>
      </c>
      <c r="F161" s="9" t="s">
        <v>1144</v>
      </c>
      <c r="G161" s="10">
        <v>45839</v>
      </c>
      <c r="H161" s="10">
        <v>45888</v>
      </c>
      <c r="I161">
        <v>35.200000000000003</v>
      </c>
      <c r="J161">
        <v>47.4</v>
      </c>
      <c r="K161" s="9" t="s">
        <v>1321</v>
      </c>
    </row>
    <row r="162" spans="1:11" x14ac:dyDescent="0.35">
      <c r="A162" s="9" t="s">
        <v>1622</v>
      </c>
      <c r="B162" s="9" t="s">
        <v>228</v>
      </c>
      <c r="C162" s="9" t="s">
        <v>55</v>
      </c>
      <c r="D162" s="9" t="s">
        <v>69</v>
      </c>
      <c r="E162" s="9" t="s">
        <v>1190</v>
      </c>
      <c r="F162" s="9" t="s">
        <v>1191</v>
      </c>
      <c r="G162" s="10">
        <v>45868</v>
      </c>
      <c r="H162" s="10">
        <v>45904</v>
      </c>
      <c r="I162">
        <v>21.9</v>
      </c>
      <c r="J162">
        <v>25.7</v>
      </c>
      <c r="K162" s="9" t="s">
        <v>1321</v>
      </c>
    </row>
    <row r="163" spans="1:11" x14ac:dyDescent="0.35">
      <c r="A163" s="9" t="s">
        <v>1623</v>
      </c>
      <c r="B163" s="9" t="s">
        <v>228</v>
      </c>
      <c r="C163" s="9" t="s">
        <v>55</v>
      </c>
      <c r="D163" s="9" t="s">
        <v>69</v>
      </c>
      <c r="E163" s="9" t="s">
        <v>1155</v>
      </c>
      <c r="F163" s="9" t="s">
        <v>1156</v>
      </c>
      <c r="G163" s="10">
        <v>46088</v>
      </c>
      <c r="H163" s="10">
        <v>46102</v>
      </c>
      <c r="I163">
        <v>13.5</v>
      </c>
      <c r="J163">
        <v>12.1</v>
      </c>
      <c r="K163" s="9" t="s">
        <v>1321</v>
      </c>
    </row>
    <row r="164" spans="1:11" x14ac:dyDescent="0.35">
      <c r="A164" s="9" t="s">
        <v>1624</v>
      </c>
      <c r="B164" s="9" t="s">
        <v>228</v>
      </c>
      <c r="C164" s="9" t="s">
        <v>55</v>
      </c>
      <c r="D164" s="9" t="s">
        <v>69</v>
      </c>
      <c r="E164" s="9" t="s">
        <v>1162</v>
      </c>
      <c r="F164" s="9" t="s">
        <v>1163</v>
      </c>
      <c r="G164" s="10">
        <v>46069</v>
      </c>
      <c r="H164" s="10">
        <v>46093</v>
      </c>
      <c r="I164">
        <v>2.8</v>
      </c>
      <c r="J164">
        <v>2.9</v>
      </c>
      <c r="K164" s="9" t="s">
        <v>1321</v>
      </c>
    </row>
    <row r="165" spans="1:11" x14ac:dyDescent="0.35">
      <c r="A165" s="9" t="s">
        <v>1625</v>
      </c>
      <c r="B165" s="9" t="s">
        <v>228</v>
      </c>
      <c r="C165" s="9" t="s">
        <v>55</v>
      </c>
      <c r="D165" s="9" t="s">
        <v>69</v>
      </c>
      <c r="E165" s="9" t="s">
        <v>1196</v>
      </c>
      <c r="F165" s="9" t="s">
        <v>1197</v>
      </c>
      <c r="G165" s="10">
        <v>46011</v>
      </c>
      <c r="H165" s="10">
        <v>46014</v>
      </c>
      <c r="I165">
        <v>16.8</v>
      </c>
      <c r="J165">
        <v>12.7</v>
      </c>
      <c r="K165" s="9" t="s">
        <v>1321</v>
      </c>
    </row>
    <row r="166" spans="1:11" x14ac:dyDescent="0.35">
      <c r="A166" s="9" t="s">
        <v>1626</v>
      </c>
      <c r="B166" s="9" t="s">
        <v>230</v>
      </c>
      <c r="C166" s="9" t="s">
        <v>62</v>
      </c>
      <c r="D166" s="9" t="s">
        <v>93</v>
      </c>
      <c r="E166" s="9" t="s">
        <v>1137</v>
      </c>
      <c r="F166" s="9" t="s">
        <v>1138</v>
      </c>
      <c r="G166" s="10">
        <v>45871</v>
      </c>
      <c r="H166" s="10">
        <v>45926</v>
      </c>
      <c r="I166">
        <v>17.399999999999999</v>
      </c>
      <c r="J166">
        <v>24.7</v>
      </c>
      <c r="K166" s="9" t="s">
        <v>1321</v>
      </c>
    </row>
    <row r="167" spans="1:11" x14ac:dyDescent="0.35">
      <c r="A167" s="9" t="s">
        <v>1627</v>
      </c>
      <c r="B167" s="9" t="s">
        <v>232</v>
      </c>
      <c r="C167" s="9" t="s">
        <v>46</v>
      </c>
      <c r="D167" s="9" t="s">
        <v>112</v>
      </c>
      <c r="E167" s="9" t="s">
        <v>1155</v>
      </c>
      <c r="F167" s="9" t="s">
        <v>1156</v>
      </c>
      <c r="G167" s="10">
        <v>45990</v>
      </c>
      <c r="H167" s="10"/>
      <c r="I167">
        <v>15.2</v>
      </c>
      <c r="K167" s="9" t="s">
        <v>1325</v>
      </c>
    </row>
    <row r="168" spans="1:11" x14ac:dyDescent="0.35">
      <c r="A168" s="9" t="s">
        <v>1628</v>
      </c>
      <c r="B168" s="9" t="s">
        <v>234</v>
      </c>
      <c r="C168" s="9" t="s">
        <v>46</v>
      </c>
      <c r="D168" s="9" t="s">
        <v>69</v>
      </c>
      <c r="E168" s="9" t="s">
        <v>1137</v>
      </c>
      <c r="F168" s="9" t="s">
        <v>1138</v>
      </c>
      <c r="G168" s="10">
        <v>45936</v>
      </c>
      <c r="H168" s="10">
        <v>45964</v>
      </c>
      <c r="I168">
        <v>35.5</v>
      </c>
      <c r="J168">
        <v>38.1</v>
      </c>
      <c r="K168" s="9" t="s">
        <v>1321</v>
      </c>
    </row>
    <row r="169" spans="1:11" x14ac:dyDescent="0.35">
      <c r="A169" s="9" t="s">
        <v>1629</v>
      </c>
      <c r="B169" s="9" t="s">
        <v>234</v>
      </c>
      <c r="C169" s="9" t="s">
        <v>46</v>
      </c>
      <c r="D169" s="9" t="s">
        <v>69</v>
      </c>
      <c r="E169" s="9" t="s">
        <v>1211</v>
      </c>
      <c r="F169" s="9" t="s">
        <v>1212</v>
      </c>
      <c r="G169" s="10">
        <v>45983</v>
      </c>
      <c r="H169" s="10">
        <v>46029</v>
      </c>
      <c r="I169">
        <v>12.7</v>
      </c>
      <c r="J169">
        <v>16.5</v>
      </c>
      <c r="K169" s="9" t="s">
        <v>1321</v>
      </c>
    </row>
    <row r="170" spans="1:11" x14ac:dyDescent="0.35">
      <c r="A170" s="9" t="s">
        <v>1630</v>
      </c>
      <c r="B170" s="9" t="s">
        <v>236</v>
      </c>
      <c r="C170" s="9" t="s">
        <v>55</v>
      </c>
      <c r="D170" s="9" t="s">
        <v>63</v>
      </c>
      <c r="E170" s="9" t="s">
        <v>1176</v>
      </c>
      <c r="F170" s="9" t="s">
        <v>1177</v>
      </c>
      <c r="G170" s="10">
        <v>46083</v>
      </c>
      <c r="H170" s="10">
        <v>46096</v>
      </c>
      <c r="I170">
        <v>28.8</v>
      </c>
      <c r="J170">
        <v>25.6</v>
      </c>
      <c r="K170" s="9" t="s">
        <v>1321</v>
      </c>
    </row>
    <row r="171" spans="1:11" x14ac:dyDescent="0.35">
      <c r="A171" s="9" t="s">
        <v>1631</v>
      </c>
      <c r="B171" s="9" t="s">
        <v>238</v>
      </c>
      <c r="C171" s="9" t="s">
        <v>46</v>
      </c>
      <c r="D171" s="9" t="s">
        <v>56</v>
      </c>
      <c r="E171" s="9" t="s">
        <v>1158</v>
      </c>
      <c r="F171" s="9" t="s">
        <v>1159</v>
      </c>
      <c r="G171" s="10">
        <v>45800</v>
      </c>
      <c r="H171" s="10">
        <v>45842</v>
      </c>
      <c r="I171">
        <v>33.6</v>
      </c>
      <c r="J171">
        <v>42</v>
      </c>
      <c r="K171" s="9" t="s">
        <v>1321</v>
      </c>
    </row>
    <row r="172" spans="1:11" x14ac:dyDescent="0.35">
      <c r="A172" s="9" t="s">
        <v>1632</v>
      </c>
      <c r="B172" s="9" t="s">
        <v>238</v>
      </c>
      <c r="C172" s="9" t="s">
        <v>46</v>
      </c>
      <c r="D172" s="9" t="s">
        <v>56</v>
      </c>
      <c r="E172" s="9" t="s">
        <v>1152</v>
      </c>
      <c r="F172" s="9" t="s">
        <v>1153</v>
      </c>
      <c r="G172" s="10">
        <v>45782</v>
      </c>
      <c r="H172" s="10">
        <v>45789</v>
      </c>
      <c r="I172">
        <v>17</v>
      </c>
      <c r="J172">
        <v>13.7</v>
      </c>
      <c r="K172" s="9" t="s">
        <v>1321</v>
      </c>
    </row>
    <row r="173" spans="1:11" x14ac:dyDescent="0.35">
      <c r="A173" s="9" t="s">
        <v>1633</v>
      </c>
      <c r="B173" s="9" t="s">
        <v>238</v>
      </c>
      <c r="C173" s="9" t="s">
        <v>46</v>
      </c>
      <c r="D173" s="9" t="s">
        <v>56</v>
      </c>
      <c r="E173" s="9" t="s">
        <v>1129</v>
      </c>
      <c r="F173" s="9" t="s">
        <v>1130</v>
      </c>
      <c r="G173" s="10">
        <v>45682</v>
      </c>
      <c r="H173" s="10">
        <v>45733</v>
      </c>
      <c r="I173">
        <v>9.3000000000000007</v>
      </c>
      <c r="J173">
        <v>12.7</v>
      </c>
      <c r="K173" s="9" t="s">
        <v>1321</v>
      </c>
    </row>
    <row r="174" spans="1:11" x14ac:dyDescent="0.35">
      <c r="A174" s="9" t="s">
        <v>1634</v>
      </c>
      <c r="B174" s="9" t="s">
        <v>240</v>
      </c>
      <c r="C174" s="9" t="s">
        <v>46</v>
      </c>
      <c r="D174" s="9" t="s">
        <v>56</v>
      </c>
      <c r="E174" s="9" t="s">
        <v>1145</v>
      </c>
      <c r="F174" s="9" t="s">
        <v>1146</v>
      </c>
      <c r="G174" s="10">
        <v>46116</v>
      </c>
      <c r="H174" s="10">
        <v>46166</v>
      </c>
      <c r="I174">
        <v>31.1</v>
      </c>
      <c r="J174">
        <v>42.2</v>
      </c>
      <c r="K174" s="9" t="s">
        <v>1321</v>
      </c>
    </row>
    <row r="175" spans="1:11" x14ac:dyDescent="0.35">
      <c r="A175" s="9" t="s">
        <v>1635</v>
      </c>
      <c r="B175" s="9" t="s">
        <v>240</v>
      </c>
      <c r="C175" s="9" t="s">
        <v>46</v>
      </c>
      <c r="D175" s="9" t="s">
        <v>56</v>
      </c>
      <c r="E175" s="9" t="s">
        <v>1145</v>
      </c>
      <c r="F175" s="9" t="s">
        <v>1146</v>
      </c>
      <c r="G175" s="10">
        <v>46080</v>
      </c>
      <c r="H175" s="10">
        <v>46085</v>
      </c>
      <c r="I175">
        <v>17.2</v>
      </c>
      <c r="J175">
        <v>13.5</v>
      </c>
      <c r="K175" s="9" t="s">
        <v>1321</v>
      </c>
    </row>
    <row r="176" spans="1:11" x14ac:dyDescent="0.35">
      <c r="A176" s="9" t="s">
        <v>1636</v>
      </c>
      <c r="B176" s="9" t="s">
        <v>242</v>
      </c>
      <c r="C176" s="9" t="s">
        <v>55</v>
      </c>
      <c r="D176" s="9" t="s">
        <v>69</v>
      </c>
      <c r="E176" s="9" t="s">
        <v>1211</v>
      </c>
      <c r="F176" s="9" t="s">
        <v>1212</v>
      </c>
      <c r="G176" s="10">
        <v>46062</v>
      </c>
      <c r="H176" s="10">
        <v>46082</v>
      </c>
      <c r="I176">
        <v>11.1</v>
      </c>
      <c r="J176">
        <v>10.7</v>
      </c>
      <c r="K176" s="9" t="s">
        <v>1321</v>
      </c>
    </row>
    <row r="177" spans="1:11" x14ac:dyDescent="0.35">
      <c r="A177" s="9" t="s">
        <v>1637</v>
      </c>
      <c r="B177" s="9" t="s">
        <v>244</v>
      </c>
      <c r="C177" s="9" t="s">
        <v>55</v>
      </c>
      <c r="D177" s="9" t="s">
        <v>80</v>
      </c>
      <c r="E177" s="9" t="s">
        <v>1145</v>
      </c>
      <c r="F177" s="9" t="s">
        <v>1146</v>
      </c>
      <c r="G177" s="10">
        <v>45670</v>
      </c>
      <c r="H177" s="10">
        <v>45724</v>
      </c>
      <c r="I177">
        <v>32.6</v>
      </c>
      <c r="J177">
        <v>46</v>
      </c>
      <c r="K177" s="9" t="s">
        <v>1321</v>
      </c>
    </row>
    <row r="178" spans="1:11" x14ac:dyDescent="0.35">
      <c r="A178" s="9" t="s">
        <v>1638</v>
      </c>
      <c r="B178" s="9" t="s">
        <v>246</v>
      </c>
      <c r="C178" s="9" t="s">
        <v>55</v>
      </c>
      <c r="D178" s="9" t="s">
        <v>47</v>
      </c>
      <c r="E178" s="9" t="s">
        <v>1162</v>
      </c>
      <c r="F178" s="9" t="s">
        <v>1163</v>
      </c>
      <c r="G178" s="10">
        <v>46012</v>
      </c>
      <c r="H178" s="10">
        <v>46018</v>
      </c>
      <c r="I178">
        <v>18.7</v>
      </c>
      <c r="J178">
        <v>14.7</v>
      </c>
      <c r="K178" s="9" t="s">
        <v>1321</v>
      </c>
    </row>
    <row r="179" spans="1:11" x14ac:dyDescent="0.35">
      <c r="A179" s="9" t="s">
        <v>1639</v>
      </c>
      <c r="B179" s="9" t="s">
        <v>246</v>
      </c>
      <c r="C179" s="9" t="s">
        <v>55</v>
      </c>
      <c r="D179" s="9" t="s">
        <v>47</v>
      </c>
      <c r="E179" s="9" t="s">
        <v>1183</v>
      </c>
      <c r="F179" s="9" t="s">
        <v>1184</v>
      </c>
      <c r="G179" s="10">
        <v>45826</v>
      </c>
      <c r="H179" s="10">
        <v>45835</v>
      </c>
      <c r="I179">
        <v>13</v>
      </c>
      <c r="J179">
        <v>10.9</v>
      </c>
      <c r="K179" s="9" t="s">
        <v>1321</v>
      </c>
    </row>
    <row r="180" spans="1:11" x14ac:dyDescent="0.35">
      <c r="A180" s="9" t="s">
        <v>1640</v>
      </c>
      <c r="B180" s="9" t="s">
        <v>246</v>
      </c>
      <c r="C180" s="9" t="s">
        <v>55</v>
      </c>
      <c r="D180" s="9" t="s">
        <v>47</v>
      </c>
      <c r="E180" s="9" t="s">
        <v>1193</v>
      </c>
      <c r="F180" s="9" t="s">
        <v>1194</v>
      </c>
      <c r="G180" s="10">
        <v>45773</v>
      </c>
      <c r="H180" s="10"/>
      <c r="I180">
        <v>3.8</v>
      </c>
      <c r="K180" s="9" t="s">
        <v>1473</v>
      </c>
    </row>
    <row r="181" spans="1:11" x14ac:dyDescent="0.35">
      <c r="A181" s="9" t="s">
        <v>1641</v>
      </c>
      <c r="B181" s="9" t="s">
        <v>248</v>
      </c>
      <c r="C181" s="9" t="s">
        <v>46</v>
      </c>
      <c r="D181" s="9" t="s">
        <v>56</v>
      </c>
      <c r="E181" s="9" t="s">
        <v>1129</v>
      </c>
      <c r="F181" s="9" t="s">
        <v>1130</v>
      </c>
      <c r="G181" s="10">
        <v>45953</v>
      </c>
      <c r="H181" s="10">
        <v>45965</v>
      </c>
      <c r="I181">
        <v>25.5</v>
      </c>
      <c r="J181">
        <v>22.3</v>
      </c>
      <c r="K181" s="9" t="s">
        <v>1321</v>
      </c>
    </row>
    <row r="182" spans="1:11" x14ac:dyDescent="0.35">
      <c r="A182" s="9" t="s">
        <v>1642</v>
      </c>
      <c r="B182" s="9" t="s">
        <v>248</v>
      </c>
      <c r="C182" s="9" t="s">
        <v>46</v>
      </c>
      <c r="D182" s="9" t="s">
        <v>56</v>
      </c>
      <c r="E182" s="9" t="s">
        <v>1193</v>
      </c>
      <c r="F182" s="9" t="s">
        <v>1194</v>
      </c>
      <c r="G182" s="10">
        <v>45825</v>
      </c>
      <c r="H182" s="10">
        <v>45878</v>
      </c>
      <c r="I182">
        <v>24.8</v>
      </c>
      <c r="J182">
        <v>34.700000000000003</v>
      </c>
      <c r="K182" s="9" t="s">
        <v>1321</v>
      </c>
    </row>
    <row r="183" spans="1:11" x14ac:dyDescent="0.35">
      <c r="A183" s="9" t="s">
        <v>1643</v>
      </c>
      <c r="B183" s="9" t="s">
        <v>248</v>
      </c>
      <c r="C183" s="9" t="s">
        <v>46</v>
      </c>
      <c r="D183" s="9" t="s">
        <v>56</v>
      </c>
      <c r="E183" s="9" t="s">
        <v>1176</v>
      </c>
      <c r="F183" s="9" t="s">
        <v>1177</v>
      </c>
      <c r="G183" s="10">
        <v>46172</v>
      </c>
      <c r="H183" s="10"/>
      <c r="I183">
        <v>13.4</v>
      </c>
      <c r="K183" s="9" t="s">
        <v>1325</v>
      </c>
    </row>
    <row r="184" spans="1:11" x14ac:dyDescent="0.35">
      <c r="A184" s="9" t="s">
        <v>1644</v>
      </c>
      <c r="B184" s="9" t="s">
        <v>250</v>
      </c>
      <c r="C184" s="9" t="s">
        <v>55</v>
      </c>
      <c r="D184" s="9" t="s">
        <v>112</v>
      </c>
      <c r="E184" s="9" t="s">
        <v>1183</v>
      </c>
      <c r="F184" s="9" t="s">
        <v>1184</v>
      </c>
      <c r="G184" s="10">
        <v>45959</v>
      </c>
      <c r="H184" s="10"/>
      <c r="I184">
        <v>28.6</v>
      </c>
      <c r="K184" s="9" t="s">
        <v>1325</v>
      </c>
    </row>
    <row r="185" spans="1:11" x14ac:dyDescent="0.35">
      <c r="A185" s="9" t="s">
        <v>1645</v>
      </c>
      <c r="B185" s="9" t="s">
        <v>250</v>
      </c>
      <c r="C185" s="9" t="s">
        <v>55</v>
      </c>
      <c r="D185" s="9" t="s">
        <v>112</v>
      </c>
      <c r="E185" s="9" t="s">
        <v>1180</v>
      </c>
      <c r="F185" s="9" t="s">
        <v>1181</v>
      </c>
      <c r="G185" s="10">
        <v>45816</v>
      </c>
      <c r="H185" s="10">
        <v>45871</v>
      </c>
      <c r="I185">
        <v>5.7</v>
      </c>
      <c r="J185">
        <v>8.1</v>
      </c>
      <c r="K185" s="9" t="s">
        <v>1321</v>
      </c>
    </row>
    <row r="186" spans="1:11" x14ac:dyDescent="0.35">
      <c r="A186" s="9" t="s">
        <v>1646</v>
      </c>
      <c r="B186" s="9" t="s">
        <v>252</v>
      </c>
      <c r="C186" s="9" t="s">
        <v>55</v>
      </c>
      <c r="D186" s="9" t="s">
        <v>76</v>
      </c>
      <c r="E186" s="9" t="s">
        <v>1167</v>
      </c>
      <c r="F186" s="9" t="s">
        <v>1168</v>
      </c>
      <c r="G186" s="10">
        <v>45832</v>
      </c>
      <c r="H186" s="10">
        <v>45858</v>
      </c>
      <c r="I186">
        <v>10.3</v>
      </c>
      <c r="J186">
        <v>10.8</v>
      </c>
      <c r="K186" s="9" t="s">
        <v>1321</v>
      </c>
    </row>
    <row r="187" spans="1:11" x14ac:dyDescent="0.35">
      <c r="A187" s="9" t="s">
        <v>1647</v>
      </c>
      <c r="B187" s="9" t="s">
        <v>252</v>
      </c>
      <c r="C187" s="9" t="s">
        <v>55</v>
      </c>
      <c r="D187" s="9" t="s">
        <v>76</v>
      </c>
      <c r="E187" s="9" t="s">
        <v>1171</v>
      </c>
      <c r="F187" s="9" t="s">
        <v>1172</v>
      </c>
      <c r="G187" s="10">
        <v>46142</v>
      </c>
      <c r="H187" s="10">
        <v>46159</v>
      </c>
      <c r="I187">
        <v>14</v>
      </c>
      <c r="J187">
        <v>13.1</v>
      </c>
      <c r="K187" s="9" t="s">
        <v>1321</v>
      </c>
    </row>
    <row r="188" spans="1:11" x14ac:dyDescent="0.35">
      <c r="A188" s="9" t="s">
        <v>1648</v>
      </c>
      <c r="B188" s="9" t="s">
        <v>252</v>
      </c>
      <c r="C188" s="9" t="s">
        <v>55</v>
      </c>
      <c r="D188" s="9" t="s">
        <v>76</v>
      </c>
      <c r="E188" s="9" t="s">
        <v>1147</v>
      </c>
      <c r="F188" s="9" t="s">
        <v>1148</v>
      </c>
      <c r="G188" s="10">
        <v>45802</v>
      </c>
      <c r="H188" s="10">
        <v>45842</v>
      </c>
      <c r="I188">
        <v>20.7</v>
      </c>
      <c r="J188">
        <v>25.3</v>
      </c>
      <c r="K188" s="9" t="s">
        <v>1321</v>
      </c>
    </row>
    <row r="189" spans="1:11" x14ac:dyDescent="0.35">
      <c r="A189" s="9" t="s">
        <v>1649</v>
      </c>
      <c r="B189" s="9" t="s">
        <v>254</v>
      </c>
      <c r="C189" s="9" t="s">
        <v>46</v>
      </c>
      <c r="D189" s="9" t="s">
        <v>76</v>
      </c>
      <c r="E189" s="9" t="s">
        <v>1145</v>
      </c>
      <c r="F189" s="9" t="s">
        <v>1146</v>
      </c>
      <c r="G189" s="10">
        <v>45736</v>
      </c>
      <c r="H189" s="10">
        <v>45786</v>
      </c>
      <c r="I189">
        <v>8.1999999999999993</v>
      </c>
      <c r="J189">
        <v>11.1</v>
      </c>
      <c r="K189" s="9" t="s">
        <v>1321</v>
      </c>
    </row>
    <row r="190" spans="1:11" x14ac:dyDescent="0.35">
      <c r="A190" s="9" t="s">
        <v>1650</v>
      </c>
      <c r="B190" s="9" t="s">
        <v>254</v>
      </c>
      <c r="C190" s="9" t="s">
        <v>46</v>
      </c>
      <c r="D190" s="9" t="s">
        <v>76</v>
      </c>
      <c r="E190" s="9" t="s">
        <v>1180</v>
      </c>
      <c r="F190" s="9" t="s">
        <v>1181</v>
      </c>
      <c r="G190" s="10">
        <v>45844</v>
      </c>
      <c r="H190" s="10">
        <v>45853</v>
      </c>
      <c r="I190">
        <v>31</v>
      </c>
      <c r="J190">
        <v>25.8</v>
      </c>
      <c r="K190" s="9" t="s">
        <v>1321</v>
      </c>
    </row>
    <row r="191" spans="1:11" x14ac:dyDescent="0.35">
      <c r="A191" s="9" t="s">
        <v>1651</v>
      </c>
      <c r="B191" s="9" t="s">
        <v>256</v>
      </c>
      <c r="C191" s="9" t="s">
        <v>46</v>
      </c>
      <c r="D191" s="9" t="s">
        <v>69</v>
      </c>
      <c r="E191" s="9" t="s">
        <v>1137</v>
      </c>
      <c r="F191" s="9" t="s">
        <v>1138</v>
      </c>
      <c r="G191" s="10">
        <v>45690</v>
      </c>
      <c r="H191" s="10">
        <v>45736</v>
      </c>
      <c r="I191">
        <v>20.7</v>
      </c>
      <c r="J191">
        <v>26.9</v>
      </c>
      <c r="K191" s="9" t="s">
        <v>1321</v>
      </c>
    </row>
    <row r="192" spans="1:11" x14ac:dyDescent="0.35">
      <c r="A192" s="9" t="s">
        <v>1652</v>
      </c>
      <c r="B192" s="9" t="s">
        <v>256</v>
      </c>
      <c r="C192" s="9" t="s">
        <v>46</v>
      </c>
      <c r="D192" s="9" t="s">
        <v>69</v>
      </c>
      <c r="E192" s="9" t="s">
        <v>1180</v>
      </c>
      <c r="F192" s="9" t="s">
        <v>1181</v>
      </c>
      <c r="G192" s="10">
        <v>45919</v>
      </c>
      <c r="H192" s="10">
        <v>45958</v>
      </c>
      <c r="I192">
        <v>14</v>
      </c>
      <c r="J192">
        <v>16.899999999999999</v>
      </c>
      <c r="K192" s="9" t="s">
        <v>1321</v>
      </c>
    </row>
    <row r="193" spans="1:11" x14ac:dyDescent="0.35">
      <c r="A193" s="9" t="s">
        <v>1653</v>
      </c>
      <c r="B193" s="9" t="s">
        <v>256</v>
      </c>
      <c r="C193" s="9" t="s">
        <v>46</v>
      </c>
      <c r="D193" s="9" t="s">
        <v>69</v>
      </c>
      <c r="E193" s="9" t="s">
        <v>1193</v>
      </c>
      <c r="F193" s="9" t="s">
        <v>1194</v>
      </c>
      <c r="G193" s="10">
        <v>45832</v>
      </c>
      <c r="H193" s="10">
        <v>45872</v>
      </c>
      <c r="I193">
        <v>5.4</v>
      </c>
      <c r="J193">
        <v>6.6</v>
      </c>
      <c r="K193" s="9" t="s">
        <v>1321</v>
      </c>
    </row>
    <row r="194" spans="1:11" x14ac:dyDescent="0.35">
      <c r="A194" s="9" t="s">
        <v>1654</v>
      </c>
      <c r="B194" s="9" t="s">
        <v>258</v>
      </c>
      <c r="C194" s="9" t="s">
        <v>46</v>
      </c>
      <c r="D194" s="9" t="s">
        <v>76</v>
      </c>
      <c r="E194" s="9" t="s">
        <v>1162</v>
      </c>
      <c r="F194" s="9" t="s">
        <v>1163</v>
      </c>
      <c r="G194" s="10">
        <v>45837</v>
      </c>
      <c r="H194" s="10">
        <v>45869</v>
      </c>
      <c r="I194">
        <v>27.2</v>
      </c>
      <c r="J194">
        <v>30.5</v>
      </c>
      <c r="K194" s="9" t="s">
        <v>1321</v>
      </c>
    </row>
    <row r="195" spans="1:11" x14ac:dyDescent="0.35">
      <c r="A195" s="9" t="s">
        <v>1655</v>
      </c>
      <c r="B195" s="9" t="s">
        <v>258</v>
      </c>
      <c r="C195" s="9" t="s">
        <v>46</v>
      </c>
      <c r="D195" s="9" t="s">
        <v>76</v>
      </c>
      <c r="E195" s="9" t="s">
        <v>1145</v>
      </c>
      <c r="F195" s="9" t="s">
        <v>1146</v>
      </c>
      <c r="G195" s="10">
        <v>45802</v>
      </c>
      <c r="H195" s="10">
        <v>45859</v>
      </c>
      <c r="I195">
        <v>9.6999999999999993</v>
      </c>
      <c r="J195">
        <v>14</v>
      </c>
      <c r="K195" s="9" t="s">
        <v>1321</v>
      </c>
    </row>
    <row r="196" spans="1:11" x14ac:dyDescent="0.35">
      <c r="A196" s="9" t="s">
        <v>1656</v>
      </c>
      <c r="B196" s="9" t="s">
        <v>258</v>
      </c>
      <c r="C196" s="9" t="s">
        <v>46</v>
      </c>
      <c r="D196" s="9" t="s">
        <v>76</v>
      </c>
      <c r="E196" s="9" t="s">
        <v>1162</v>
      </c>
      <c r="F196" s="9" t="s">
        <v>1163</v>
      </c>
      <c r="G196" s="10">
        <v>46197</v>
      </c>
      <c r="H196" s="10">
        <v>46224</v>
      </c>
      <c r="I196">
        <v>33.1</v>
      </c>
      <c r="J196">
        <v>35</v>
      </c>
      <c r="K196" s="9" t="s">
        <v>1321</v>
      </c>
    </row>
    <row r="197" spans="1:11" x14ac:dyDescent="0.35">
      <c r="A197" s="9" t="s">
        <v>1657</v>
      </c>
      <c r="B197" s="9" t="s">
        <v>260</v>
      </c>
      <c r="C197" s="9" t="s">
        <v>62</v>
      </c>
      <c r="D197" s="9" t="s">
        <v>47</v>
      </c>
      <c r="E197" s="9" t="s">
        <v>1190</v>
      </c>
      <c r="F197" s="9" t="s">
        <v>1191</v>
      </c>
      <c r="G197" s="10">
        <v>45802</v>
      </c>
      <c r="H197" s="10">
        <v>45852</v>
      </c>
      <c r="I197">
        <v>17.7</v>
      </c>
      <c r="J197">
        <v>23.9</v>
      </c>
      <c r="K197" s="9" t="s">
        <v>1321</v>
      </c>
    </row>
    <row r="198" spans="1:11" x14ac:dyDescent="0.35">
      <c r="A198" s="9" t="s">
        <v>1658</v>
      </c>
      <c r="B198" s="9" t="s">
        <v>260</v>
      </c>
      <c r="C198" s="9" t="s">
        <v>62</v>
      </c>
      <c r="D198" s="9" t="s">
        <v>47</v>
      </c>
      <c r="E198" s="9" t="s">
        <v>1196</v>
      </c>
      <c r="F198" s="9" t="s">
        <v>1197</v>
      </c>
      <c r="G198" s="10">
        <v>46087</v>
      </c>
      <c r="H198" s="10">
        <v>46112</v>
      </c>
      <c r="I198">
        <v>9</v>
      </c>
      <c r="J198">
        <v>9.3000000000000007</v>
      </c>
      <c r="K198" s="9" t="s">
        <v>1321</v>
      </c>
    </row>
    <row r="199" spans="1:11" x14ac:dyDescent="0.35">
      <c r="A199" s="9" t="s">
        <v>1659</v>
      </c>
      <c r="B199" s="9" t="s">
        <v>262</v>
      </c>
      <c r="C199" s="9" t="s">
        <v>46</v>
      </c>
      <c r="D199" s="9" t="s">
        <v>63</v>
      </c>
      <c r="E199" s="9" t="s">
        <v>1152</v>
      </c>
      <c r="F199" s="9" t="s">
        <v>1153</v>
      </c>
      <c r="G199" s="10">
        <v>45923</v>
      </c>
      <c r="H199" s="10">
        <v>45926</v>
      </c>
      <c r="I199">
        <v>35.700000000000003</v>
      </c>
      <c r="J199">
        <v>27.1</v>
      </c>
      <c r="K199" s="9" t="s">
        <v>1321</v>
      </c>
    </row>
    <row r="200" spans="1:11" x14ac:dyDescent="0.35">
      <c r="A200" s="9" t="s">
        <v>1660</v>
      </c>
      <c r="B200" s="9" t="s">
        <v>264</v>
      </c>
      <c r="C200" s="9" t="s">
        <v>55</v>
      </c>
      <c r="D200" s="9" t="s">
        <v>56</v>
      </c>
      <c r="E200" s="9" t="s">
        <v>1129</v>
      </c>
      <c r="F200" s="9" t="s">
        <v>1130</v>
      </c>
      <c r="G200" s="10">
        <v>46097</v>
      </c>
      <c r="H200" s="10">
        <v>46131</v>
      </c>
      <c r="I200">
        <v>10.9</v>
      </c>
      <c r="J200">
        <v>12.6</v>
      </c>
      <c r="K200" s="9" t="s">
        <v>1321</v>
      </c>
    </row>
    <row r="201" spans="1:11" x14ac:dyDescent="0.35">
      <c r="A201" s="9" t="s">
        <v>1661</v>
      </c>
      <c r="B201" s="9" t="s">
        <v>266</v>
      </c>
      <c r="C201" s="9" t="s">
        <v>46</v>
      </c>
      <c r="D201" s="9" t="s">
        <v>47</v>
      </c>
      <c r="E201" s="9" t="s">
        <v>1155</v>
      </c>
      <c r="F201" s="9" t="s">
        <v>1156</v>
      </c>
      <c r="G201" s="10">
        <v>45947</v>
      </c>
      <c r="H201" s="10">
        <v>45988</v>
      </c>
      <c r="I201">
        <v>8.8000000000000007</v>
      </c>
      <c r="J201">
        <v>10.9</v>
      </c>
      <c r="K201" s="9" t="s">
        <v>1321</v>
      </c>
    </row>
    <row r="202" spans="1:11" x14ac:dyDescent="0.35">
      <c r="A202" s="9" t="s">
        <v>1662</v>
      </c>
      <c r="B202" s="9" t="s">
        <v>266</v>
      </c>
      <c r="C202" s="9" t="s">
        <v>46</v>
      </c>
      <c r="D202" s="9" t="s">
        <v>47</v>
      </c>
      <c r="E202" s="9" t="s">
        <v>1193</v>
      </c>
      <c r="F202" s="9" t="s">
        <v>1194</v>
      </c>
      <c r="G202" s="10">
        <v>45939</v>
      </c>
      <c r="H202" s="10">
        <v>45970</v>
      </c>
      <c r="I202">
        <v>26.2</v>
      </c>
      <c r="J202">
        <v>29.1</v>
      </c>
      <c r="K202" s="9" t="s">
        <v>1321</v>
      </c>
    </row>
    <row r="203" spans="1:11" x14ac:dyDescent="0.35">
      <c r="A203" s="9" t="s">
        <v>1663</v>
      </c>
      <c r="B203" s="9" t="s">
        <v>268</v>
      </c>
      <c r="C203" s="9" t="s">
        <v>46</v>
      </c>
      <c r="D203" s="9" t="s">
        <v>69</v>
      </c>
      <c r="E203" s="9" t="s">
        <v>1152</v>
      </c>
      <c r="F203" s="9" t="s">
        <v>1153</v>
      </c>
      <c r="G203" s="10">
        <v>46022</v>
      </c>
      <c r="H203" s="10">
        <v>46058</v>
      </c>
      <c r="I203">
        <v>21.2</v>
      </c>
      <c r="J203">
        <v>24.9</v>
      </c>
      <c r="K203" s="9" t="s">
        <v>1321</v>
      </c>
    </row>
    <row r="204" spans="1:11" x14ac:dyDescent="0.35">
      <c r="A204" s="9" t="s">
        <v>1664</v>
      </c>
      <c r="B204" s="9" t="s">
        <v>268</v>
      </c>
      <c r="C204" s="9" t="s">
        <v>46</v>
      </c>
      <c r="D204" s="9" t="s">
        <v>69</v>
      </c>
      <c r="E204" s="9" t="s">
        <v>1147</v>
      </c>
      <c r="F204" s="9" t="s">
        <v>1148</v>
      </c>
      <c r="G204" s="10">
        <v>45940</v>
      </c>
      <c r="H204" s="10">
        <v>45948</v>
      </c>
      <c r="I204">
        <v>27.7</v>
      </c>
      <c r="J204">
        <v>22.8</v>
      </c>
      <c r="K204" s="9" t="s">
        <v>1321</v>
      </c>
    </row>
    <row r="205" spans="1:11" x14ac:dyDescent="0.35">
      <c r="A205" s="9" t="s">
        <v>1665</v>
      </c>
      <c r="B205" s="9" t="s">
        <v>270</v>
      </c>
      <c r="C205" s="9" t="s">
        <v>55</v>
      </c>
      <c r="D205" s="9" t="s">
        <v>47</v>
      </c>
      <c r="E205" s="9" t="s">
        <v>1143</v>
      </c>
      <c r="F205" s="9" t="s">
        <v>1144</v>
      </c>
      <c r="G205" s="10">
        <v>45730</v>
      </c>
      <c r="H205" s="10"/>
      <c r="I205">
        <v>28.8</v>
      </c>
      <c r="K205" s="9" t="s">
        <v>1325</v>
      </c>
    </row>
    <row r="206" spans="1:11" x14ac:dyDescent="0.35">
      <c r="A206" s="9" t="s">
        <v>1666</v>
      </c>
      <c r="B206" s="9" t="s">
        <v>270</v>
      </c>
      <c r="C206" s="9" t="s">
        <v>55</v>
      </c>
      <c r="D206" s="9" t="s">
        <v>47</v>
      </c>
      <c r="E206" s="9" t="s">
        <v>1134</v>
      </c>
      <c r="F206" s="9" t="s">
        <v>1135</v>
      </c>
      <c r="G206" s="10">
        <v>45977</v>
      </c>
      <c r="H206" s="10">
        <v>46027</v>
      </c>
      <c r="I206">
        <v>17.100000000000001</v>
      </c>
      <c r="J206">
        <v>23.1</v>
      </c>
      <c r="K206" s="9" t="s">
        <v>1321</v>
      </c>
    </row>
    <row r="207" spans="1:11" x14ac:dyDescent="0.35">
      <c r="A207" s="9" t="s">
        <v>1667</v>
      </c>
      <c r="B207" s="9" t="s">
        <v>272</v>
      </c>
      <c r="C207" s="9" t="s">
        <v>46</v>
      </c>
      <c r="D207" s="9" t="s">
        <v>69</v>
      </c>
      <c r="E207" s="9" t="s">
        <v>1171</v>
      </c>
      <c r="F207" s="9" t="s">
        <v>1172</v>
      </c>
      <c r="G207" s="10">
        <v>45905</v>
      </c>
      <c r="H207" s="10">
        <v>45953</v>
      </c>
      <c r="I207">
        <v>15.4</v>
      </c>
      <c r="J207">
        <v>20.5</v>
      </c>
      <c r="K207" s="9" t="s">
        <v>1321</v>
      </c>
    </row>
    <row r="208" spans="1:11" x14ac:dyDescent="0.35">
      <c r="A208" s="9" t="s">
        <v>1668</v>
      </c>
      <c r="B208" s="9" t="s">
        <v>274</v>
      </c>
      <c r="C208" s="9" t="s">
        <v>55</v>
      </c>
      <c r="D208" s="9" t="s">
        <v>47</v>
      </c>
      <c r="E208" s="9" t="s">
        <v>1171</v>
      </c>
      <c r="F208" s="9" t="s">
        <v>1172</v>
      </c>
      <c r="G208" s="10">
        <v>45878</v>
      </c>
      <c r="H208" s="10">
        <v>45901</v>
      </c>
      <c r="I208">
        <v>5.4</v>
      </c>
      <c r="J208">
        <v>5.5</v>
      </c>
      <c r="K208" s="9" t="s">
        <v>1321</v>
      </c>
    </row>
    <row r="209" spans="1:11" x14ac:dyDescent="0.35">
      <c r="A209" s="9" t="s">
        <v>1669</v>
      </c>
      <c r="B209" s="9" t="s">
        <v>274</v>
      </c>
      <c r="C209" s="9" t="s">
        <v>55</v>
      </c>
      <c r="D209" s="9" t="s">
        <v>47</v>
      </c>
      <c r="E209" s="9" t="s">
        <v>1196</v>
      </c>
      <c r="F209" s="9" t="s">
        <v>1197</v>
      </c>
      <c r="G209" s="10">
        <v>45852</v>
      </c>
      <c r="H209" s="10">
        <v>45885</v>
      </c>
      <c r="I209">
        <v>26.5</v>
      </c>
      <c r="J209">
        <v>30.1</v>
      </c>
      <c r="K209" s="9" t="s">
        <v>1321</v>
      </c>
    </row>
    <row r="210" spans="1:11" x14ac:dyDescent="0.35">
      <c r="A210" s="9" t="s">
        <v>1670</v>
      </c>
      <c r="B210" s="9" t="s">
        <v>276</v>
      </c>
      <c r="C210" s="9" t="s">
        <v>55</v>
      </c>
      <c r="D210" s="9" t="s">
        <v>76</v>
      </c>
      <c r="E210" s="9" t="s">
        <v>1139</v>
      </c>
      <c r="F210" s="9" t="s">
        <v>1140</v>
      </c>
      <c r="G210" s="10">
        <v>46055</v>
      </c>
      <c r="H210" s="10">
        <v>46095</v>
      </c>
      <c r="I210">
        <v>33.299999999999997</v>
      </c>
      <c r="J210">
        <v>41.1</v>
      </c>
      <c r="K210" s="9" t="s">
        <v>1321</v>
      </c>
    </row>
    <row r="211" spans="1:11" x14ac:dyDescent="0.35">
      <c r="A211" s="9" t="s">
        <v>1671</v>
      </c>
      <c r="B211" s="9" t="s">
        <v>276</v>
      </c>
      <c r="C211" s="9" t="s">
        <v>55</v>
      </c>
      <c r="D211" s="9" t="s">
        <v>76</v>
      </c>
      <c r="E211" s="9" t="s">
        <v>1152</v>
      </c>
      <c r="F211" s="9" t="s">
        <v>1153</v>
      </c>
      <c r="G211" s="10">
        <v>45793</v>
      </c>
      <c r="H211" s="10">
        <v>45799</v>
      </c>
      <c r="I211">
        <v>31.2</v>
      </c>
      <c r="J211">
        <v>24.8</v>
      </c>
      <c r="K211" s="9" t="s">
        <v>1321</v>
      </c>
    </row>
    <row r="212" spans="1:11" x14ac:dyDescent="0.35">
      <c r="A212" s="9" t="s">
        <v>1672</v>
      </c>
      <c r="B212" s="9" t="s">
        <v>278</v>
      </c>
      <c r="C212" s="9" t="s">
        <v>55</v>
      </c>
      <c r="D212" s="9" t="s">
        <v>93</v>
      </c>
      <c r="E212" s="9" t="s">
        <v>1167</v>
      </c>
      <c r="F212" s="9" t="s">
        <v>1168</v>
      </c>
      <c r="G212" s="10">
        <v>46016</v>
      </c>
      <c r="H212" s="10">
        <v>46059</v>
      </c>
      <c r="I212">
        <v>6</v>
      </c>
      <c r="J212">
        <v>7.7</v>
      </c>
      <c r="K212" s="9" t="s">
        <v>1321</v>
      </c>
    </row>
    <row r="213" spans="1:11" x14ac:dyDescent="0.35">
      <c r="A213" s="9" t="s">
        <v>1673</v>
      </c>
      <c r="B213" s="9" t="s">
        <v>278</v>
      </c>
      <c r="C213" s="9" t="s">
        <v>55</v>
      </c>
      <c r="D213" s="9" t="s">
        <v>93</v>
      </c>
      <c r="E213" s="9" t="s">
        <v>1147</v>
      </c>
      <c r="F213" s="9" t="s">
        <v>1148</v>
      </c>
      <c r="G213" s="10">
        <v>45991</v>
      </c>
      <c r="H213" s="10">
        <v>46027</v>
      </c>
      <c r="I213">
        <v>34.5</v>
      </c>
      <c r="J213">
        <v>40.700000000000003</v>
      </c>
      <c r="K213" s="9" t="s">
        <v>1321</v>
      </c>
    </row>
    <row r="214" spans="1:11" x14ac:dyDescent="0.35">
      <c r="A214" s="9" t="s">
        <v>1674</v>
      </c>
      <c r="B214" s="9" t="s">
        <v>280</v>
      </c>
      <c r="C214" s="9" t="s">
        <v>46</v>
      </c>
      <c r="D214" s="9" t="s">
        <v>112</v>
      </c>
      <c r="E214" s="9" t="s">
        <v>1167</v>
      </c>
      <c r="F214" s="9" t="s">
        <v>1168</v>
      </c>
      <c r="G214" s="10">
        <v>46166</v>
      </c>
      <c r="H214" s="10">
        <v>46185</v>
      </c>
      <c r="I214">
        <v>31.7</v>
      </c>
      <c r="J214">
        <v>30.6</v>
      </c>
      <c r="K214" s="9" t="s">
        <v>1321</v>
      </c>
    </row>
    <row r="215" spans="1:11" x14ac:dyDescent="0.35">
      <c r="A215" s="9" t="s">
        <v>1675</v>
      </c>
      <c r="B215" s="9" t="s">
        <v>280</v>
      </c>
      <c r="C215" s="9" t="s">
        <v>46</v>
      </c>
      <c r="D215" s="9" t="s">
        <v>112</v>
      </c>
      <c r="E215" s="9" t="s">
        <v>1190</v>
      </c>
      <c r="F215" s="9" t="s">
        <v>1191</v>
      </c>
      <c r="G215" s="10">
        <v>45829</v>
      </c>
      <c r="H215" s="10">
        <v>45880</v>
      </c>
      <c r="I215">
        <v>18.5</v>
      </c>
      <c r="J215">
        <v>25.3</v>
      </c>
      <c r="K215" s="9" t="s">
        <v>1321</v>
      </c>
    </row>
    <row r="216" spans="1:11" x14ac:dyDescent="0.35">
      <c r="A216" s="9" t="s">
        <v>1676</v>
      </c>
      <c r="B216" s="9" t="s">
        <v>280</v>
      </c>
      <c r="C216" s="9" t="s">
        <v>46</v>
      </c>
      <c r="D216" s="9" t="s">
        <v>112</v>
      </c>
      <c r="E216" s="9" t="s">
        <v>1211</v>
      </c>
      <c r="F216" s="9" t="s">
        <v>1212</v>
      </c>
      <c r="G216" s="10">
        <v>46073</v>
      </c>
      <c r="H216" s="10">
        <v>46105</v>
      </c>
      <c r="I216">
        <v>27.2</v>
      </c>
      <c r="J216">
        <v>30.6</v>
      </c>
      <c r="K216" s="9" t="s">
        <v>1321</v>
      </c>
    </row>
    <row r="217" spans="1:11" x14ac:dyDescent="0.35">
      <c r="A217" s="9" t="s">
        <v>1677</v>
      </c>
      <c r="B217" s="9" t="s">
        <v>282</v>
      </c>
      <c r="C217" s="9" t="s">
        <v>55</v>
      </c>
      <c r="D217" s="9" t="s">
        <v>80</v>
      </c>
      <c r="E217" s="9" t="s">
        <v>1183</v>
      </c>
      <c r="F217" s="9" t="s">
        <v>1184</v>
      </c>
      <c r="G217" s="10">
        <v>46190</v>
      </c>
      <c r="H217" s="10">
        <v>46204</v>
      </c>
      <c r="I217">
        <v>21.9</v>
      </c>
      <c r="J217">
        <v>19.5</v>
      </c>
      <c r="K217" s="9" t="s">
        <v>1321</v>
      </c>
    </row>
    <row r="218" spans="1:11" x14ac:dyDescent="0.35">
      <c r="A218" s="9" t="s">
        <v>1678</v>
      </c>
      <c r="B218" s="9" t="s">
        <v>284</v>
      </c>
      <c r="C218" s="9" t="s">
        <v>62</v>
      </c>
      <c r="D218" s="9" t="s">
        <v>76</v>
      </c>
      <c r="E218" s="9" t="s">
        <v>1211</v>
      </c>
      <c r="F218" s="9" t="s">
        <v>1212</v>
      </c>
      <c r="G218" s="10">
        <v>45874</v>
      </c>
      <c r="H218" s="10">
        <v>45915</v>
      </c>
      <c r="I218">
        <v>29.8</v>
      </c>
      <c r="J218">
        <v>36.9</v>
      </c>
      <c r="K218" s="9" t="s">
        <v>1321</v>
      </c>
    </row>
    <row r="219" spans="1:11" x14ac:dyDescent="0.35">
      <c r="A219" s="9" t="s">
        <v>1679</v>
      </c>
      <c r="B219" s="9" t="s">
        <v>286</v>
      </c>
      <c r="C219" s="9" t="s">
        <v>46</v>
      </c>
      <c r="D219" s="9" t="s">
        <v>56</v>
      </c>
      <c r="E219" s="9" t="s">
        <v>1193</v>
      </c>
      <c r="F219" s="9" t="s">
        <v>1194</v>
      </c>
      <c r="G219" s="10">
        <v>45868</v>
      </c>
      <c r="H219" s="10"/>
      <c r="I219">
        <v>31.6</v>
      </c>
      <c r="K219" s="9" t="s">
        <v>1473</v>
      </c>
    </row>
    <row r="220" spans="1:11" x14ac:dyDescent="0.35">
      <c r="A220" s="9" t="s">
        <v>1680</v>
      </c>
      <c r="B220" s="9" t="s">
        <v>288</v>
      </c>
      <c r="C220" s="9" t="s">
        <v>55</v>
      </c>
      <c r="D220" s="9" t="s">
        <v>47</v>
      </c>
      <c r="E220" s="9" t="s">
        <v>1171</v>
      </c>
      <c r="F220" s="9" t="s">
        <v>1172</v>
      </c>
      <c r="G220" s="10">
        <v>45909</v>
      </c>
      <c r="H220" s="10">
        <v>45954</v>
      </c>
      <c r="I220">
        <v>3.6</v>
      </c>
      <c r="J220">
        <v>4.7</v>
      </c>
      <c r="K220" s="9" t="s">
        <v>1321</v>
      </c>
    </row>
    <row r="221" spans="1:11" x14ac:dyDescent="0.35">
      <c r="A221" s="9" t="s">
        <v>1681</v>
      </c>
      <c r="B221" s="9" t="s">
        <v>290</v>
      </c>
      <c r="C221" s="9" t="s">
        <v>55</v>
      </c>
      <c r="D221" s="9" t="s">
        <v>63</v>
      </c>
      <c r="E221" s="9" t="s">
        <v>1134</v>
      </c>
      <c r="F221" s="9" t="s">
        <v>1135</v>
      </c>
      <c r="G221" s="10">
        <v>46041</v>
      </c>
      <c r="H221" s="10">
        <v>46078</v>
      </c>
      <c r="I221">
        <v>34.5</v>
      </c>
      <c r="J221">
        <v>41.2</v>
      </c>
      <c r="K221" s="9" t="s">
        <v>1321</v>
      </c>
    </row>
    <row r="222" spans="1:11" x14ac:dyDescent="0.35">
      <c r="A222" s="9" t="s">
        <v>1682</v>
      </c>
      <c r="B222" s="9" t="s">
        <v>290</v>
      </c>
      <c r="C222" s="9" t="s">
        <v>55</v>
      </c>
      <c r="D222" s="9" t="s">
        <v>63</v>
      </c>
      <c r="E222" s="9" t="s">
        <v>1139</v>
      </c>
      <c r="F222" s="9" t="s">
        <v>1140</v>
      </c>
      <c r="G222" s="10">
        <v>46133</v>
      </c>
      <c r="H222" s="10">
        <v>46149</v>
      </c>
      <c r="I222">
        <v>8.4</v>
      </c>
      <c r="J222">
        <v>7.7</v>
      </c>
      <c r="K222" s="9" t="s">
        <v>1321</v>
      </c>
    </row>
    <row r="223" spans="1:11" x14ac:dyDescent="0.35">
      <c r="A223" s="9" t="s">
        <v>1683</v>
      </c>
      <c r="B223" s="9" t="s">
        <v>290</v>
      </c>
      <c r="C223" s="9" t="s">
        <v>55</v>
      </c>
      <c r="D223" s="9" t="s">
        <v>63</v>
      </c>
      <c r="E223" s="9" t="s">
        <v>1143</v>
      </c>
      <c r="F223" s="9" t="s">
        <v>1144</v>
      </c>
      <c r="G223" s="10">
        <v>45888</v>
      </c>
      <c r="H223" s="10">
        <v>45893</v>
      </c>
      <c r="I223">
        <v>28.2</v>
      </c>
      <c r="J223">
        <v>21.9</v>
      </c>
      <c r="K223" s="9" t="s">
        <v>1321</v>
      </c>
    </row>
    <row r="224" spans="1:11" x14ac:dyDescent="0.35">
      <c r="A224" s="9" t="s">
        <v>1684</v>
      </c>
      <c r="B224" s="9" t="s">
        <v>292</v>
      </c>
      <c r="C224" s="9" t="s">
        <v>55</v>
      </c>
      <c r="D224" s="9" t="s">
        <v>93</v>
      </c>
      <c r="E224" s="9" t="s">
        <v>1190</v>
      </c>
      <c r="F224" s="9" t="s">
        <v>1191</v>
      </c>
      <c r="G224" s="10">
        <v>45670</v>
      </c>
      <c r="H224" s="10">
        <v>45723</v>
      </c>
      <c r="I224">
        <v>26.4</v>
      </c>
      <c r="J224">
        <v>36.700000000000003</v>
      </c>
      <c r="K224" s="9" t="s">
        <v>1321</v>
      </c>
    </row>
    <row r="225" spans="1:11" x14ac:dyDescent="0.35">
      <c r="A225" s="9" t="s">
        <v>1685</v>
      </c>
      <c r="B225" s="9" t="s">
        <v>292</v>
      </c>
      <c r="C225" s="9" t="s">
        <v>55</v>
      </c>
      <c r="D225" s="9" t="s">
        <v>93</v>
      </c>
      <c r="E225" s="9" t="s">
        <v>1183</v>
      </c>
      <c r="F225" s="9" t="s">
        <v>1184</v>
      </c>
      <c r="G225" s="10">
        <v>45983</v>
      </c>
      <c r="H225" s="10">
        <v>46026</v>
      </c>
      <c r="I225">
        <v>2.1</v>
      </c>
      <c r="J225">
        <v>2.6</v>
      </c>
      <c r="K225" s="9" t="s">
        <v>1321</v>
      </c>
    </row>
    <row r="226" spans="1:11" x14ac:dyDescent="0.35">
      <c r="A226" s="9" t="s">
        <v>1686</v>
      </c>
      <c r="B226" s="9" t="s">
        <v>294</v>
      </c>
      <c r="C226" s="9" t="s">
        <v>46</v>
      </c>
      <c r="D226" s="9" t="s">
        <v>56</v>
      </c>
      <c r="E226" s="9" t="s">
        <v>1196</v>
      </c>
      <c r="F226" s="9" t="s">
        <v>1197</v>
      </c>
      <c r="G226" s="10">
        <v>45694</v>
      </c>
      <c r="H226" s="10">
        <v>45724</v>
      </c>
      <c r="I226">
        <v>20.3</v>
      </c>
      <c r="J226">
        <v>22.5</v>
      </c>
      <c r="K226" s="9" t="s">
        <v>1321</v>
      </c>
    </row>
    <row r="227" spans="1:11" x14ac:dyDescent="0.35">
      <c r="A227" s="9" t="s">
        <v>1687</v>
      </c>
      <c r="B227" s="9" t="s">
        <v>296</v>
      </c>
      <c r="C227" s="9" t="s">
        <v>62</v>
      </c>
      <c r="D227" s="9" t="s">
        <v>63</v>
      </c>
      <c r="E227" s="9" t="s">
        <v>1167</v>
      </c>
      <c r="F227" s="9" t="s">
        <v>1168</v>
      </c>
      <c r="G227" s="10">
        <v>45672</v>
      </c>
      <c r="H227" s="10">
        <v>45683</v>
      </c>
      <c r="I227">
        <v>28</v>
      </c>
      <c r="J227">
        <v>24</v>
      </c>
      <c r="K227" s="9" t="s">
        <v>1321</v>
      </c>
    </row>
    <row r="228" spans="1:11" x14ac:dyDescent="0.35">
      <c r="A228" s="9" t="s">
        <v>1688</v>
      </c>
      <c r="B228" s="9" t="s">
        <v>296</v>
      </c>
      <c r="C228" s="9" t="s">
        <v>62</v>
      </c>
      <c r="D228" s="9" t="s">
        <v>63</v>
      </c>
      <c r="E228" s="9" t="s">
        <v>1134</v>
      </c>
      <c r="F228" s="9" t="s">
        <v>1135</v>
      </c>
      <c r="G228" s="10">
        <v>45955</v>
      </c>
      <c r="H228" s="10">
        <v>45971</v>
      </c>
      <c r="I228">
        <v>19.899999999999999</v>
      </c>
      <c r="J228">
        <v>18.2</v>
      </c>
      <c r="K228" s="9" t="s">
        <v>1321</v>
      </c>
    </row>
    <row r="229" spans="1:11" x14ac:dyDescent="0.35">
      <c r="A229" s="9" t="s">
        <v>1689</v>
      </c>
      <c r="B229" s="9" t="s">
        <v>296</v>
      </c>
      <c r="C229" s="9" t="s">
        <v>62</v>
      </c>
      <c r="D229" s="9" t="s">
        <v>63</v>
      </c>
      <c r="E229" s="9" t="s">
        <v>1167</v>
      </c>
      <c r="F229" s="9" t="s">
        <v>1168</v>
      </c>
      <c r="G229" s="10">
        <v>45963</v>
      </c>
      <c r="H229" s="10">
        <v>46009</v>
      </c>
      <c r="I229">
        <v>14.4</v>
      </c>
      <c r="J229">
        <v>18.8</v>
      </c>
      <c r="K229" s="9" t="s">
        <v>1321</v>
      </c>
    </row>
    <row r="230" spans="1:11" x14ac:dyDescent="0.35">
      <c r="A230" s="9" t="s">
        <v>1690</v>
      </c>
      <c r="B230" s="9" t="s">
        <v>298</v>
      </c>
      <c r="C230" s="9" t="s">
        <v>46</v>
      </c>
      <c r="D230" s="9" t="s">
        <v>112</v>
      </c>
      <c r="E230" s="9" t="s">
        <v>1147</v>
      </c>
      <c r="F230" s="9" t="s">
        <v>1148</v>
      </c>
      <c r="G230" s="10">
        <v>46014</v>
      </c>
      <c r="H230" s="10">
        <v>46029</v>
      </c>
      <c r="I230">
        <v>9.6999999999999993</v>
      </c>
      <c r="J230">
        <v>8.9</v>
      </c>
      <c r="K230" s="9" t="s">
        <v>1321</v>
      </c>
    </row>
    <row r="231" spans="1:11" x14ac:dyDescent="0.35">
      <c r="A231" s="9" t="s">
        <v>1691</v>
      </c>
      <c r="B231" s="9" t="s">
        <v>298</v>
      </c>
      <c r="C231" s="9" t="s">
        <v>46</v>
      </c>
      <c r="D231" s="9" t="s">
        <v>112</v>
      </c>
      <c r="E231" s="9" t="s">
        <v>1152</v>
      </c>
      <c r="F231" s="9" t="s">
        <v>1153</v>
      </c>
      <c r="G231" s="10">
        <v>46029</v>
      </c>
      <c r="H231" s="10">
        <v>46043</v>
      </c>
      <c r="I231">
        <v>15.9</v>
      </c>
      <c r="J231">
        <v>14.3</v>
      </c>
      <c r="K231" s="9" t="s">
        <v>1321</v>
      </c>
    </row>
    <row r="232" spans="1:11" x14ac:dyDescent="0.35">
      <c r="A232" s="9" t="s">
        <v>1692</v>
      </c>
      <c r="B232" s="9" t="s">
        <v>300</v>
      </c>
      <c r="C232" s="9" t="s">
        <v>46</v>
      </c>
      <c r="D232" s="9" t="s">
        <v>47</v>
      </c>
      <c r="E232" s="9" t="s">
        <v>1155</v>
      </c>
      <c r="F232" s="9" t="s">
        <v>1156</v>
      </c>
      <c r="G232" s="10">
        <v>45817</v>
      </c>
      <c r="H232" s="10">
        <v>45857</v>
      </c>
      <c r="I232">
        <v>26.1</v>
      </c>
      <c r="J232">
        <v>32.1</v>
      </c>
      <c r="K232" s="9" t="s">
        <v>1321</v>
      </c>
    </row>
    <row r="233" spans="1:11" x14ac:dyDescent="0.35">
      <c r="A233" s="9" t="s">
        <v>1693</v>
      </c>
      <c r="B233" s="9" t="s">
        <v>302</v>
      </c>
      <c r="C233" s="9" t="s">
        <v>55</v>
      </c>
      <c r="D233" s="9" t="s">
        <v>80</v>
      </c>
      <c r="E233" s="9" t="s">
        <v>1147</v>
      </c>
      <c r="F233" s="9" t="s">
        <v>1148</v>
      </c>
      <c r="G233" s="10">
        <v>46038</v>
      </c>
      <c r="H233" s="10">
        <v>46086</v>
      </c>
      <c r="I233">
        <v>9.5</v>
      </c>
      <c r="J233">
        <v>12.7</v>
      </c>
      <c r="K233" s="9" t="s">
        <v>1321</v>
      </c>
    </row>
    <row r="234" spans="1:11" x14ac:dyDescent="0.35">
      <c r="A234" s="9" t="s">
        <v>1694</v>
      </c>
      <c r="B234" s="9" t="s">
        <v>302</v>
      </c>
      <c r="C234" s="9" t="s">
        <v>55</v>
      </c>
      <c r="D234" s="9" t="s">
        <v>80</v>
      </c>
      <c r="E234" s="9" t="s">
        <v>1176</v>
      </c>
      <c r="F234" s="9" t="s">
        <v>1177</v>
      </c>
      <c r="G234" s="10">
        <v>46043</v>
      </c>
      <c r="H234" s="10">
        <v>46054</v>
      </c>
      <c r="I234">
        <v>9.3000000000000007</v>
      </c>
      <c r="J234">
        <v>8</v>
      </c>
      <c r="K234" s="9" t="s">
        <v>1321</v>
      </c>
    </row>
    <row r="235" spans="1:11" x14ac:dyDescent="0.35">
      <c r="A235" s="9" t="s">
        <v>1695</v>
      </c>
      <c r="B235" s="9" t="s">
        <v>302</v>
      </c>
      <c r="C235" s="9" t="s">
        <v>55</v>
      </c>
      <c r="D235" s="9" t="s">
        <v>80</v>
      </c>
      <c r="E235" s="9" t="s">
        <v>1137</v>
      </c>
      <c r="F235" s="9" t="s">
        <v>1138</v>
      </c>
      <c r="G235" s="10">
        <v>45731</v>
      </c>
      <c r="H235" s="10">
        <v>45772</v>
      </c>
      <c r="I235">
        <v>3.6</v>
      </c>
      <c r="J235">
        <v>4.4000000000000004</v>
      </c>
      <c r="K235" s="9" t="s">
        <v>1321</v>
      </c>
    </row>
    <row r="236" spans="1:11" x14ac:dyDescent="0.35">
      <c r="A236" s="9" t="s">
        <v>1696</v>
      </c>
      <c r="B236" s="9" t="s">
        <v>304</v>
      </c>
      <c r="C236" s="9" t="s">
        <v>46</v>
      </c>
      <c r="D236" s="9" t="s">
        <v>56</v>
      </c>
      <c r="E236" s="9" t="s">
        <v>1180</v>
      </c>
      <c r="F236" s="9" t="s">
        <v>1181</v>
      </c>
      <c r="G236" s="10">
        <v>46111</v>
      </c>
      <c r="H236" s="10">
        <v>46135</v>
      </c>
      <c r="I236">
        <v>34.9</v>
      </c>
      <c r="J236">
        <v>35.700000000000003</v>
      </c>
      <c r="K236" s="9" t="s">
        <v>1321</v>
      </c>
    </row>
    <row r="237" spans="1:11" x14ac:dyDescent="0.35">
      <c r="A237" s="9" t="s">
        <v>1697</v>
      </c>
      <c r="B237" s="9" t="s">
        <v>306</v>
      </c>
      <c r="C237" s="9" t="s">
        <v>62</v>
      </c>
      <c r="D237" s="9" t="s">
        <v>69</v>
      </c>
      <c r="E237" s="9" t="s">
        <v>1180</v>
      </c>
      <c r="F237" s="9" t="s">
        <v>1181</v>
      </c>
      <c r="G237" s="10">
        <v>45756</v>
      </c>
      <c r="H237" s="10">
        <v>45787</v>
      </c>
      <c r="I237">
        <v>19.600000000000001</v>
      </c>
      <c r="J237">
        <v>21.8</v>
      </c>
      <c r="K237" s="9" t="s">
        <v>1321</v>
      </c>
    </row>
    <row r="238" spans="1:11" x14ac:dyDescent="0.35">
      <c r="A238" s="9" t="s">
        <v>1698</v>
      </c>
      <c r="B238" s="9" t="s">
        <v>308</v>
      </c>
      <c r="C238" s="9" t="s">
        <v>62</v>
      </c>
      <c r="D238" s="9" t="s">
        <v>112</v>
      </c>
      <c r="E238" s="9" t="s">
        <v>1196</v>
      </c>
      <c r="F238" s="9" t="s">
        <v>1197</v>
      </c>
      <c r="G238" s="10">
        <v>45704</v>
      </c>
      <c r="H238" s="10">
        <v>45743</v>
      </c>
      <c r="I238">
        <v>15.3</v>
      </c>
      <c r="J238">
        <v>18.600000000000001</v>
      </c>
      <c r="K238" s="9" t="s">
        <v>1321</v>
      </c>
    </row>
    <row r="239" spans="1:11" x14ac:dyDescent="0.35">
      <c r="A239" s="9" t="s">
        <v>1699</v>
      </c>
      <c r="B239" s="9" t="s">
        <v>308</v>
      </c>
      <c r="C239" s="9" t="s">
        <v>62</v>
      </c>
      <c r="D239" s="9" t="s">
        <v>112</v>
      </c>
      <c r="E239" s="9" t="s">
        <v>1145</v>
      </c>
      <c r="F239" s="9" t="s">
        <v>1146</v>
      </c>
      <c r="G239" s="10">
        <v>45777</v>
      </c>
      <c r="H239" s="10">
        <v>45816</v>
      </c>
      <c r="I239">
        <v>4.5</v>
      </c>
      <c r="J239">
        <v>5.4</v>
      </c>
      <c r="K239" s="9" t="s">
        <v>1321</v>
      </c>
    </row>
    <row r="240" spans="1:11" x14ac:dyDescent="0.35">
      <c r="A240" s="9" t="s">
        <v>1700</v>
      </c>
      <c r="B240" s="9" t="s">
        <v>310</v>
      </c>
      <c r="C240" s="9" t="s">
        <v>55</v>
      </c>
      <c r="D240" s="9" t="s">
        <v>80</v>
      </c>
      <c r="E240" s="9" t="s">
        <v>1143</v>
      </c>
      <c r="F240" s="9" t="s">
        <v>1144</v>
      </c>
      <c r="G240" s="10">
        <v>45672</v>
      </c>
      <c r="H240" s="10"/>
      <c r="I240">
        <v>8.8000000000000007</v>
      </c>
      <c r="K240" s="9" t="s">
        <v>1473</v>
      </c>
    </row>
    <row r="241" spans="1:11" x14ac:dyDescent="0.35">
      <c r="A241" s="9" t="s">
        <v>1701</v>
      </c>
      <c r="B241" s="9" t="s">
        <v>310</v>
      </c>
      <c r="C241" s="9" t="s">
        <v>55</v>
      </c>
      <c r="D241" s="9" t="s">
        <v>80</v>
      </c>
      <c r="E241" s="9" t="s">
        <v>1193</v>
      </c>
      <c r="F241" s="9" t="s">
        <v>1194</v>
      </c>
      <c r="G241" s="10">
        <v>46125</v>
      </c>
      <c r="H241" s="10">
        <v>46146</v>
      </c>
      <c r="I241">
        <v>29.9</v>
      </c>
      <c r="J241">
        <v>29.6</v>
      </c>
      <c r="K241" s="9" t="s">
        <v>1321</v>
      </c>
    </row>
    <row r="242" spans="1:11" x14ac:dyDescent="0.35">
      <c r="A242" s="9" t="s">
        <v>1702</v>
      </c>
      <c r="B242" s="9" t="s">
        <v>310</v>
      </c>
      <c r="C242" s="9" t="s">
        <v>55</v>
      </c>
      <c r="D242" s="9" t="s">
        <v>80</v>
      </c>
      <c r="E242" s="9" t="s">
        <v>1155</v>
      </c>
      <c r="F242" s="9" t="s">
        <v>1156</v>
      </c>
      <c r="G242" s="10">
        <v>45998</v>
      </c>
      <c r="H242" s="10"/>
      <c r="I242">
        <v>16.8</v>
      </c>
      <c r="K242" s="9" t="s">
        <v>1473</v>
      </c>
    </row>
    <row r="243" spans="1:11" x14ac:dyDescent="0.35">
      <c r="A243" s="9" t="s">
        <v>1703</v>
      </c>
      <c r="B243" s="9" t="s">
        <v>310</v>
      </c>
      <c r="C243" s="9" t="s">
        <v>55</v>
      </c>
      <c r="D243" s="9" t="s">
        <v>80</v>
      </c>
      <c r="E243" s="9" t="s">
        <v>1158</v>
      </c>
      <c r="F243" s="9" t="s">
        <v>1159</v>
      </c>
      <c r="G243" s="10">
        <v>45818</v>
      </c>
      <c r="H243" s="10">
        <v>45840</v>
      </c>
      <c r="I243">
        <v>3</v>
      </c>
      <c r="J243">
        <v>3</v>
      </c>
      <c r="K243" s="9" t="s">
        <v>1321</v>
      </c>
    </row>
    <row r="244" spans="1:11" x14ac:dyDescent="0.35">
      <c r="A244" s="9" t="s">
        <v>1704</v>
      </c>
      <c r="B244" s="9" t="s">
        <v>312</v>
      </c>
      <c r="C244" s="9" t="s">
        <v>46</v>
      </c>
      <c r="D244" s="9" t="s">
        <v>47</v>
      </c>
      <c r="E244" s="9" t="s">
        <v>1167</v>
      </c>
      <c r="F244" s="9" t="s">
        <v>1168</v>
      </c>
      <c r="G244" s="10">
        <v>45876</v>
      </c>
      <c r="H244" s="10">
        <v>45928</v>
      </c>
      <c r="I244">
        <v>19.899999999999999</v>
      </c>
      <c r="J244">
        <v>27.4</v>
      </c>
      <c r="K244" s="9" t="s">
        <v>1321</v>
      </c>
    </row>
    <row r="245" spans="1:11" x14ac:dyDescent="0.35">
      <c r="A245" s="9" t="s">
        <v>1705</v>
      </c>
      <c r="B245" s="9" t="s">
        <v>312</v>
      </c>
      <c r="C245" s="9" t="s">
        <v>46</v>
      </c>
      <c r="D245" s="9" t="s">
        <v>47</v>
      </c>
      <c r="E245" s="9" t="s">
        <v>1167</v>
      </c>
      <c r="F245" s="9" t="s">
        <v>1168</v>
      </c>
      <c r="G245" s="10">
        <v>46112</v>
      </c>
      <c r="H245" s="10">
        <v>46124</v>
      </c>
      <c r="I245">
        <v>8.1</v>
      </c>
      <c r="J245">
        <v>7</v>
      </c>
      <c r="K245" s="9" t="s">
        <v>1321</v>
      </c>
    </row>
    <row r="246" spans="1:11" x14ac:dyDescent="0.35">
      <c r="A246" s="9" t="s">
        <v>1706</v>
      </c>
      <c r="B246" s="9" t="s">
        <v>312</v>
      </c>
      <c r="C246" s="9" t="s">
        <v>46</v>
      </c>
      <c r="D246" s="9" t="s">
        <v>47</v>
      </c>
      <c r="E246" s="9" t="s">
        <v>1158</v>
      </c>
      <c r="F246" s="9" t="s">
        <v>1159</v>
      </c>
      <c r="G246" s="10">
        <v>45796</v>
      </c>
      <c r="H246" s="10">
        <v>45842</v>
      </c>
      <c r="I246">
        <v>23.5</v>
      </c>
      <c r="J246">
        <v>30.7</v>
      </c>
      <c r="K246" s="9" t="s">
        <v>1321</v>
      </c>
    </row>
    <row r="247" spans="1:11" x14ac:dyDescent="0.35">
      <c r="A247" s="9" t="s">
        <v>1707</v>
      </c>
      <c r="B247" s="9" t="s">
        <v>314</v>
      </c>
      <c r="C247" s="9" t="s">
        <v>62</v>
      </c>
      <c r="D247" s="9" t="s">
        <v>112</v>
      </c>
      <c r="E247" s="9" t="s">
        <v>1176</v>
      </c>
      <c r="F247" s="9" t="s">
        <v>1177</v>
      </c>
      <c r="G247" s="10">
        <v>46157</v>
      </c>
      <c r="H247" s="10">
        <v>46212</v>
      </c>
      <c r="I247">
        <v>21</v>
      </c>
      <c r="J247">
        <v>29.7</v>
      </c>
      <c r="K247" s="9" t="s">
        <v>1321</v>
      </c>
    </row>
    <row r="248" spans="1:11" x14ac:dyDescent="0.35">
      <c r="A248" s="9" t="s">
        <v>1708</v>
      </c>
      <c r="B248" s="9" t="s">
        <v>314</v>
      </c>
      <c r="C248" s="9" t="s">
        <v>62</v>
      </c>
      <c r="D248" s="9" t="s">
        <v>112</v>
      </c>
      <c r="E248" s="9" t="s">
        <v>1129</v>
      </c>
      <c r="F248" s="9" t="s">
        <v>1130</v>
      </c>
      <c r="G248" s="10">
        <v>46017</v>
      </c>
      <c r="H248" s="10">
        <v>46059</v>
      </c>
      <c r="I248">
        <v>35.799999999999997</v>
      </c>
      <c r="J248">
        <v>44.7</v>
      </c>
      <c r="K248" s="9" t="s">
        <v>1321</v>
      </c>
    </row>
    <row r="249" spans="1:11" x14ac:dyDescent="0.35">
      <c r="A249" s="9" t="s">
        <v>1709</v>
      </c>
      <c r="B249" s="9" t="s">
        <v>314</v>
      </c>
      <c r="C249" s="9" t="s">
        <v>62</v>
      </c>
      <c r="D249" s="9" t="s">
        <v>112</v>
      </c>
      <c r="E249" s="9" t="s">
        <v>1129</v>
      </c>
      <c r="F249" s="9" t="s">
        <v>1130</v>
      </c>
      <c r="G249" s="10">
        <v>46041</v>
      </c>
      <c r="H249" s="10">
        <v>46076</v>
      </c>
      <c r="I249">
        <v>35.299999999999997</v>
      </c>
      <c r="J249">
        <v>40.9</v>
      </c>
      <c r="K249" s="9" t="s">
        <v>1321</v>
      </c>
    </row>
    <row r="250" spans="1:11" x14ac:dyDescent="0.35">
      <c r="A250" s="9" t="s">
        <v>1710</v>
      </c>
      <c r="B250" s="9" t="s">
        <v>316</v>
      </c>
      <c r="C250" s="9" t="s">
        <v>46</v>
      </c>
      <c r="D250" s="9" t="s">
        <v>69</v>
      </c>
      <c r="E250" s="9" t="s">
        <v>1171</v>
      </c>
      <c r="F250" s="9" t="s">
        <v>1172</v>
      </c>
      <c r="G250" s="10">
        <v>45821</v>
      </c>
      <c r="H250" s="10">
        <v>45878</v>
      </c>
      <c r="I250">
        <v>32.5</v>
      </c>
      <c r="J250">
        <v>46.8</v>
      </c>
      <c r="K250" s="9" t="s">
        <v>1321</v>
      </c>
    </row>
    <row r="251" spans="1:11" x14ac:dyDescent="0.35">
      <c r="A251" s="9" t="s">
        <v>1711</v>
      </c>
      <c r="B251" s="9" t="s">
        <v>316</v>
      </c>
      <c r="C251" s="9" t="s">
        <v>46</v>
      </c>
      <c r="D251" s="9" t="s">
        <v>69</v>
      </c>
      <c r="E251" s="9" t="s">
        <v>1129</v>
      </c>
      <c r="F251" s="9" t="s">
        <v>1130</v>
      </c>
      <c r="G251" s="10">
        <v>45900</v>
      </c>
      <c r="H251" s="10">
        <v>45922</v>
      </c>
      <c r="I251">
        <v>6.3</v>
      </c>
      <c r="J251">
        <v>6.3</v>
      </c>
      <c r="K251" s="9" t="s">
        <v>1321</v>
      </c>
    </row>
    <row r="252" spans="1:11" x14ac:dyDescent="0.35">
      <c r="A252" s="9" t="s">
        <v>1712</v>
      </c>
      <c r="B252" s="9" t="s">
        <v>318</v>
      </c>
      <c r="C252" s="9" t="s">
        <v>55</v>
      </c>
      <c r="D252" s="9" t="s">
        <v>112</v>
      </c>
      <c r="E252" s="9" t="s">
        <v>1188</v>
      </c>
      <c r="F252" s="9" t="s">
        <v>1189</v>
      </c>
      <c r="G252" s="10">
        <v>46065</v>
      </c>
      <c r="H252" s="10">
        <v>46113</v>
      </c>
      <c r="I252">
        <v>8</v>
      </c>
      <c r="J252">
        <v>10.6</v>
      </c>
      <c r="K252" s="9" t="s">
        <v>1321</v>
      </c>
    </row>
    <row r="253" spans="1:11" x14ac:dyDescent="0.35">
      <c r="A253" s="9" t="s">
        <v>1713</v>
      </c>
      <c r="B253" s="9" t="s">
        <v>318</v>
      </c>
      <c r="C253" s="9" t="s">
        <v>55</v>
      </c>
      <c r="D253" s="9" t="s">
        <v>112</v>
      </c>
      <c r="E253" s="9" t="s">
        <v>1155</v>
      </c>
      <c r="F253" s="9" t="s">
        <v>1156</v>
      </c>
      <c r="G253" s="10">
        <v>45888</v>
      </c>
      <c r="H253" s="10">
        <v>45929</v>
      </c>
      <c r="I253">
        <v>29.6</v>
      </c>
      <c r="J253">
        <v>36.6</v>
      </c>
      <c r="K253" s="9" t="s">
        <v>1321</v>
      </c>
    </row>
    <row r="254" spans="1:11" x14ac:dyDescent="0.35">
      <c r="A254" s="9" t="s">
        <v>1714</v>
      </c>
      <c r="B254" s="9" t="s">
        <v>320</v>
      </c>
      <c r="C254" s="9" t="s">
        <v>62</v>
      </c>
      <c r="D254" s="9" t="s">
        <v>47</v>
      </c>
      <c r="E254" s="9" t="s">
        <v>1193</v>
      </c>
      <c r="F254" s="9" t="s">
        <v>1194</v>
      </c>
      <c r="G254" s="10">
        <v>46048</v>
      </c>
      <c r="H254" s="10">
        <v>46105</v>
      </c>
      <c r="I254">
        <v>17.5</v>
      </c>
      <c r="J254">
        <v>25.2</v>
      </c>
      <c r="K254" s="9" t="s">
        <v>1321</v>
      </c>
    </row>
    <row r="255" spans="1:11" x14ac:dyDescent="0.35">
      <c r="A255" s="9" t="s">
        <v>1715</v>
      </c>
      <c r="B255" s="9" t="s">
        <v>320</v>
      </c>
      <c r="C255" s="9" t="s">
        <v>62</v>
      </c>
      <c r="D255" s="9" t="s">
        <v>47</v>
      </c>
      <c r="E255" s="9" t="s">
        <v>1183</v>
      </c>
      <c r="F255" s="9" t="s">
        <v>1184</v>
      </c>
      <c r="G255" s="10">
        <v>45736</v>
      </c>
      <c r="H255" s="10">
        <v>45765</v>
      </c>
      <c r="I255">
        <v>6.9</v>
      </c>
      <c r="J255">
        <v>7.5</v>
      </c>
      <c r="K255" s="9" t="s">
        <v>1321</v>
      </c>
    </row>
    <row r="256" spans="1:11" x14ac:dyDescent="0.35">
      <c r="A256" s="9" t="s">
        <v>1716</v>
      </c>
      <c r="B256" s="9" t="s">
        <v>322</v>
      </c>
      <c r="C256" s="9" t="s">
        <v>46</v>
      </c>
      <c r="D256" s="9" t="s">
        <v>63</v>
      </c>
      <c r="E256" s="9" t="s">
        <v>1139</v>
      </c>
      <c r="F256" s="9" t="s">
        <v>1140</v>
      </c>
      <c r="G256" s="10">
        <v>46136</v>
      </c>
      <c r="H256" s="10">
        <v>46146</v>
      </c>
      <c r="I256">
        <v>6.4</v>
      </c>
      <c r="J256">
        <v>5.4</v>
      </c>
      <c r="K256" s="9" t="s">
        <v>1321</v>
      </c>
    </row>
    <row r="257" spans="1:11" x14ac:dyDescent="0.35">
      <c r="A257" s="9" t="s">
        <v>1717</v>
      </c>
      <c r="B257" s="9" t="s">
        <v>324</v>
      </c>
      <c r="C257" s="9" t="s">
        <v>62</v>
      </c>
      <c r="D257" s="9" t="s">
        <v>56</v>
      </c>
      <c r="E257" s="9" t="s">
        <v>1196</v>
      </c>
      <c r="F257" s="9" t="s">
        <v>1197</v>
      </c>
      <c r="G257" s="10">
        <v>46178</v>
      </c>
      <c r="H257" s="10">
        <v>46219</v>
      </c>
      <c r="I257">
        <v>12.9</v>
      </c>
      <c r="J257">
        <v>16</v>
      </c>
      <c r="K257" s="9" t="s">
        <v>1321</v>
      </c>
    </row>
    <row r="258" spans="1:11" x14ac:dyDescent="0.35">
      <c r="A258" s="9" t="s">
        <v>1718</v>
      </c>
      <c r="B258" s="9" t="s">
        <v>324</v>
      </c>
      <c r="C258" s="9" t="s">
        <v>62</v>
      </c>
      <c r="D258" s="9" t="s">
        <v>56</v>
      </c>
      <c r="E258" s="9" t="s">
        <v>1155</v>
      </c>
      <c r="F258" s="9" t="s">
        <v>1156</v>
      </c>
      <c r="G258" s="10">
        <v>46050</v>
      </c>
      <c r="H258" s="10">
        <v>46105</v>
      </c>
      <c r="I258">
        <v>20</v>
      </c>
      <c r="J258">
        <v>28.3</v>
      </c>
      <c r="K258" s="9" t="s">
        <v>1321</v>
      </c>
    </row>
    <row r="259" spans="1:11" x14ac:dyDescent="0.35">
      <c r="A259" s="9" t="s">
        <v>1719</v>
      </c>
      <c r="B259" s="9" t="s">
        <v>324</v>
      </c>
      <c r="C259" s="9" t="s">
        <v>62</v>
      </c>
      <c r="D259" s="9" t="s">
        <v>56</v>
      </c>
      <c r="E259" s="9" t="s">
        <v>1147</v>
      </c>
      <c r="F259" s="9" t="s">
        <v>1148</v>
      </c>
      <c r="G259" s="10">
        <v>45962</v>
      </c>
      <c r="H259" s="10"/>
      <c r="I259">
        <v>2.1</v>
      </c>
      <c r="K259" s="9" t="s">
        <v>1473</v>
      </c>
    </row>
    <row r="260" spans="1:11" x14ac:dyDescent="0.35">
      <c r="A260" s="9" t="s">
        <v>1720</v>
      </c>
      <c r="B260" s="9" t="s">
        <v>326</v>
      </c>
      <c r="C260" s="9" t="s">
        <v>62</v>
      </c>
      <c r="D260" s="9" t="s">
        <v>112</v>
      </c>
      <c r="E260" s="9" t="s">
        <v>1167</v>
      </c>
      <c r="F260" s="9" t="s">
        <v>1168</v>
      </c>
      <c r="G260" s="10">
        <v>45914</v>
      </c>
      <c r="H260" s="10">
        <v>45963</v>
      </c>
      <c r="I260">
        <v>10.199999999999999</v>
      </c>
      <c r="J260">
        <v>13.7</v>
      </c>
      <c r="K260" s="9" t="s">
        <v>1321</v>
      </c>
    </row>
    <row r="261" spans="1:11" x14ac:dyDescent="0.35">
      <c r="A261" s="9" t="s">
        <v>1721</v>
      </c>
      <c r="B261" s="9" t="s">
        <v>328</v>
      </c>
      <c r="C261" s="9" t="s">
        <v>55</v>
      </c>
      <c r="D261" s="9" t="s">
        <v>80</v>
      </c>
      <c r="E261" s="9" t="s">
        <v>1162</v>
      </c>
      <c r="F261" s="9" t="s">
        <v>1163</v>
      </c>
      <c r="G261" s="10">
        <v>45984</v>
      </c>
      <c r="H261" s="10">
        <v>46009</v>
      </c>
      <c r="I261">
        <v>25.5</v>
      </c>
      <c r="J261">
        <v>26.3</v>
      </c>
      <c r="K261" s="9" t="s">
        <v>1321</v>
      </c>
    </row>
    <row r="262" spans="1:11" x14ac:dyDescent="0.35">
      <c r="A262" s="9" t="s">
        <v>1722</v>
      </c>
      <c r="B262" s="9" t="s">
        <v>328</v>
      </c>
      <c r="C262" s="9" t="s">
        <v>55</v>
      </c>
      <c r="D262" s="9" t="s">
        <v>80</v>
      </c>
      <c r="E262" s="9" t="s">
        <v>1176</v>
      </c>
      <c r="F262" s="9" t="s">
        <v>1177</v>
      </c>
      <c r="G262" s="10">
        <v>45935</v>
      </c>
      <c r="H262" s="10">
        <v>45949</v>
      </c>
      <c r="I262">
        <v>23.4</v>
      </c>
      <c r="J262">
        <v>21</v>
      </c>
      <c r="K262" s="9" t="s">
        <v>1321</v>
      </c>
    </row>
    <row r="263" spans="1:11" x14ac:dyDescent="0.35">
      <c r="A263" s="9" t="s">
        <v>1723</v>
      </c>
      <c r="B263" s="9" t="s">
        <v>328</v>
      </c>
      <c r="C263" s="9" t="s">
        <v>55</v>
      </c>
      <c r="D263" s="9" t="s">
        <v>80</v>
      </c>
      <c r="E263" s="9" t="s">
        <v>1196</v>
      </c>
      <c r="F263" s="9" t="s">
        <v>1197</v>
      </c>
      <c r="G263" s="10">
        <v>45998</v>
      </c>
      <c r="H263" s="10">
        <v>46012</v>
      </c>
      <c r="I263">
        <v>34.4</v>
      </c>
      <c r="J263">
        <v>31.1</v>
      </c>
      <c r="K263" s="9" t="s">
        <v>1321</v>
      </c>
    </row>
    <row r="264" spans="1:11" x14ac:dyDescent="0.35">
      <c r="A264" s="9" t="s">
        <v>1724</v>
      </c>
      <c r="B264" s="9" t="s">
        <v>330</v>
      </c>
      <c r="C264" s="9" t="s">
        <v>62</v>
      </c>
      <c r="D264" s="9" t="s">
        <v>69</v>
      </c>
      <c r="E264" s="9" t="s">
        <v>1129</v>
      </c>
      <c r="F264" s="9" t="s">
        <v>1130</v>
      </c>
      <c r="G264" s="10">
        <v>45835</v>
      </c>
      <c r="H264" s="10">
        <v>45847</v>
      </c>
      <c r="I264">
        <v>14.9</v>
      </c>
      <c r="J264">
        <v>13</v>
      </c>
      <c r="K264" s="9" t="s">
        <v>1321</v>
      </c>
    </row>
    <row r="265" spans="1:11" x14ac:dyDescent="0.35">
      <c r="A265" s="9" t="s">
        <v>1725</v>
      </c>
      <c r="B265" s="9" t="s">
        <v>330</v>
      </c>
      <c r="C265" s="9" t="s">
        <v>62</v>
      </c>
      <c r="D265" s="9" t="s">
        <v>69</v>
      </c>
      <c r="E265" s="9" t="s">
        <v>1183</v>
      </c>
      <c r="F265" s="9" t="s">
        <v>1184</v>
      </c>
      <c r="G265" s="10">
        <v>46132</v>
      </c>
      <c r="H265" s="10">
        <v>46135</v>
      </c>
      <c r="I265">
        <v>24.2</v>
      </c>
      <c r="J265">
        <v>18.399999999999999</v>
      </c>
      <c r="K265" s="9" t="s">
        <v>1321</v>
      </c>
    </row>
    <row r="266" spans="1:11" x14ac:dyDescent="0.35">
      <c r="A266" s="9" t="s">
        <v>1726</v>
      </c>
      <c r="B266" s="9" t="s">
        <v>332</v>
      </c>
      <c r="C266" s="9" t="s">
        <v>55</v>
      </c>
      <c r="D266" s="9" t="s">
        <v>112</v>
      </c>
      <c r="E266" s="9" t="s">
        <v>1176</v>
      </c>
      <c r="F266" s="9" t="s">
        <v>1177</v>
      </c>
      <c r="G266" s="10">
        <v>45969</v>
      </c>
      <c r="H266" s="10">
        <v>46020</v>
      </c>
      <c r="I266">
        <v>17.5</v>
      </c>
      <c r="J266">
        <v>23.9</v>
      </c>
      <c r="K266" s="9" t="s">
        <v>1321</v>
      </c>
    </row>
    <row r="267" spans="1:11" x14ac:dyDescent="0.35">
      <c r="A267" s="9" t="s">
        <v>1727</v>
      </c>
      <c r="B267" s="9" t="s">
        <v>332</v>
      </c>
      <c r="C267" s="9" t="s">
        <v>55</v>
      </c>
      <c r="D267" s="9" t="s">
        <v>112</v>
      </c>
      <c r="E267" s="9" t="s">
        <v>1143</v>
      </c>
      <c r="F267" s="9" t="s">
        <v>1144</v>
      </c>
      <c r="G267" s="10">
        <v>45665</v>
      </c>
      <c r="H267" s="10">
        <v>45703</v>
      </c>
      <c r="I267">
        <v>31.5</v>
      </c>
      <c r="J267">
        <v>37.9</v>
      </c>
      <c r="K267" s="9" t="s">
        <v>1321</v>
      </c>
    </row>
    <row r="268" spans="1:11" x14ac:dyDescent="0.35">
      <c r="A268" s="9" t="s">
        <v>1728</v>
      </c>
      <c r="B268" s="9" t="s">
        <v>332</v>
      </c>
      <c r="C268" s="9" t="s">
        <v>55</v>
      </c>
      <c r="D268" s="9" t="s">
        <v>112</v>
      </c>
      <c r="E268" s="9" t="s">
        <v>1176</v>
      </c>
      <c r="F268" s="9" t="s">
        <v>1177</v>
      </c>
      <c r="G268" s="10">
        <v>45752</v>
      </c>
      <c r="H268" s="10">
        <v>45794</v>
      </c>
      <c r="I268">
        <v>15.6</v>
      </c>
      <c r="J268">
        <v>19.5</v>
      </c>
      <c r="K268" s="9" t="s">
        <v>1321</v>
      </c>
    </row>
    <row r="269" spans="1:11" x14ac:dyDescent="0.35">
      <c r="A269" s="9" t="s">
        <v>1729</v>
      </c>
      <c r="B269" s="9" t="s">
        <v>334</v>
      </c>
      <c r="C269" s="9" t="s">
        <v>46</v>
      </c>
      <c r="D269" s="9" t="s">
        <v>112</v>
      </c>
      <c r="E269" s="9" t="s">
        <v>1176</v>
      </c>
      <c r="F269" s="9" t="s">
        <v>1177</v>
      </c>
      <c r="G269" s="10">
        <v>46127</v>
      </c>
      <c r="H269" s="10">
        <v>46177</v>
      </c>
      <c r="I269">
        <v>14</v>
      </c>
      <c r="J269">
        <v>19</v>
      </c>
      <c r="K269" s="9" t="s">
        <v>1321</v>
      </c>
    </row>
    <row r="270" spans="1:11" x14ac:dyDescent="0.35">
      <c r="A270" s="9" t="s">
        <v>1730</v>
      </c>
      <c r="B270" s="9" t="s">
        <v>336</v>
      </c>
      <c r="C270" s="9" t="s">
        <v>46</v>
      </c>
      <c r="D270" s="9" t="s">
        <v>80</v>
      </c>
      <c r="E270" s="9" t="s">
        <v>1188</v>
      </c>
      <c r="F270" s="9" t="s">
        <v>1189</v>
      </c>
      <c r="G270" s="10">
        <v>46038</v>
      </c>
      <c r="H270" s="10"/>
      <c r="I270">
        <v>6.6</v>
      </c>
      <c r="K270" s="9" t="s">
        <v>1473</v>
      </c>
    </row>
    <row r="271" spans="1:11" x14ac:dyDescent="0.35">
      <c r="A271" s="9" t="s">
        <v>1731</v>
      </c>
      <c r="B271" s="9" t="s">
        <v>336</v>
      </c>
      <c r="C271" s="9" t="s">
        <v>46</v>
      </c>
      <c r="D271" s="9" t="s">
        <v>80</v>
      </c>
      <c r="E271" s="9" t="s">
        <v>1139</v>
      </c>
      <c r="F271" s="9" t="s">
        <v>1140</v>
      </c>
      <c r="G271" s="10">
        <v>46127</v>
      </c>
      <c r="H271" s="10">
        <v>46174</v>
      </c>
      <c r="I271">
        <v>26.6</v>
      </c>
      <c r="J271">
        <v>34.799999999999997</v>
      </c>
      <c r="K271" s="9" t="s">
        <v>1321</v>
      </c>
    </row>
    <row r="272" spans="1:11" x14ac:dyDescent="0.35">
      <c r="A272" s="9" t="s">
        <v>1732</v>
      </c>
      <c r="B272" s="9" t="s">
        <v>338</v>
      </c>
      <c r="C272" s="9" t="s">
        <v>46</v>
      </c>
      <c r="D272" s="9" t="s">
        <v>76</v>
      </c>
      <c r="E272" s="9" t="s">
        <v>1143</v>
      </c>
      <c r="F272" s="9" t="s">
        <v>1144</v>
      </c>
      <c r="G272" s="10">
        <v>45784</v>
      </c>
      <c r="H272" s="10">
        <v>45778</v>
      </c>
      <c r="I272">
        <v>12.9</v>
      </c>
      <c r="J272">
        <v>14</v>
      </c>
      <c r="K272" s="9" t="s">
        <v>1321</v>
      </c>
    </row>
    <row r="273" spans="1:11" x14ac:dyDescent="0.35">
      <c r="A273" s="9" t="s">
        <v>1733</v>
      </c>
      <c r="B273" s="9" t="s">
        <v>340</v>
      </c>
      <c r="C273" s="9" t="s">
        <v>62</v>
      </c>
      <c r="D273" s="9" t="s">
        <v>112</v>
      </c>
      <c r="E273" s="9" t="s">
        <v>1176</v>
      </c>
      <c r="F273" s="9" t="s">
        <v>1177</v>
      </c>
      <c r="G273" s="10">
        <v>45988</v>
      </c>
      <c r="H273" s="10">
        <v>45992</v>
      </c>
      <c r="I273">
        <v>35.700000000000003</v>
      </c>
      <c r="J273">
        <v>27.3</v>
      </c>
      <c r="K273" s="9" t="s">
        <v>1321</v>
      </c>
    </row>
    <row r="274" spans="1:11" x14ac:dyDescent="0.35">
      <c r="A274" s="9" t="s">
        <v>1734</v>
      </c>
      <c r="B274" s="9" t="s">
        <v>340</v>
      </c>
      <c r="C274" s="9" t="s">
        <v>62</v>
      </c>
      <c r="D274" s="9" t="s">
        <v>112</v>
      </c>
      <c r="E274" s="9" t="s">
        <v>1193</v>
      </c>
      <c r="F274" s="9" t="s">
        <v>1194</v>
      </c>
      <c r="G274" s="10">
        <v>45669</v>
      </c>
      <c r="H274" s="10">
        <v>45680</v>
      </c>
      <c r="I274">
        <v>14</v>
      </c>
      <c r="J274">
        <v>12.1</v>
      </c>
      <c r="K274" s="9" t="s">
        <v>1321</v>
      </c>
    </row>
    <row r="275" spans="1:11" x14ac:dyDescent="0.35">
      <c r="A275" s="9" t="s">
        <v>1735</v>
      </c>
      <c r="B275" s="9" t="s">
        <v>342</v>
      </c>
      <c r="C275" s="9" t="s">
        <v>55</v>
      </c>
      <c r="D275" s="9" t="s">
        <v>76</v>
      </c>
      <c r="E275" s="9" t="s">
        <v>1180</v>
      </c>
      <c r="F275" s="9" t="s">
        <v>1181</v>
      </c>
      <c r="G275" s="10">
        <v>45709</v>
      </c>
      <c r="H275" s="10">
        <v>45719</v>
      </c>
      <c r="I275">
        <v>32.1</v>
      </c>
      <c r="J275">
        <v>27.3</v>
      </c>
      <c r="K275" s="9" t="s">
        <v>1321</v>
      </c>
    </row>
    <row r="276" spans="1:11" x14ac:dyDescent="0.35">
      <c r="A276" s="9" t="s">
        <v>1736</v>
      </c>
      <c r="B276" s="9" t="s">
        <v>344</v>
      </c>
      <c r="C276" s="9" t="s">
        <v>46</v>
      </c>
      <c r="D276" s="9" t="s">
        <v>69</v>
      </c>
      <c r="E276" s="9" t="s">
        <v>1155</v>
      </c>
      <c r="F276" s="9" t="s">
        <v>1156</v>
      </c>
      <c r="G276" s="10">
        <v>45800</v>
      </c>
      <c r="H276" s="10">
        <v>45831</v>
      </c>
      <c r="I276">
        <v>25.3</v>
      </c>
      <c r="J276">
        <v>28.2</v>
      </c>
      <c r="K276" s="9" t="s">
        <v>1321</v>
      </c>
    </row>
    <row r="277" spans="1:11" x14ac:dyDescent="0.35">
      <c r="A277" s="9" t="s">
        <v>1737</v>
      </c>
      <c r="B277" s="9" t="s">
        <v>346</v>
      </c>
      <c r="C277" s="9" t="s">
        <v>46</v>
      </c>
      <c r="D277" s="9" t="s">
        <v>56</v>
      </c>
      <c r="E277" s="9" t="s">
        <v>1190</v>
      </c>
      <c r="F277" s="9" t="s">
        <v>1191</v>
      </c>
      <c r="G277" s="10">
        <v>46104</v>
      </c>
      <c r="H277" s="10">
        <v>46114</v>
      </c>
      <c r="I277">
        <v>8.3000000000000007</v>
      </c>
      <c r="J277">
        <v>7</v>
      </c>
      <c r="K277" s="9" t="s">
        <v>1321</v>
      </c>
    </row>
    <row r="278" spans="1:11" x14ac:dyDescent="0.35">
      <c r="A278" s="9" t="s">
        <v>1738</v>
      </c>
      <c r="B278" s="9" t="s">
        <v>346</v>
      </c>
      <c r="C278" s="9" t="s">
        <v>46</v>
      </c>
      <c r="D278" s="9" t="s">
        <v>56</v>
      </c>
      <c r="E278" s="9" t="s">
        <v>1171</v>
      </c>
      <c r="F278" s="9" t="s">
        <v>1172</v>
      </c>
      <c r="G278" s="10">
        <v>45717</v>
      </c>
      <c r="H278" s="10">
        <v>45725</v>
      </c>
      <c r="I278">
        <v>21.7</v>
      </c>
      <c r="J278">
        <v>17.899999999999999</v>
      </c>
      <c r="K278" s="9" t="s">
        <v>1321</v>
      </c>
    </row>
    <row r="279" spans="1:11" x14ac:dyDescent="0.35">
      <c r="A279" s="9" t="s">
        <v>1739</v>
      </c>
      <c r="B279" s="9" t="s">
        <v>348</v>
      </c>
      <c r="C279" s="9" t="s">
        <v>46</v>
      </c>
      <c r="D279" s="9" t="s">
        <v>80</v>
      </c>
      <c r="E279" s="9" t="s">
        <v>1180</v>
      </c>
      <c r="F279" s="9" t="s">
        <v>1181</v>
      </c>
      <c r="G279" s="10">
        <v>46095</v>
      </c>
      <c r="H279" s="10"/>
      <c r="I279">
        <v>3.5</v>
      </c>
      <c r="K279" s="9" t="s">
        <v>1473</v>
      </c>
    </row>
    <row r="280" spans="1:11" x14ac:dyDescent="0.35">
      <c r="A280" s="9" t="s">
        <v>1740</v>
      </c>
      <c r="B280" s="9" t="s">
        <v>350</v>
      </c>
      <c r="C280" s="9" t="s">
        <v>55</v>
      </c>
      <c r="D280" s="9" t="s">
        <v>56</v>
      </c>
      <c r="E280" s="9" t="s">
        <v>1143</v>
      </c>
      <c r="F280" s="9" t="s">
        <v>1144</v>
      </c>
      <c r="G280" s="10">
        <v>46188</v>
      </c>
      <c r="H280" s="10">
        <v>46207</v>
      </c>
      <c r="I280">
        <v>15.3</v>
      </c>
      <c r="J280">
        <v>14.7</v>
      </c>
      <c r="K280" s="9" t="s">
        <v>1321</v>
      </c>
    </row>
    <row r="281" spans="1:11" x14ac:dyDescent="0.35">
      <c r="A281" s="9" t="s">
        <v>1741</v>
      </c>
      <c r="B281" s="9" t="s">
        <v>350</v>
      </c>
      <c r="C281" s="9" t="s">
        <v>55</v>
      </c>
      <c r="D281" s="9" t="s">
        <v>56</v>
      </c>
      <c r="E281" s="9" t="s">
        <v>1196</v>
      </c>
      <c r="F281" s="9" t="s">
        <v>1197</v>
      </c>
      <c r="G281" s="10">
        <v>45683</v>
      </c>
      <c r="H281" s="10">
        <v>45697</v>
      </c>
      <c r="I281">
        <v>21.7</v>
      </c>
      <c r="J281">
        <v>19.399999999999999</v>
      </c>
      <c r="K281" s="9" t="s">
        <v>1321</v>
      </c>
    </row>
    <row r="282" spans="1:11" x14ac:dyDescent="0.35">
      <c r="A282" s="9" t="s">
        <v>1742</v>
      </c>
      <c r="B282" s="9" t="s">
        <v>350</v>
      </c>
      <c r="C282" s="9" t="s">
        <v>55</v>
      </c>
      <c r="D282" s="9" t="s">
        <v>56</v>
      </c>
      <c r="E282" s="9" t="s">
        <v>1139</v>
      </c>
      <c r="F282" s="9" t="s">
        <v>1140</v>
      </c>
      <c r="G282" s="10">
        <v>45736</v>
      </c>
      <c r="H282" s="10">
        <v>45767</v>
      </c>
      <c r="I282">
        <v>13.1</v>
      </c>
      <c r="J282">
        <v>14.6</v>
      </c>
      <c r="K282" s="9" t="s">
        <v>1321</v>
      </c>
    </row>
    <row r="283" spans="1:11" x14ac:dyDescent="0.35">
      <c r="A283" s="9" t="s">
        <v>1743</v>
      </c>
      <c r="B283" s="9" t="s">
        <v>352</v>
      </c>
      <c r="C283" s="9" t="s">
        <v>46</v>
      </c>
      <c r="D283" s="9" t="s">
        <v>93</v>
      </c>
      <c r="E283" s="9" t="s">
        <v>1211</v>
      </c>
      <c r="F283" s="9" t="s">
        <v>1212</v>
      </c>
      <c r="G283" s="10">
        <v>45766</v>
      </c>
      <c r="H283" s="10">
        <v>45799</v>
      </c>
      <c r="I283">
        <v>31</v>
      </c>
      <c r="J283">
        <v>35.4</v>
      </c>
      <c r="K283" s="9" t="s">
        <v>1321</v>
      </c>
    </row>
    <row r="284" spans="1:11" x14ac:dyDescent="0.35">
      <c r="A284" s="9" t="s">
        <v>1744</v>
      </c>
      <c r="B284" s="9" t="s">
        <v>352</v>
      </c>
      <c r="C284" s="9" t="s">
        <v>46</v>
      </c>
      <c r="D284" s="9" t="s">
        <v>93</v>
      </c>
      <c r="E284" s="9" t="s">
        <v>1183</v>
      </c>
      <c r="F284" s="9" t="s">
        <v>1184</v>
      </c>
      <c r="G284" s="10">
        <v>45704</v>
      </c>
      <c r="H284" s="10">
        <v>45761</v>
      </c>
      <c r="I284">
        <v>5.5</v>
      </c>
      <c r="J284">
        <v>7.9</v>
      </c>
      <c r="K284" s="9" t="s">
        <v>1321</v>
      </c>
    </row>
    <row r="285" spans="1:11" x14ac:dyDescent="0.35">
      <c r="A285" s="9" t="s">
        <v>1745</v>
      </c>
      <c r="B285" s="9" t="s">
        <v>354</v>
      </c>
      <c r="C285" s="9" t="s">
        <v>62</v>
      </c>
      <c r="D285" s="9" t="s">
        <v>93</v>
      </c>
      <c r="E285" s="9" t="s">
        <v>1167</v>
      </c>
      <c r="F285" s="9" t="s">
        <v>1168</v>
      </c>
      <c r="G285" s="10">
        <v>45805</v>
      </c>
      <c r="H285" s="10">
        <v>45844</v>
      </c>
      <c r="I285">
        <v>9.8000000000000007</v>
      </c>
      <c r="J285">
        <v>11.8</v>
      </c>
      <c r="K285" s="9" t="s">
        <v>1321</v>
      </c>
    </row>
    <row r="286" spans="1:11" x14ac:dyDescent="0.35">
      <c r="A286" s="9" t="s">
        <v>1746</v>
      </c>
      <c r="B286" s="9" t="s">
        <v>354</v>
      </c>
      <c r="C286" s="9" t="s">
        <v>62</v>
      </c>
      <c r="D286" s="9" t="s">
        <v>93</v>
      </c>
      <c r="E286" s="9" t="s">
        <v>1137</v>
      </c>
      <c r="F286" s="9" t="s">
        <v>1138</v>
      </c>
      <c r="G286" s="10">
        <v>45832</v>
      </c>
      <c r="H286" s="10">
        <v>45875</v>
      </c>
      <c r="I286">
        <v>14.8</v>
      </c>
      <c r="J286">
        <v>18.7</v>
      </c>
      <c r="K286" s="9" t="s">
        <v>1321</v>
      </c>
    </row>
    <row r="287" spans="1:11" x14ac:dyDescent="0.35">
      <c r="A287" s="9" t="s">
        <v>1747</v>
      </c>
      <c r="B287" s="9" t="s">
        <v>354</v>
      </c>
      <c r="C287" s="9" t="s">
        <v>62</v>
      </c>
      <c r="D287" s="9" t="s">
        <v>93</v>
      </c>
      <c r="E287" s="9" t="s">
        <v>1143</v>
      </c>
      <c r="F287" s="9" t="s">
        <v>1144</v>
      </c>
      <c r="G287" s="10">
        <v>45906</v>
      </c>
      <c r="H287" s="10">
        <v>45944</v>
      </c>
      <c r="I287">
        <v>12.3</v>
      </c>
      <c r="J287">
        <v>14.8</v>
      </c>
      <c r="K287" s="9" t="s">
        <v>1321</v>
      </c>
    </row>
    <row r="288" spans="1:11" x14ac:dyDescent="0.35">
      <c r="A288" s="9" t="s">
        <v>1748</v>
      </c>
      <c r="B288" s="9" t="s">
        <v>356</v>
      </c>
      <c r="C288" s="9" t="s">
        <v>46</v>
      </c>
      <c r="D288" s="9" t="s">
        <v>76</v>
      </c>
      <c r="E288" s="9" t="s">
        <v>1155</v>
      </c>
      <c r="F288" s="9" t="s">
        <v>1156</v>
      </c>
      <c r="G288" s="10">
        <v>45692</v>
      </c>
      <c r="H288" s="10">
        <v>45724</v>
      </c>
      <c r="I288">
        <v>16.399999999999999</v>
      </c>
      <c r="J288">
        <v>18.600000000000001</v>
      </c>
      <c r="K288" s="9" t="s">
        <v>1321</v>
      </c>
    </row>
    <row r="289" spans="1:11" x14ac:dyDescent="0.35">
      <c r="A289" s="9" t="s">
        <v>1749</v>
      </c>
      <c r="B289" s="9" t="s">
        <v>356</v>
      </c>
      <c r="C289" s="9" t="s">
        <v>46</v>
      </c>
      <c r="D289" s="9" t="s">
        <v>76</v>
      </c>
      <c r="E289" s="9" t="s">
        <v>1183</v>
      </c>
      <c r="F289" s="9" t="s">
        <v>1184</v>
      </c>
      <c r="G289" s="10">
        <v>45853</v>
      </c>
      <c r="H289" s="10">
        <v>45877</v>
      </c>
      <c r="I289">
        <v>33.1</v>
      </c>
      <c r="J289">
        <v>33.9</v>
      </c>
      <c r="K289" s="9" t="s">
        <v>1321</v>
      </c>
    </row>
    <row r="290" spans="1:11" x14ac:dyDescent="0.35">
      <c r="A290" s="9" t="s">
        <v>1750</v>
      </c>
      <c r="B290" s="9" t="s">
        <v>358</v>
      </c>
      <c r="C290" s="9" t="s">
        <v>55</v>
      </c>
      <c r="D290" s="9" t="s">
        <v>56</v>
      </c>
      <c r="E290" s="9" t="s">
        <v>1183</v>
      </c>
      <c r="F290" s="9" t="s">
        <v>1184</v>
      </c>
      <c r="G290" s="10">
        <v>46092</v>
      </c>
      <c r="H290" s="10">
        <v>46135</v>
      </c>
      <c r="I290">
        <v>7.8</v>
      </c>
      <c r="J290">
        <v>9.9</v>
      </c>
      <c r="K290" s="9" t="s">
        <v>1321</v>
      </c>
    </row>
    <row r="291" spans="1:11" x14ac:dyDescent="0.35">
      <c r="A291" s="9" t="s">
        <v>1751</v>
      </c>
      <c r="B291" s="9" t="s">
        <v>360</v>
      </c>
      <c r="C291" s="9" t="s">
        <v>55</v>
      </c>
      <c r="D291" s="9" t="s">
        <v>112</v>
      </c>
      <c r="E291" s="9" t="s">
        <v>1180</v>
      </c>
      <c r="F291" s="9" t="s">
        <v>1181</v>
      </c>
      <c r="G291" s="10">
        <v>45875</v>
      </c>
      <c r="H291" s="10">
        <v>45883</v>
      </c>
      <c r="I291">
        <v>4</v>
      </c>
      <c r="J291">
        <v>3.3</v>
      </c>
      <c r="K291" s="9" t="s">
        <v>1321</v>
      </c>
    </row>
    <row r="292" spans="1:11" x14ac:dyDescent="0.35">
      <c r="A292" s="9" t="s">
        <v>1752</v>
      </c>
      <c r="B292" s="9" t="s">
        <v>360</v>
      </c>
      <c r="C292" s="9" t="s">
        <v>55</v>
      </c>
      <c r="D292" s="9" t="s">
        <v>112</v>
      </c>
      <c r="E292" s="9" t="s">
        <v>1143</v>
      </c>
      <c r="F292" s="9" t="s">
        <v>1144</v>
      </c>
      <c r="G292" s="10">
        <v>46114</v>
      </c>
      <c r="H292" s="10">
        <v>46123</v>
      </c>
      <c r="I292">
        <v>20.8</v>
      </c>
      <c r="J292">
        <v>17.3</v>
      </c>
      <c r="K292" s="9" t="s">
        <v>1321</v>
      </c>
    </row>
    <row r="293" spans="1:11" x14ac:dyDescent="0.35">
      <c r="A293" s="9" t="s">
        <v>1753</v>
      </c>
      <c r="B293" s="9" t="s">
        <v>362</v>
      </c>
      <c r="C293" s="9" t="s">
        <v>46</v>
      </c>
      <c r="D293" s="9" t="s">
        <v>56</v>
      </c>
      <c r="E293" s="9" t="s">
        <v>1193</v>
      </c>
      <c r="F293" s="9" t="s">
        <v>1194</v>
      </c>
      <c r="G293" s="10">
        <v>45949</v>
      </c>
      <c r="H293" s="10">
        <v>45969</v>
      </c>
      <c r="I293">
        <v>12.9</v>
      </c>
      <c r="J293">
        <v>12.5</v>
      </c>
      <c r="K293" s="9" t="s">
        <v>1321</v>
      </c>
    </row>
    <row r="294" spans="1:11" x14ac:dyDescent="0.35">
      <c r="A294" s="9" t="s">
        <v>1754</v>
      </c>
      <c r="B294" s="9" t="s">
        <v>362</v>
      </c>
      <c r="C294" s="9" t="s">
        <v>46</v>
      </c>
      <c r="D294" s="9" t="s">
        <v>56</v>
      </c>
      <c r="E294" s="9" t="s">
        <v>1143</v>
      </c>
      <c r="F294" s="9" t="s">
        <v>1144</v>
      </c>
      <c r="G294" s="10">
        <v>45815</v>
      </c>
      <c r="H294" s="10">
        <v>45846</v>
      </c>
      <c r="I294">
        <v>35.9</v>
      </c>
      <c r="J294">
        <v>39.9</v>
      </c>
      <c r="K294" s="9" t="s">
        <v>1321</v>
      </c>
    </row>
    <row r="295" spans="1:11" x14ac:dyDescent="0.35">
      <c r="A295" s="9" t="s">
        <v>1755</v>
      </c>
      <c r="B295" s="9" t="s">
        <v>362</v>
      </c>
      <c r="C295" s="9" t="s">
        <v>46</v>
      </c>
      <c r="D295" s="9" t="s">
        <v>56</v>
      </c>
      <c r="E295" s="9" t="s">
        <v>1139</v>
      </c>
      <c r="F295" s="9" t="s">
        <v>1140</v>
      </c>
      <c r="G295" s="10">
        <v>46087</v>
      </c>
      <c r="H295" s="10">
        <v>46124</v>
      </c>
      <c r="I295">
        <v>20.100000000000001</v>
      </c>
      <c r="J295">
        <v>24</v>
      </c>
      <c r="K295" s="9" t="s">
        <v>1321</v>
      </c>
    </row>
    <row r="296" spans="1:11" x14ac:dyDescent="0.35">
      <c r="A296" s="9" t="s">
        <v>1756</v>
      </c>
      <c r="B296" s="9" t="s">
        <v>364</v>
      </c>
      <c r="C296" s="9" t="s">
        <v>55</v>
      </c>
      <c r="D296" s="9" t="s">
        <v>63</v>
      </c>
      <c r="E296" s="9" t="s">
        <v>1171</v>
      </c>
      <c r="F296" s="9" t="s">
        <v>1172</v>
      </c>
      <c r="G296" s="10">
        <v>45850</v>
      </c>
      <c r="H296" s="10">
        <v>45888</v>
      </c>
      <c r="I296">
        <v>17.899999999999999</v>
      </c>
      <c r="J296">
        <v>21.6</v>
      </c>
      <c r="K296" s="9" t="s">
        <v>1321</v>
      </c>
    </row>
    <row r="297" spans="1:11" x14ac:dyDescent="0.35">
      <c r="A297" s="9" t="s">
        <v>1757</v>
      </c>
      <c r="B297" s="9" t="s">
        <v>366</v>
      </c>
      <c r="C297" s="9" t="s">
        <v>62</v>
      </c>
      <c r="D297" s="9" t="s">
        <v>69</v>
      </c>
      <c r="E297" s="9" t="s">
        <v>1196</v>
      </c>
      <c r="F297" s="9" t="s">
        <v>1197</v>
      </c>
      <c r="G297" s="10">
        <v>45800</v>
      </c>
      <c r="H297" s="10">
        <v>45831</v>
      </c>
      <c r="I297">
        <v>8</v>
      </c>
      <c r="J297">
        <v>9</v>
      </c>
      <c r="K297" s="9" t="s">
        <v>1321</v>
      </c>
    </row>
    <row r="298" spans="1:11" x14ac:dyDescent="0.35">
      <c r="A298" s="9" t="s">
        <v>1758</v>
      </c>
      <c r="B298" s="9" t="s">
        <v>368</v>
      </c>
      <c r="C298" s="9" t="s">
        <v>55</v>
      </c>
      <c r="D298" s="9" t="s">
        <v>93</v>
      </c>
      <c r="E298" s="9" t="s">
        <v>1129</v>
      </c>
      <c r="F298" s="9" t="s">
        <v>1130</v>
      </c>
      <c r="G298" s="10">
        <v>46094</v>
      </c>
      <c r="H298" s="10">
        <v>46130</v>
      </c>
      <c r="I298">
        <v>9</v>
      </c>
      <c r="J298">
        <v>10.6</v>
      </c>
      <c r="K298" s="9" t="s">
        <v>1321</v>
      </c>
    </row>
    <row r="299" spans="1:11" x14ac:dyDescent="0.35">
      <c r="A299" s="9" t="s">
        <v>1759</v>
      </c>
      <c r="B299" s="9" t="s">
        <v>368</v>
      </c>
      <c r="C299" s="9" t="s">
        <v>55</v>
      </c>
      <c r="D299" s="9" t="s">
        <v>93</v>
      </c>
      <c r="E299" s="9" t="s">
        <v>1190</v>
      </c>
      <c r="F299" s="9" t="s">
        <v>1191</v>
      </c>
      <c r="G299" s="10">
        <v>45670</v>
      </c>
      <c r="H299" s="10">
        <v>45701</v>
      </c>
      <c r="I299">
        <v>16.5</v>
      </c>
      <c r="J299">
        <v>18.399999999999999</v>
      </c>
      <c r="K299" s="9" t="s">
        <v>1321</v>
      </c>
    </row>
    <row r="300" spans="1:11" x14ac:dyDescent="0.35">
      <c r="A300" s="9" t="s">
        <v>1760</v>
      </c>
      <c r="B300" s="9" t="s">
        <v>370</v>
      </c>
      <c r="C300" s="9" t="s">
        <v>46</v>
      </c>
      <c r="D300" s="9" t="s">
        <v>56</v>
      </c>
      <c r="E300" s="9" t="s">
        <v>1167</v>
      </c>
      <c r="F300" s="9" t="s">
        <v>1168</v>
      </c>
      <c r="G300" s="10">
        <v>45787</v>
      </c>
      <c r="H300" s="10">
        <v>45821</v>
      </c>
      <c r="I300">
        <v>20.5</v>
      </c>
      <c r="J300">
        <v>23.5</v>
      </c>
      <c r="K300" s="9" t="s">
        <v>1321</v>
      </c>
    </row>
    <row r="301" spans="1:11" x14ac:dyDescent="0.35">
      <c r="A301" s="9" t="s">
        <v>1761</v>
      </c>
      <c r="B301" s="9" t="s">
        <v>372</v>
      </c>
      <c r="C301" s="9" t="s">
        <v>46</v>
      </c>
      <c r="D301" s="9" t="s">
        <v>56</v>
      </c>
      <c r="E301" s="9" t="s">
        <v>1193</v>
      </c>
      <c r="F301" s="9" t="s">
        <v>1194</v>
      </c>
      <c r="G301" s="10">
        <v>45830</v>
      </c>
      <c r="H301" s="10">
        <v>45880</v>
      </c>
      <c r="I301">
        <v>17.8</v>
      </c>
      <c r="J301">
        <v>24</v>
      </c>
      <c r="K301" s="9" t="s">
        <v>1321</v>
      </c>
    </row>
    <row r="302" spans="1:11" x14ac:dyDescent="0.35">
      <c r="A302" s="9" t="s">
        <v>1762</v>
      </c>
      <c r="B302" s="9" t="s">
        <v>374</v>
      </c>
      <c r="C302" s="9" t="s">
        <v>46</v>
      </c>
      <c r="D302" s="9" t="s">
        <v>69</v>
      </c>
      <c r="E302" s="9" t="s">
        <v>1143</v>
      </c>
      <c r="F302" s="9" t="s">
        <v>1144</v>
      </c>
      <c r="G302" s="10">
        <v>46155</v>
      </c>
      <c r="H302" s="10">
        <v>46171</v>
      </c>
      <c r="I302">
        <v>27.1</v>
      </c>
      <c r="J302">
        <v>24.9</v>
      </c>
      <c r="K302" s="9" t="s">
        <v>1321</v>
      </c>
    </row>
    <row r="303" spans="1:11" x14ac:dyDescent="0.35">
      <c r="A303" s="9" t="s">
        <v>1763</v>
      </c>
      <c r="B303" s="9" t="s">
        <v>374</v>
      </c>
      <c r="C303" s="9" t="s">
        <v>46</v>
      </c>
      <c r="D303" s="9" t="s">
        <v>69</v>
      </c>
      <c r="E303" s="9" t="s">
        <v>1183</v>
      </c>
      <c r="F303" s="9" t="s">
        <v>1184</v>
      </c>
      <c r="G303" s="10">
        <v>46043</v>
      </c>
      <c r="H303" s="10">
        <v>46057</v>
      </c>
      <c r="I303">
        <v>7.1</v>
      </c>
      <c r="J303">
        <v>6.4</v>
      </c>
      <c r="K303" s="9" t="s">
        <v>1321</v>
      </c>
    </row>
    <row r="304" spans="1:11" x14ac:dyDescent="0.35">
      <c r="A304" s="9" t="s">
        <v>1764</v>
      </c>
      <c r="B304" s="9" t="s">
        <v>376</v>
      </c>
      <c r="C304" s="9" t="s">
        <v>55</v>
      </c>
      <c r="D304" s="9" t="s">
        <v>80</v>
      </c>
      <c r="E304" s="9" t="s">
        <v>1137</v>
      </c>
      <c r="F304" s="9" t="s">
        <v>1138</v>
      </c>
      <c r="G304" s="10">
        <v>45910</v>
      </c>
      <c r="H304" s="10">
        <v>45955</v>
      </c>
      <c r="I304">
        <v>8.8000000000000007</v>
      </c>
      <c r="J304">
        <v>11.4</v>
      </c>
      <c r="K304" s="9" t="s">
        <v>1321</v>
      </c>
    </row>
    <row r="305" spans="1:11" x14ac:dyDescent="0.35">
      <c r="A305" s="9" t="s">
        <v>1765</v>
      </c>
      <c r="B305" s="9" t="s">
        <v>378</v>
      </c>
      <c r="C305" s="9" t="s">
        <v>46</v>
      </c>
      <c r="D305" s="9" t="s">
        <v>56</v>
      </c>
      <c r="E305" s="9" t="s">
        <v>1176</v>
      </c>
      <c r="F305" s="9" t="s">
        <v>1177</v>
      </c>
      <c r="G305" s="10">
        <v>46151</v>
      </c>
      <c r="H305" s="10">
        <v>46207</v>
      </c>
      <c r="I305">
        <v>31.8</v>
      </c>
      <c r="J305">
        <v>45.6</v>
      </c>
      <c r="K305" s="9" t="s">
        <v>1321</v>
      </c>
    </row>
    <row r="306" spans="1:11" x14ac:dyDescent="0.35">
      <c r="A306" s="9" t="s">
        <v>1766</v>
      </c>
      <c r="B306" s="9" t="s">
        <v>378</v>
      </c>
      <c r="C306" s="9" t="s">
        <v>46</v>
      </c>
      <c r="D306" s="9" t="s">
        <v>56</v>
      </c>
      <c r="E306" s="9" t="s">
        <v>1171</v>
      </c>
      <c r="F306" s="9" t="s">
        <v>1172</v>
      </c>
      <c r="G306" s="10">
        <v>46138</v>
      </c>
      <c r="H306" s="10">
        <v>46178</v>
      </c>
      <c r="I306">
        <v>32.1</v>
      </c>
      <c r="J306">
        <v>39.4</v>
      </c>
      <c r="K306" s="9" t="s">
        <v>1321</v>
      </c>
    </row>
    <row r="307" spans="1:11" x14ac:dyDescent="0.35">
      <c r="A307" s="9" t="s">
        <v>1767</v>
      </c>
      <c r="B307" s="9" t="s">
        <v>378</v>
      </c>
      <c r="C307" s="9" t="s">
        <v>46</v>
      </c>
      <c r="D307" s="9" t="s">
        <v>56</v>
      </c>
      <c r="E307" s="9" t="s">
        <v>1139</v>
      </c>
      <c r="F307" s="9" t="s">
        <v>1140</v>
      </c>
      <c r="G307" s="10">
        <v>46002</v>
      </c>
      <c r="H307" s="10">
        <v>46011</v>
      </c>
      <c r="I307">
        <v>21.5</v>
      </c>
      <c r="J307">
        <v>18</v>
      </c>
      <c r="K307" s="9" t="s">
        <v>1321</v>
      </c>
    </row>
    <row r="308" spans="1:11" x14ac:dyDescent="0.35">
      <c r="A308" s="9" t="s">
        <v>1768</v>
      </c>
      <c r="B308" s="9" t="s">
        <v>380</v>
      </c>
      <c r="C308" s="9" t="s">
        <v>46</v>
      </c>
      <c r="D308" s="9" t="s">
        <v>76</v>
      </c>
      <c r="E308" s="9" t="s">
        <v>1193</v>
      </c>
      <c r="F308" s="9" t="s">
        <v>1194</v>
      </c>
      <c r="G308" s="10">
        <v>45741</v>
      </c>
      <c r="H308" s="10">
        <v>45797</v>
      </c>
      <c r="I308">
        <v>11.2</v>
      </c>
      <c r="J308">
        <v>16</v>
      </c>
      <c r="K308" s="9" t="s">
        <v>1321</v>
      </c>
    </row>
    <row r="309" spans="1:11" x14ac:dyDescent="0.35">
      <c r="A309" s="9" t="s">
        <v>1769</v>
      </c>
      <c r="B309" s="9" t="s">
        <v>380</v>
      </c>
      <c r="C309" s="9" t="s">
        <v>46</v>
      </c>
      <c r="D309" s="9" t="s">
        <v>76</v>
      </c>
      <c r="E309" s="9" t="s">
        <v>1143</v>
      </c>
      <c r="F309" s="9" t="s">
        <v>1144</v>
      </c>
      <c r="G309" s="10">
        <v>45996</v>
      </c>
      <c r="H309" s="10">
        <v>46006</v>
      </c>
      <c r="I309">
        <v>10.1</v>
      </c>
      <c r="J309">
        <v>8.5</v>
      </c>
      <c r="K309" s="9" t="s">
        <v>1321</v>
      </c>
    </row>
    <row r="310" spans="1:11" x14ac:dyDescent="0.35">
      <c r="A310" s="9" t="s">
        <v>1770</v>
      </c>
      <c r="B310" s="9" t="s">
        <v>382</v>
      </c>
      <c r="C310" s="9" t="s">
        <v>55</v>
      </c>
      <c r="D310" s="9" t="s">
        <v>63</v>
      </c>
      <c r="E310" s="9" t="s">
        <v>1143</v>
      </c>
      <c r="F310" s="9" t="s">
        <v>1144</v>
      </c>
      <c r="G310" s="10">
        <v>45716</v>
      </c>
      <c r="H310" s="10">
        <v>45757</v>
      </c>
      <c r="I310">
        <v>4.9000000000000004</v>
      </c>
      <c r="J310">
        <v>6</v>
      </c>
      <c r="K310" s="9" t="s">
        <v>1321</v>
      </c>
    </row>
    <row r="311" spans="1:11" x14ac:dyDescent="0.35">
      <c r="A311" s="9" t="s">
        <v>1771</v>
      </c>
      <c r="B311" s="9" t="s">
        <v>382</v>
      </c>
      <c r="C311" s="9" t="s">
        <v>55</v>
      </c>
      <c r="D311" s="9" t="s">
        <v>63</v>
      </c>
      <c r="E311" s="9" t="s">
        <v>1190</v>
      </c>
      <c r="F311" s="9" t="s">
        <v>1191</v>
      </c>
      <c r="G311" s="10">
        <v>45893</v>
      </c>
      <c r="H311" s="10">
        <v>45948</v>
      </c>
      <c r="I311">
        <v>12</v>
      </c>
      <c r="J311">
        <v>17.100000000000001</v>
      </c>
      <c r="K311" s="9" t="s">
        <v>1321</v>
      </c>
    </row>
    <row r="312" spans="1:11" x14ac:dyDescent="0.35">
      <c r="A312" s="9" t="s">
        <v>1772</v>
      </c>
      <c r="B312" s="9" t="s">
        <v>382</v>
      </c>
      <c r="C312" s="9" t="s">
        <v>55</v>
      </c>
      <c r="D312" s="9" t="s">
        <v>63</v>
      </c>
      <c r="E312" s="9" t="s">
        <v>1162</v>
      </c>
      <c r="F312" s="9" t="s">
        <v>1163</v>
      </c>
      <c r="G312" s="10">
        <v>45957</v>
      </c>
      <c r="H312" s="10">
        <v>46004</v>
      </c>
      <c r="I312">
        <v>21.1</v>
      </c>
      <c r="J312">
        <v>27.8</v>
      </c>
      <c r="K312" s="9" t="s">
        <v>1321</v>
      </c>
    </row>
    <row r="313" spans="1:11" x14ac:dyDescent="0.35">
      <c r="A313" s="9" t="s">
        <v>1773</v>
      </c>
      <c r="B313" s="9" t="s">
        <v>384</v>
      </c>
      <c r="C313" s="9" t="s">
        <v>55</v>
      </c>
      <c r="D313" s="9" t="s">
        <v>63</v>
      </c>
      <c r="E313" s="9" t="s">
        <v>1158</v>
      </c>
      <c r="F313" s="9" t="s">
        <v>1159</v>
      </c>
      <c r="G313" s="10">
        <v>46197</v>
      </c>
      <c r="H313" s="10">
        <v>46246</v>
      </c>
      <c r="I313">
        <v>30.7</v>
      </c>
      <c r="J313">
        <v>41</v>
      </c>
      <c r="K313" s="9" t="s">
        <v>1321</v>
      </c>
    </row>
    <row r="314" spans="1:11" x14ac:dyDescent="0.35">
      <c r="A314" s="9" t="s">
        <v>1774</v>
      </c>
      <c r="B314" s="9" t="s">
        <v>384</v>
      </c>
      <c r="C314" s="9" t="s">
        <v>55</v>
      </c>
      <c r="D314" s="9" t="s">
        <v>63</v>
      </c>
      <c r="E314" s="9" t="s">
        <v>1190</v>
      </c>
      <c r="F314" s="9" t="s">
        <v>1191</v>
      </c>
      <c r="G314" s="10">
        <v>46016</v>
      </c>
      <c r="H314" s="10">
        <v>46030</v>
      </c>
      <c r="I314">
        <v>21</v>
      </c>
      <c r="J314">
        <v>18.899999999999999</v>
      </c>
      <c r="K314" s="9" t="s">
        <v>1321</v>
      </c>
    </row>
    <row r="315" spans="1:11" x14ac:dyDescent="0.35">
      <c r="A315" s="9" t="s">
        <v>1775</v>
      </c>
      <c r="B315" s="9" t="s">
        <v>384</v>
      </c>
      <c r="C315" s="9" t="s">
        <v>55</v>
      </c>
      <c r="D315" s="9" t="s">
        <v>63</v>
      </c>
      <c r="E315" s="9" t="s">
        <v>1180</v>
      </c>
      <c r="F315" s="9" t="s">
        <v>1181</v>
      </c>
      <c r="G315" s="10">
        <v>46182</v>
      </c>
      <c r="H315" s="10">
        <v>46186</v>
      </c>
      <c r="I315">
        <v>33.799999999999997</v>
      </c>
      <c r="J315">
        <v>26.2</v>
      </c>
      <c r="K315" s="9" t="s">
        <v>1321</v>
      </c>
    </row>
    <row r="316" spans="1:11" x14ac:dyDescent="0.35">
      <c r="A316" s="9" t="s">
        <v>1776</v>
      </c>
      <c r="B316" s="9" t="s">
        <v>386</v>
      </c>
      <c r="C316" s="9" t="s">
        <v>46</v>
      </c>
      <c r="D316" s="9" t="s">
        <v>69</v>
      </c>
      <c r="E316" s="9" t="s">
        <v>1171</v>
      </c>
      <c r="F316" s="9" t="s">
        <v>1172</v>
      </c>
      <c r="G316" s="10">
        <v>46126</v>
      </c>
      <c r="H316" s="10">
        <v>46171</v>
      </c>
      <c r="I316">
        <v>9.1</v>
      </c>
      <c r="J316">
        <v>11.8</v>
      </c>
      <c r="K316" s="9" t="s">
        <v>1321</v>
      </c>
    </row>
    <row r="317" spans="1:11" x14ac:dyDescent="0.35">
      <c r="A317" s="9" t="s">
        <v>1777</v>
      </c>
      <c r="B317" s="9" t="s">
        <v>386</v>
      </c>
      <c r="C317" s="9" t="s">
        <v>46</v>
      </c>
      <c r="D317" s="9" t="s">
        <v>69</v>
      </c>
      <c r="E317" s="9" t="s">
        <v>1139</v>
      </c>
      <c r="F317" s="9" t="s">
        <v>1140</v>
      </c>
      <c r="G317" s="10">
        <v>45941</v>
      </c>
      <c r="H317" s="10">
        <v>45949</v>
      </c>
      <c r="I317">
        <v>22.9</v>
      </c>
      <c r="J317">
        <v>18.8</v>
      </c>
      <c r="K317" s="9" t="s">
        <v>1321</v>
      </c>
    </row>
    <row r="318" spans="1:11" x14ac:dyDescent="0.35">
      <c r="A318" s="9" t="s">
        <v>1778</v>
      </c>
      <c r="B318" s="9" t="s">
        <v>386</v>
      </c>
      <c r="C318" s="9" t="s">
        <v>46</v>
      </c>
      <c r="D318" s="9" t="s">
        <v>69</v>
      </c>
      <c r="E318" s="9" t="s">
        <v>1137</v>
      </c>
      <c r="F318" s="9" t="s">
        <v>1138</v>
      </c>
      <c r="G318" s="10">
        <v>46008</v>
      </c>
      <c r="H318" s="10">
        <v>46020</v>
      </c>
      <c r="I318">
        <v>25.2</v>
      </c>
      <c r="J318">
        <v>21.9</v>
      </c>
      <c r="K318" s="9" t="s">
        <v>1321</v>
      </c>
    </row>
    <row r="319" spans="1:11" x14ac:dyDescent="0.35">
      <c r="A319" s="9" t="s">
        <v>1779</v>
      </c>
      <c r="B319" s="9" t="s">
        <v>386</v>
      </c>
      <c r="C319" s="9" t="s">
        <v>46</v>
      </c>
      <c r="D319" s="9" t="s">
        <v>69</v>
      </c>
      <c r="E319" s="9" t="s">
        <v>1158</v>
      </c>
      <c r="F319" s="9" t="s">
        <v>1159</v>
      </c>
      <c r="G319" s="10">
        <v>45734</v>
      </c>
      <c r="H319" s="10"/>
      <c r="I319">
        <v>19.399999999999999</v>
      </c>
      <c r="K319" s="9" t="s">
        <v>1473</v>
      </c>
    </row>
    <row r="320" spans="1:11" x14ac:dyDescent="0.35">
      <c r="A320" s="9" t="s">
        <v>1780</v>
      </c>
      <c r="B320" s="9" t="s">
        <v>388</v>
      </c>
      <c r="C320" s="9" t="s">
        <v>55</v>
      </c>
      <c r="D320" s="9" t="s">
        <v>69</v>
      </c>
      <c r="E320" s="9" t="s">
        <v>1211</v>
      </c>
      <c r="F320" s="9" t="s">
        <v>1212</v>
      </c>
      <c r="G320" s="10">
        <v>46119</v>
      </c>
      <c r="H320" s="10">
        <v>46125</v>
      </c>
      <c r="I320">
        <v>34.4</v>
      </c>
      <c r="J320">
        <v>27.3</v>
      </c>
      <c r="K320" s="9" t="s">
        <v>1321</v>
      </c>
    </row>
    <row r="321" spans="1:11" x14ac:dyDescent="0.35">
      <c r="A321" s="9" t="s">
        <v>1781</v>
      </c>
      <c r="B321" s="9" t="s">
        <v>390</v>
      </c>
      <c r="C321" s="9" t="s">
        <v>62</v>
      </c>
      <c r="D321" s="9" t="s">
        <v>93</v>
      </c>
      <c r="E321" s="9" t="s">
        <v>1167</v>
      </c>
      <c r="F321" s="9" t="s">
        <v>1168</v>
      </c>
      <c r="G321" s="10">
        <v>45765</v>
      </c>
      <c r="H321" s="10">
        <v>45793</v>
      </c>
      <c r="I321">
        <v>20.2</v>
      </c>
      <c r="J321">
        <v>21.7</v>
      </c>
      <c r="K321" s="9" t="s">
        <v>1321</v>
      </c>
    </row>
    <row r="322" spans="1:11" x14ac:dyDescent="0.35">
      <c r="A322" s="9" t="s">
        <v>1782</v>
      </c>
      <c r="B322" s="9" t="s">
        <v>392</v>
      </c>
      <c r="C322" s="9" t="s">
        <v>46</v>
      </c>
      <c r="D322" s="9" t="s">
        <v>56</v>
      </c>
      <c r="E322" s="9" t="s">
        <v>1145</v>
      </c>
      <c r="F322" s="9" t="s">
        <v>1146</v>
      </c>
      <c r="G322" s="10">
        <v>46101</v>
      </c>
      <c r="H322" s="10">
        <v>46135</v>
      </c>
      <c r="I322">
        <v>27.1</v>
      </c>
      <c r="J322">
        <v>31.2</v>
      </c>
      <c r="K322" s="9" t="s">
        <v>1321</v>
      </c>
    </row>
    <row r="323" spans="1:11" x14ac:dyDescent="0.35">
      <c r="A323" s="9" t="s">
        <v>1783</v>
      </c>
      <c r="B323" s="9" t="s">
        <v>392</v>
      </c>
      <c r="C323" s="9" t="s">
        <v>46</v>
      </c>
      <c r="D323" s="9" t="s">
        <v>56</v>
      </c>
      <c r="E323" s="9" t="s">
        <v>1155</v>
      </c>
      <c r="F323" s="9" t="s">
        <v>1156</v>
      </c>
      <c r="G323" s="10">
        <v>45963</v>
      </c>
      <c r="H323" s="10"/>
      <c r="I323">
        <v>20.100000000000001</v>
      </c>
      <c r="K323" s="9" t="s">
        <v>1473</v>
      </c>
    </row>
    <row r="324" spans="1:11" x14ac:dyDescent="0.35">
      <c r="A324" s="9" t="s">
        <v>1784</v>
      </c>
      <c r="B324" s="9" t="s">
        <v>392</v>
      </c>
      <c r="C324" s="9" t="s">
        <v>46</v>
      </c>
      <c r="D324" s="9" t="s">
        <v>56</v>
      </c>
      <c r="E324" s="9" t="s">
        <v>1155</v>
      </c>
      <c r="F324" s="9" t="s">
        <v>1156</v>
      </c>
      <c r="G324" s="10">
        <v>46139</v>
      </c>
      <c r="H324" s="10">
        <v>46188</v>
      </c>
      <c r="I324">
        <v>19.7</v>
      </c>
      <c r="J324">
        <v>26.5</v>
      </c>
      <c r="K324" s="9" t="s">
        <v>1321</v>
      </c>
    </row>
    <row r="325" spans="1:11" x14ac:dyDescent="0.35">
      <c r="A325" s="9" t="s">
        <v>1785</v>
      </c>
      <c r="B325" s="9" t="s">
        <v>394</v>
      </c>
      <c r="C325" s="9" t="s">
        <v>46</v>
      </c>
      <c r="D325" s="9" t="s">
        <v>56</v>
      </c>
      <c r="E325" s="9" t="s">
        <v>1152</v>
      </c>
      <c r="F325" s="9" t="s">
        <v>1153</v>
      </c>
      <c r="G325" s="10">
        <v>46179</v>
      </c>
      <c r="H325" s="10">
        <v>46199</v>
      </c>
      <c r="I325">
        <v>19.7</v>
      </c>
      <c r="J325">
        <v>19.100000000000001</v>
      </c>
      <c r="K325" s="9" t="s">
        <v>1321</v>
      </c>
    </row>
    <row r="326" spans="1:11" x14ac:dyDescent="0.35">
      <c r="A326" s="9" t="s">
        <v>1786</v>
      </c>
      <c r="B326" s="9" t="s">
        <v>394</v>
      </c>
      <c r="C326" s="9" t="s">
        <v>46</v>
      </c>
      <c r="D326" s="9" t="s">
        <v>56</v>
      </c>
      <c r="E326" s="9" t="s">
        <v>1145</v>
      </c>
      <c r="F326" s="9" t="s">
        <v>1146</v>
      </c>
      <c r="G326" s="10">
        <v>45866</v>
      </c>
      <c r="H326" s="10">
        <v>45874</v>
      </c>
      <c r="I326">
        <v>20.2</v>
      </c>
      <c r="J326">
        <v>16.7</v>
      </c>
      <c r="K326" s="9" t="s">
        <v>1321</v>
      </c>
    </row>
    <row r="327" spans="1:11" x14ac:dyDescent="0.35">
      <c r="A327" s="9" t="s">
        <v>1787</v>
      </c>
      <c r="B327" s="9" t="s">
        <v>394</v>
      </c>
      <c r="C327" s="9" t="s">
        <v>46</v>
      </c>
      <c r="D327" s="9" t="s">
        <v>56</v>
      </c>
      <c r="E327" s="9" t="s">
        <v>1129</v>
      </c>
      <c r="F327" s="9" t="s">
        <v>1130</v>
      </c>
      <c r="G327" s="10">
        <v>46103</v>
      </c>
      <c r="H327" s="10">
        <v>46135</v>
      </c>
      <c r="I327">
        <v>30.5</v>
      </c>
      <c r="J327">
        <v>34.299999999999997</v>
      </c>
      <c r="K327" s="9" t="s">
        <v>1321</v>
      </c>
    </row>
    <row r="328" spans="1:11" x14ac:dyDescent="0.35">
      <c r="A328" s="9" t="s">
        <v>1788</v>
      </c>
      <c r="B328" s="9" t="s">
        <v>396</v>
      </c>
      <c r="C328" s="9" t="s">
        <v>46</v>
      </c>
      <c r="D328" s="9" t="s">
        <v>56</v>
      </c>
      <c r="E328" s="9" t="s">
        <v>1171</v>
      </c>
      <c r="F328" s="9" t="s">
        <v>1172</v>
      </c>
      <c r="G328" s="10">
        <v>45675</v>
      </c>
      <c r="H328" s="10">
        <v>45702</v>
      </c>
      <c r="I328">
        <v>14.3</v>
      </c>
      <c r="J328">
        <v>15.2</v>
      </c>
      <c r="K328" s="9" t="s">
        <v>1321</v>
      </c>
    </row>
    <row r="329" spans="1:11" x14ac:dyDescent="0.35">
      <c r="A329" s="9" t="s">
        <v>1789</v>
      </c>
      <c r="B329" s="9" t="s">
        <v>396</v>
      </c>
      <c r="C329" s="9" t="s">
        <v>46</v>
      </c>
      <c r="D329" s="9" t="s">
        <v>56</v>
      </c>
      <c r="E329" s="9" t="s">
        <v>1193</v>
      </c>
      <c r="F329" s="9" t="s">
        <v>1194</v>
      </c>
      <c r="G329" s="10">
        <v>45716</v>
      </c>
      <c r="H329" s="10">
        <v>45759</v>
      </c>
      <c r="I329">
        <v>2.1</v>
      </c>
      <c r="J329">
        <v>2.7</v>
      </c>
      <c r="K329" s="9" t="s">
        <v>1321</v>
      </c>
    </row>
    <row r="330" spans="1:11" x14ac:dyDescent="0.35">
      <c r="A330" s="9" t="s">
        <v>1790</v>
      </c>
      <c r="B330" s="9" t="s">
        <v>398</v>
      </c>
      <c r="C330" s="9" t="s">
        <v>46</v>
      </c>
      <c r="D330" s="9" t="s">
        <v>56</v>
      </c>
      <c r="E330" s="9" t="s">
        <v>1162</v>
      </c>
      <c r="F330" s="9" t="s">
        <v>1163</v>
      </c>
      <c r="G330" s="10">
        <v>45792</v>
      </c>
      <c r="H330" s="10">
        <v>45804</v>
      </c>
      <c r="I330">
        <v>4.8</v>
      </c>
      <c r="J330">
        <v>4.2</v>
      </c>
      <c r="K330" s="9" t="s">
        <v>1321</v>
      </c>
    </row>
    <row r="331" spans="1:11" x14ac:dyDescent="0.35">
      <c r="A331" s="9" t="s">
        <v>1791</v>
      </c>
      <c r="B331" s="9" t="s">
        <v>400</v>
      </c>
      <c r="C331" s="9" t="s">
        <v>46</v>
      </c>
      <c r="D331" s="9" t="s">
        <v>80</v>
      </c>
      <c r="E331" s="9" t="s">
        <v>1211</v>
      </c>
      <c r="F331" s="9" t="s">
        <v>1212</v>
      </c>
      <c r="G331" s="10">
        <v>46140</v>
      </c>
      <c r="H331" s="10">
        <v>46176</v>
      </c>
      <c r="I331">
        <v>27</v>
      </c>
      <c r="J331">
        <v>31.8</v>
      </c>
      <c r="K331" s="9" t="s">
        <v>1321</v>
      </c>
    </row>
    <row r="332" spans="1:11" x14ac:dyDescent="0.35">
      <c r="A332" s="9" t="s">
        <v>1792</v>
      </c>
      <c r="B332" s="9" t="s">
        <v>402</v>
      </c>
      <c r="C332" s="9" t="s">
        <v>46</v>
      </c>
      <c r="D332" s="9" t="s">
        <v>56</v>
      </c>
      <c r="E332" s="9" t="s">
        <v>1162</v>
      </c>
      <c r="F332" s="9" t="s">
        <v>1163</v>
      </c>
      <c r="G332" s="10">
        <v>46042</v>
      </c>
      <c r="H332" s="10">
        <v>46071</v>
      </c>
      <c r="I332">
        <v>2.5</v>
      </c>
      <c r="J332">
        <v>2.7</v>
      </c>
      <c r="K332" s="9" t="s">
        <v>1321</v>
      </c>
    </row>
    <row r="333" spans="1:11" x14ac:dyDescent="0.35">
      <c r="A333" s="9" t="s">
        <v>1793</v>
      </c>
      <c r="B333" s="9" t="s">
        <v>402</v>
      </c>
      <c r="C333" s="9" t="s">
        <v>46</v>
      </c>
      <c r="D333" s="9" t="s">
        <v>56</v>
      </c>
      <c r="E333" s="9" t="s">
        <v>1137</v>
      </c>
      <c r="F333" s="9" t="s">
        <v>1138</v>
      </c>
      <c r="G333" s="10">
        <v>45881</v>
      </c>
      <c r="H333" s="10">
        <v>45903</v>
      </c>
      <c r="I333">
        <v>7.7</v>
      </c>
      <c r="J333">
        <v>7.7</v>
      </c>
      <c r="K333" s="9" t="s">
        <v>1321</v>
      </c>
    </row>
    <row r="334" spans="1:11" x14ac:dyDescent="0.35">
      <c r="A334" s="9" t="s">
        <v>1794</v>
      </c>
      <c r="B334" s="9" t="s">
        <v>402</v>
      </c>
      <c r="C334" s="9" t="s">
        <v>46</v>
      </c>
      <c r="D334" s="9" t="s">
        <v>56</v>
      </c>
      <c r="E334" s="9" t="s">
        <v>1188</v>
      </c>
      <c r="F334" s="9" t="s">
        <v>1189</v>
      </c>
      <c r="G334" s="10">
        <v>45716</v>
      </c>
      <c r="H334" s="10">
        <v>45763</v>
      </c>
      <c r="I334">
        <v>29.4</v>
      </c>
      <c r="J334">
        <v>38.700000000000003</v>
      </c>
      <c r="K334" s="9" t="s">
        <v>1321</v>
      </c>
    </row>
    <row r="335" spans="1:11" x14ac:dyDescent="0.35">
      <c r="A335" s="9" t="s">
        <v>1795</v>
      </c>
      <c r="B335" s="9" t="s">
        <v>404</v>
      </c>
      <c r="C335" s="9" t="s">
        <v>62</v>
      </c>
      <c r="D335" s="9" t="s">
        <v>80</v>
      </c>
      <c r="E335" s="9" t="s">
        <v>1188</v>
      </c>
      <c r="F335" s="9" t="s">
        <v>1189</v>
      </c>
      <c r="G335" s="10">
        <v>45981</v>
      </c>
      <c r="H335" s="10">
        <v>46012</v>
      </c>
      <c r="I335">
        <v>5.8</v>
      </c>
      <c r="J335">
        <v>6.5</v>
      </c>
      <c r="K335" s="9" t="s">
        <v>1321</v>
      </c>
    </row>
    <row r="336" spans="1:11" x14ac:dyDescent="0.35">
      <c r="A336" s="9" t="s">
        <v>1796</v>
      </c>
      <c r="B336" s="9" t="s">
        <v>404</v>
      </c>
      <c r="C336" s="9" t="s">
        <v>62</v>
      </c>
      <c r="D336" s="9" t="s">
        <v>80</v>
      </c>
      <c r="E336" s="9" t="s">
        <v>1143</v>
      </c>
      <c r="F336" s="9" t="s">
        <v>1144</v>
      </c>
      <c r="G336" s="10">
        <v>45790</v>
      </c>
      <c r="H336" s="10">
        <v>45827</v>
      </c>
      <c r="I336">
        <v>33.1</v>
      </c>
      <c r="J336">
        <v>39.5</v>
      </c>
      <c r="K336" s="9" t="s">
        <v>1321</v>
      </c>
    </row>
    <row r="337" spans="1:11" x14ac:dyDescent="0.35">
      <c r="A337" s="9" t="s">
        <v>1797</v>
      </c>
      <c r="B337" s="9" t="s">
        <v>406</v>
      </c>
      <c r="C337" s="9" t="s">
        <v>55</v>
      </c>
      <c r="D337" s="9" t="s">
        <v>69</v>
      </c>
      <c r="E337" s="9" t="s">
        <v>1162</v>
      </c>
      <c r="F337" s="9" t="s">
        <v>1163</v>
      </c>
      <c r="G337" s="10">
        <v>45889</v>
      </c>
      <c r="H337" s="10">
        <v>45919</v>
      </c>
      <c r="I337">
        <v>9.1</v>
      </c>
      <c r="J337">
        <v>10</v>
      </c>
      <c r="K337" s="9" t="s">
        <v>1321</v>
      </c>
    </row>
    <row r="338" spans="1:11" x14ac:dyDescent="0.35">
      <c r="A338" s="9" t="s">
        <v>1798</v>
      </c>
      <c r="B338" s="9" t="s">
        <v>406</v>
      </c>
      <c r="C338" s="9" t="s">
        <v>55</v>
      </c>
      <c r="D338" s="9" t="s">
        <v>69</v>
      </c>
      <c r="E338" s="9" t="s">
        <v>1180</v>
      </c>
      <c r="F338" s="9" t="s">
        <v>1181</v>
      </c>
      <c r="G338" s="10">
        <v>45790</v>
      </c>
      <c r="H338" s="10">
        <v>45823</v>
      </c>
      <c r="I338">
        <v>24.9</v>
      </c>
      <c r="J338">
        <v>28.2</v>
      </c>
      <c r="K338" s="9" t="s">
        <v>1321</v>
      </c>
    </row>
    <row r="339" spans="1:11" x14ac:dyDescent="0.35">
      <c r="A339" s="9" t="s">
        <v>1799</v>
      </c>
      <c r="B339" s="9" t="s">
        <v>406</v>
      </c>
      <c r="C339" s="9" t="s">
        <v>55</v>
      </c>
      <c r="D339" s="9" t="s">
        <v>69</v>
      </c>
      <c r="E339" s="9" t="s">
        <v>1188</v>
      </c>
      <c r="F339" s="9" t="s">
        <v>1189</v>
      </c>
      <c r="G339" s="10">
        <v>46202</v>
      </c>
      <c r="H339" s="10">
        <v>46223</v>
      </c>
      <c r="I339">
        <v>18</v>
      </c>
      <c r="J339">
        <v>17.7</v>
      </c>
      <c r="K339" s="9" t="s">
        <v>1321</v>
      </c>
    </row>
    <row r="340" spans="1:11" x14ac:dyDescent="0.35">
      <c r="A340" s="9" t="s">
        <v>1800</v>
      </c>
      <c r="B340" s="9" t="s">
        <v>408</v>
      </c>
      <c r="C340" s="9" t="s">
        <v>46</v>
      </c>
      <c r="D340" s="9" t="s">
        <v>63</v>
      </c>
      <c r="E340" s="9" t="s">
        <v>1152</v>
      </c>
      <c r="F340" s="9" t="s">
        <v>1153</v>
      </c>
      <c r="G340" s="10">
        <v>45680</v>
      </c>
      <c r="H340" s="10">
        <v>45692</v>
      </c>
      <c r="I340">
        <v>32.9</v>
      </c>
      <c r="J340">
        <v>28.4</v>
      </c>
      <c r="K340" s="9" t="s">
        <v>1321</v>
      </c>
    </row>
    <row r="341" spans="1:11" x14ac:dyDescent="0.35">
      <c r="A341" s="9" t="s">
        <v>1801</v>
      </c>
      <c r="B341" s="9" t="s">
        <v>410</v>
      </c>
      <c r="C341" s="9" t="s">
        <v>46</v>
      </c>
      <c r="D341" s="9" t="s">
        <v>47</v>
      </c>
      <c r="E341" s="9" t="s">
        <v>1147</v>
      </c>
      <c r="F341" s="9" t="s">
        <v>1148</v>
      </c>
      <c r="G341" s="10">
        <v>46190</v>
      </c>
      <c r="H341" s="10">
        <v>46242</v>
      </c>
      <c r="I341">
        <v>13.2</v>
      </c>
      <c r="J341">
        <v>18.2</v>
      </c>
      <c r="K341" s="9" t="s">
        <v>1321</v>
      </c>
    </row>
    <row r="342" spans="1:11" x14ac:dyDescent="0.35">
      <c r="A342" s="9" t="s">
        <v>1802</v>
      </c>
      <c r="B342" s="9" t="s">
        <v>410</v>
      </c>
      <c r="C342" s="9" t="s">
        <v>46</v>
      </c>
      <c r="D342" s="9" t="s">
        <v>47</v>
      </c>
      <c r="E342" s="9" t="s">
        <v>1129</v>
      </c>
      <c r="F342" s="9" t="s">
        <v>1130</v>
      </c>
      <c r="G342" s="10">
        <v>45756</v>
      </c>
      <c r="H342" s="10">
        <v>45788</v>
      </c>
      <c r="I342">
        <v>28.1</v>
      </c>
      <c r="J342">
        <v>31.7</v>
      </c>
      <c r="K342" s="9" t="s">
        <v>1321</v>
      </c>
    </row>
    <row r="343" spans="1:11" x14ac:dyDescent="0.35">
      <c r="A343" s="9" t="s">
        <v>1803</v>
      </c>
      <c r="B343" s="9" t="s">
        <v>412</v>
      </c>
      <c r="C343" s="9" t="s">
        <v>46</v>
      </c>
      <c r="D343" s="9" t="s">
        <v>47</v>
      </c>
      <c r="E343" s="9" t="s">
        <v>1137</v>
      </c>
      <c r="F343" s="9" t="s">
        <v>1138</v>
      </c>
      <c r="G343" s="10">
        <v>45784</v>
      </c>
      <c r="H343" s="10">
        <v>45795</v>
      </c>
      <c r="I343">
        <v>10.9</v>
      </c>
      <c r="J343">
        <v>9.3000000000000007</v>
      </c>
      <c r="K343" s="9" t="s">
        <v>1321</v>
      </c>
    </row>
    <row r="344" spans="1:11" x14ac:dyDescent="0.35">
      <c r="A344" s="9" t="s">
        <v>1804</v>
      </c>
      <c r="B344" s="9" t="s">
        <v>414</v>
      </c>
      <c r="C344" s="9" t="s">
        <v>46</v>
      </c>
      <c r="D344" s="9" t="s">
        <v>56</v>
      </c>
      <c r="E344" s="9" t="s">
        <v>1176</v>
      </c>
      <c r="F344" s="9" t="s">
        <v>1177</v>
      </c>
      <c r="G344" s="10">
        <v>45974</v>
      </c>
      <c r="H344" s="10"/>
      <c r="I344">
        <v>34.700000000000003</v>
      </c>
      <c r="K344" s="9" t="s">
        <v>1325</v>
      </c>
    </row>
    <row r="345" spans="1:11" x14ac:dyDescent="0.35">
      <c r="A345" s="9" t="s">
        <v>1805</v>
      </c>
      <c r="B345" s="9" t="s">
        <v>414</v>
      </c>
      <c r="C345" s="9" t="s">
        <v>46</v>
      </c>
      <c r="D345" s="9" t="s">
        <v>56</v>
      </c>
      <c r="E345" s="9" t="s">
        <v>1176</v>
      </c>
      <c r="F345" s="9" t="s">
        <v>1177</v>
      </c>
      <c r="G345" s="10">
        <v>46104</v>
      </c>
      <c r="H345" s="10">
        <v>46133</v>
      </c>
      <c r="I345">
        <v>9.6999999999999993</v>
      </c>
      <c r="J345">
        <v>10.5</v>
      </c>
      <c r="K345" s="9" t="s">
        <v>1321</v>
      </c>
    </row>
    <row r="346" spans="1:11" x14ac:dyDescent="0.35">
      <c r="A346" s="9" t="s">
        <v>1806</v>
      </c>
      <c r="B346" s="9" t="s">
        <v>416</v>
      </c>
      <c r="C346" s="9" t="s">
        <v>46</v>
      </c>
      <c r="D346" s="9" t="s">
        <v>47</v>
      </c>
      <c r="E346" s="9" t="s">
        <v>1190</v>
      </c>
      <c r="F346" s="9" t="s">
        <v>1191</v>
      </c>
      <c r="G346" s="10">
        <v>45916</v>
      </c>
      <c r="H346" s="10">
        <v>45963</v>
      </c>
      <c r="I346">
        <v>20.6</v>
      </c>
      <c r="J346">
        <v>27.2</v>
      </c>
      <c r="K346" s="9" t="s">
        <v>1321</v>
      </c>
    </row>
    <row r="347" spans="1:11" x14ac:dyDescent="0.35">
      <c r="A347" s="9" t="s">
        <v>1807</v>
      </c>
      <c r="B347" s="9" t="s">
        <v>416</v>
      </c>
      <c r="C347" s="9" t="s">
        <v>46</v>
      </c>
      <c r="D347" s="9" t="s">
        <v>47</v>
      </c>
      <c r="E347" s="9" t="s">
        <v>1183</v>
      </c>
      <c r="F347" s="9" t="s">
        <v>1184</v>
      </c>
      <c r="G347" s="10">
        <v>46167</v>
      </c>
      <c r="H347" s="10">
        <v>46182</v>
      </c>
      <c r="I347">
        <v>10.199999999999999</v>
      </c>
      <c r="J347">
        <v>9.3000000000000007</v>
      </c>
      <c r="K347" s="9" t="s">
        <v>1321</v>
      </c>
    </row>
    <row r="348" spans="1:11" x14ac:dyDescent="0.35">
      <c r="A348" s="9" t="s">
        <v>1808</v>
      </c>
      <c r="B348" s="9" t="s">
        <v>416</v>
      </c>
      <c r="C348" s="9" t="s">
        <v>46</v>
      </c>
      <c r="D348" s="9" t="s">
        <v>47</v>
      </c>
      <c r="E348" s="9" t="s">
        <v>1137</v>
      </c>
      <c r="F348" s="9" t="s">
        <v>1138</v>
      </c>
      <c r="G348" s="10">
        <v>46045</v>
      </c>
      <c r="H348" s="10">
        <v>46056</v>
      </c>
      <c r="I348">
        <v>19.8</v>
      </c>
      <c r="J348">
        <v>17</v>
      </c>
      <c r="K348" s="9" t="s">
        <v>1321</v>
      </c>
    </row>
    <row r="349" spans="1:11" x14ac:dyDescent="0.35">
      <c r="A349" s="9" t="s">
        <v>1809</v>
      </c>
      <c r="B349" s="9" t="s">
        <v>418</v>
      </c>
      <c r="C349" s="9" t="s">
        <v>46</v>
      </c>
      <c r="D349" s="9" t="s">
        <v>112</v>
      </c>
      <c r="E349" s="9" t="s">
        <v>1171</v>
      </c>
      <c r="F349" s="9" t="s">
        <v>1172</v>
      </c>
      <c r="G349" s="10">
        <v>45770</v>
      </c>
      <c r="H349" s="10">
        <v>45787</v>
      </c>
      <c r="I349">
        <v>17.3</v>
      </c>
      <c r="J349">
        <v>16.2</v>
      </c>
      <c r="K349" s="9" t="s">
        <v>1321</v>
      </c>
    </row>
    <row r="350" spans="1:11" x14ac:dyDescent="0.35">
      <c r="A350" s="9" t="s">
        <v>1810</v>
      </c>
      <c r="B350" s="9" t="s">
        <v>420</v>
      </c>
      <c r="C350" s="9" t="s">
        <v>62</v>
      </c>
      <c r="D350" s="9" t="s">
        <v>80</v>
      </c>
      <c r="E350" s="9" t="s">
        <v>1155</v>
      </c>
      <c r="F350" s="9" t="s">
        <v>1156</v>
      </c>
      <c r="G350" s="10">
        <v>46123</v>
      </c>
      <c r="H350" s="10">
        <v>46160</v>
      </c>
      <c r="I350">
        <v>27</v>
      </c>
      <c r="J350">
        <v>32.200000000000003</v>
      </c>
      <c r="K350" s="9" t="s">
        <v>1321</v>
      </c>
    </row>
    <row r="351" spans="1:11" x14ac:dyDescent="0.35">
      <c r="A351" s="9" t="s">
        <v>1811</v>
      </c>
      <c r="B351" s="9" t="s">
        <v>420</v>
      </c>
      <c r="C351" s="9" t="s">
        <v>62</v>
      </c>
      <c r="D351" s="9" t="s">
        <v>80</v>
      </c>
      <c r="E351" s="9" t="s">
        <v>1145</v>
      </c>
      <c r="F351" s="9" t="s">
        <v>1146</v>
      </c>
      <c r="G351" s="10">
        <v>46065</v>
      </c>
      <c r="H351" s="10">
        <v>46092</v>
      </c>
      <c r="I351">
        <v>25.7</v>
      </c>
      <c r="J351">
        <v>27.4</v>
      </c>
      <c r="K351" s="9" t="s">
        <v>1321</v>
      </c>
    </row>
    <row r="352" spans="1:11" x14ac:dyDescent="0.35">
      <c r="A352" s="9" t="s">
        <v>1812</v>
      </c>
      <c r="B352" s="9" t="s">
        <v>422</v>
      </c>
      <c r="C352" s="9" t="s">
        <v>46</v>
      </c>
      <c r="D352" s="9" t="s">
        <v>56</v>
      </c>
      <c r="E352" s="9" t="s">
        <v>1167</v>
      </c>
      <c r="F352" s="9" t="s">
        <v>1168</v>
      </c>
      <c r="G352" s="10">
        <v>46096</v>
      </c>
      <c r="H352" s="10"/>
      <c r="I352">
        <v>24.1</v>
      </c>
      <c r="K352" s="9" t="s">
        <v>1325</v>
      </c>
    </row>
    <row r="353" spans="1:11" x14ac:dyDescent="0.35">
      <c r="A353" s="9" t="s">
        <v>1813</v>
      </c>
      <c r="B353" s="9" t="s">
        <v>422</v>
      </c>
      <c r="C353" s="9" t="s">
        <v>46</v>
      </c>
      <c r="D353" s="9" t="s">
        <v>56</v>
      </c>
      <c r="E353" s="9" t="s">
        <v>1176</v>
      </c>
      <c r="F353" s="9" t="s">
        <v>1177</v>
      </c>
      <c r="G353" s="10">
        <v>45914</v>
      </c>
      <c r="H353" s="10">
        <v>45921</v>
      </c>
      <c r="I353">
        <v>8.9</v>
      </c>
      <c r="J353">
        <v>7.2</v>
      </c>
      <c r="K353" s="9" t="s">
        <v>1321</v>
      </c>
    </row>
    <row r="354" spans="1:11" x14ac:dyDescent="0.35">
      <c r="A354" s="9" t="s">
        <v>1814</v>
      </c>
      <c r="B354" s="9" t="s">
        <v>424</v>
      </c>
      <c r="C354" s="9" t="s">
        <v>62</v>
      </c>
      <c r="D354" s="9" t="s">
        <v>76</v>
      </c>
      <c r="E354" s="9" t="s">
        <v>1147</v>
      </c>
      <c r="F354" s="9" t="s">
        <v>1148</v>
      </c>
      <c r="G354" s="10">
        <v>45791</v>
      </c>
      <c r="H354" s="10">
        <v>45823</v>
      </c>
      <c r="I354">
        <v>32.6</v>
      </c>
      <c r="J354">
        <v>36.5</v>
      </c>
      <c r="K354" s="9" t="s">
        <v>1321</v>
      </c>
    </row>
    <row r="355" spans="1:11" x14ac:dyDescent="0.35">
      <c r="A355" s="9" t="s">
        <v>1815</v>
      </c>
      <c r="B355" s="9" t="s">
        <v>424</v>
      </c>
      <c r="C355" s="9" t="s">
        <v>62</v>
      </c>
      <c r="D355" s="9" t="s">
        <v>76</v>
      </c>
      <c r="E355" s="9" t="s">
        <v>1158</v>
      </c>
      <c r="F355" s="9" t="s">
        <v>1159</v>
      </c>
      <c r="G355" s="10">
        <v>45981</v>
      </c>
      <c r="H355" s="10">
        <v>46014</v>
      </c>
      <c r="I355">
        <v>24.9</v>
      </c>
      <c r="J355">
        <v>28.2</v>
      </c>
      <c r="K355" s="9" t="s">
        <v>1321</v>
      </c>
    </row>
    <row r="356" spans="1:11" x14ac:dyDescent="0.35">
      <c r="A356" s="9" t="s">
        <v>1816</v>
      </c>
      <c r="B356" s="9" t="s">
        <v>424</v>
      </c>
      <c r="C356" s="9" t="s">
        <v>62</v>
      </c>
      <c r="D356" s="9" t="s">
        <v>76</v>
      </c>
      <c r="E356" s="9" t="s">
        <v>1152</v>
      </c>
      <c r="F356" s="9" t="s">
        <v>1153</v>
      </c>
      <c r="G356" s="10">
        <v>46127</v>
      </c>
      <c r="H356" s="10">
        <v>46170</v>
      </c>
      <c r="I356">
        <v>35</v>
      </c>
      <c r="J356">
        <v>44.3</v>
      </c>
      <c r="K356" s="9" t="s">
        <v>1321</v>
      </c>
    </row>
    <row r="357" spans="1:11" x14ac:dyDescent="0.35">
      <c r="A357" s="9" t="s">
        <v>1817</v>
      </c>
      <c r="B357" s="9" t="s">
        <v>426</v>
      </c>
      <c r="C357" s="9" t="s">
        <v>62</v>
      </c>
      <c r="D357" s="9" t="s">
        <v>69</v>
      </c>
      <c r="E357" s="9" t="s">
        <v>1152</v>
      </c>
      <c r="F357" s="9" t="s">
        <v>1153</v>
      </c>
      <c r="G357" s="10">
        <v>46113</v>
      </c>
      <c r="H357" s="10">
        <v>46135</v>
      </c>
      <c r="I357">
        <v>2.5</v>
      </c>
      <c r="J357">
        <v>2.5</v>
      </c>
      <c r="K357" s="9" t="s">
        <v>1321</v>
      </c>
    </row>
    <row r="358" spans="1:11" x14ac:dyDescent="0.35">
      <c r="A358" s="9" t="s">
        <v>1818</v>
      </c>
      <c r="B358" s="9" t="s">
        <v>428</v>
      </c>
      <c r="C358" s="9" t="s">
        <v>46</v>
      </c>
      <c r="D358" s="9" t="s">
        <v>80</v>
      </c>
      <c r="E358" s="9" t="s">
        <v>1137</v>
      </c>
      <c r="F358" s="9" t="s">
        <v>1138</v>
      </c>
      <c r="G358" s="10">
        <v>45906</v>
      </c>
      <c r="H358" s="10">
        <v>45918</v>
      </c>
      <c r="I358">
        <v>24.1</v>
      </c>
      <c r="J358">
        <v>21</v>
      </c>
      <c r="K358" s="9" t="s">
        <v>1321</v>
      </c>
    </row>
    <row r="359" spans="1:11" x14ac:dyDescent="0.35">
      <c r="A359" s="9" t="s">
        <v>1819</v>
      </c>
      <c r="B359" s="9" t="s">
        <v>428</v>
      </c>
      <c r="C359" s="9" t="s">
        <v>46</v>
      </c>
      <c r="D359" s="9" t="s">
        <v>80</v>
      </c>
      <c r="E359" s="9" t="s">
        <v>1145</v>
      </c>
      <c r="F359" s="9" t="s">
        <v>1146</v>
      </c>
      <c r="G359" s="10">
        <v>45884</v>
      </c>
      <c r="H359" s="10">
        <v>45892</v>
      </c>
      <c r="I359">
        <v>2.6</v>
      </c>
      <c r="J359">
        <v>2.1</v>
      </c>
      <c r="K359" s="9" t="s">
        <v>1321</v>
      </c>
    </row>
    <row r="360" spans="1:11" x14ac:dyDescent="0.35">
      <c r="A360" s="9" t="s">
        <v>1820</v>
      </c>
      <c r="B360" s="9" t="s">
        <v>430</v>
      </c>
      <c r="C360" s="9" t="s">
        <v>46</v>
      </c>
      <c r="D360" s="9" t="s">
        <v>63</v>
      </c>
      <c r="E360" s="9" t="s">
        <v>1180</v>
      </c>
      <c r="F360" s="9" t="s">
        <v>1181</v>
      </c>
      <c r="G360" s="10">
        <v>46035</v>
      </c>
      <c r="H360" s="10">
        <v>46086</v>
      </c>
      <c r="I360">
        <v>14.7</v>
      </c>
      <c r="J360">
        <v>20.100000000000001</v>
      </c>
      <c r="K360" s="9" t="s">
        <v>1321</v>
      </c>
    </row>
    <row r="361" spans="1:11" x14ac:dyDescent="0.35">
      <c r="A361" s="9" t="s">
        <v>1821</v>
      </c>
      <c r="B361" s="9" t="s">
        <v>430</v>
      </c>
      <c r="C361" s="9" t="s">
        <v>46</v>
      </c>
      <c r="D361" s="9" t="s">
        <v>63</v>
      </c>
      <c r="E361" s="9" t="s">
        <v>1147</v>
      </c>
      <c r="F361" s="9" t="s">
        <v>1148</v>
      </c>
      <c r="G361" s="10">
        <v>45994</v>
      </c>
      <c r="H361" s="10">
        <v>46014</v>
      </c>
      <c r="I361">
        <v>25.7</v>
      </c>
      <c r="J361">
        <v>24.9</v>
      </c>
      <c r="K361" s="9" t="s">
        <v>1321</v>
      </c>
    </row>
    <row r="362" spans="1:11" x14ac:dyDescent="0.35">
      <c r="A362" s="9" t="s">
        <v>1822</v>
      </c>
      <c r="B362" s="9" t="s">
        <v>432</v>
      </c>
      <c r="C362" s="9" t="s">
        <v>46</v>
      </c>
      <c r="D362" s="9" t="s">
        <v>112</v>
      </c>
      <c r="E362" s="9" t="s">
        <v>1190</v>
      </c>
      <c r="F362" s="9" t="s">
        <v>1191</v>
      </c>
      <c r="G362" s="10">
        <v>45734</v>
      </c>
      <c r="H362" s="10">
        <v>45757</v>
      </c>
      <c r="I362">
        <v>25.7</v>
      </c>
      <c r="J362">
        <v>25.9</v>
      </c>
      <c r="K362" s="9" t="s">
        <v>1321</v>
      </c>
    </row>
    <row r="363" spans="1:11" x14ac:dyDescent="0.35">
      <c r="A363" s="9" t="s">
        <v>1823</v>
      </c>
      <c r="B363" s="9" t="s">
        <v>434</v>
      </c>
      <c r="C363" s="9" t="s">
        <v>55</v>
      </c>
      <c r="D363" s="9" t="s">
        <v>76</v>
      </c>
      <c r="E363" s="9" t="s">
        <v>1193</v>
      </c>
      <c r="F363" s="9" t="s">
        <v>1194</v>
      </c>
      <c r="G363" s="10">
        <v>45889</v>
      </c>
      <c r="H363" s="10">
        <v>45906</v>
      </c>
      <c r="I363">
        <v>34.700000000000003</v>
      </c>
      <c r="J363">
        <v>32.700000000000003</v>
      </c>
      <c r="K363" s="9" t="s">
        <v>1321</v>
      </c>
    </row>
    <row r="364" spans="1:11" x14ac:dyDescent="0.35">
      <c r="A364" s="9" t="s">
        <v>1824</v>
      </c>
      <c r="B364" s="9" t="s">
        <v>436</v>
      </c>
      <c r="C364" s="9" t="s">
        <v>46</v>
      </c>
      <c r="D364" s="9" t="s">
        <v>112</v>
      </c>
      <c r="E364" s="9" t="s">
        <v>1162</v>
      </c>
      <c r="F364" s="9" t="s">
        <v>1163</v>
      </c>
      <c r="G364" s="10">
        <v>45851</v>
      </c>
      <c r="H364" s="10">
        <v>45890</v>
      </c>
      <c r="I364">
        <v>30.9</v>
      </c>
      <c r="J364">
        <v>37.4</v>
      </c>
      <c r="K364" s="9" t="s">
        <v>1321</v>
      </c>
    </row>
    <row r="365" spans="1:11" x14ac:dyDescent="0.35">
      <c r="A365" s="9" t="s">
        <v>1825</v>
      </c>
      <c r="B365" s="9" t="s">
        <v>438</v>
      </c>
      <c r="C365" s="9" t="s">
        <v>62</v>
      </c>
      <c r="D365" s="9" t="s">
        <v>47</v>
      </c>
      <c r="E365" s="9" t="s">
        <v>1139</v>
      </c>
      <c r="F365" s="9" t="s">
        <v>1140</v>
      </c>
      <c r="G365" s="10">
        <v>46014</v>
      </c>
      <c r="H365" s="10">
        <v>46030</v>
      </c>
      <c r="I365">
        <v>29.6</v>
      </c>
      <c r="J365">
        <v>27.2</v>
      </c>
      <c r="K365" s="9" t="s">
        <v>1321</v>
      </c>
    </row>
    <row r="366" spans="1:11" x14ac:dyDescent="0.35">
      <c r="A366" s="9" t="s">
        <v>1826</v>
      </c>
      <c r="B366" s="9" t="s">
        <v>438</v>
      </c>
      <c r="C366" s="9" t="s">
        <v>62</v>
      </c>
      <c r="D366" s="9" t="s">
        <v>47</v>
      </c>
      <c r="E366" s="9" t="s">
        <v>1152</v>
      </c>
      <c r="F366" s="9" t="s">
        <v>1153</v>
      </c>
      <c r="G366" s="10">
        <v>45924</v>
      </c>
      <c r="H366" s="10">
        <v>45981</v>
      </c>
      <c r="I366">
        <v>21</v>
      </c>
      <c r="J366">
        <v>30.4</v>
      </c>
      <c r="K366" s="9" t="s">
        <v>1321</v>
      </c>
    </row>
    <row r="367" spans="1:11" x14ac:dyDescent="0.35">
      <c r="A367" s="9" t="s">
        <v>1827</v>
      </c>
      <c r="B367" s="9" t="s">
        <v>438</v>
      </c>
      <c r="C367" s="9" t="s">
        <v>62</v>
      </c>
      <c r="D367" s="9" t="s">
        <v>47</v>
      </c>
      <c r="E367" s="9" t="s">
        <v>1193</v>
      </c>
      <c r="F367" s="9" t="s">
        <v>1194</v>
      </c>
      <c r="G367" s="10">
        <v>45874</v>
      </c>
      <c r="H367" s="10">
        <v>45919</v>
      </c>
      <c r="I367">
        <v>21.9</v>
      </c>
      <c r="J367">
        <v>28.2</v>
      </c>
      <c r="K367" s="9" t="s">
        <v>1321</v>
      </c>
    </row>
    <row r="368" spans="1:11" x14ac:dyDescent="0.35">
      <c r="A368" s="9" t="s">
        <v>1828</v>
      </c>
      <c r="B368" s="9" t="s">
        <v>440</v>
      </c>
      <c r="C368" s="9" t="s">
        <v>46</v>
      </c>
      <c r="D368" s="9" t="s">
        <v>56</v>
      </c>
      <c r="E368" s="9" t="s">
        <v>1167</v>
      </c>
      <c r="F368" s="9" t="s">
        <v>1168</v>
      </c>
      <c r="G368" s="10">
        <v>45840</v>
      </c>
      <c r="H368" s="10">
        <v>45865</v>
      </c>
      <c r="I368">
        <v>31.6</v>
      </c>
      <c r="J368">
        <v>32.9</v>
      </c>
      <c r="K368" s="9" t="s">
        <v>1321</v>
      </c>
    </row>
    <row r="369" spans="1:11" x14ac:dyDescent="0.35">
      <c r="A369" s="9" t="s">
        <v>1829</v>
      </c>
      <c r="B369" s="9" t="s">
        <v>440</v>
      </c>
      <c r="C369" s="9" t="s">
        <v>46</v>
      </c>
      <c r="D369" s="9" t="s">
        <v>56</v>
      </c>
      <c r="E369" s="9" t="s">
        <v>1158</v>
      </c>
      <c r="F369" s="9" t="s">
        <v>1159</v>
      </c>
      <c r="G369" s="10">
        <v>45933</v>
      </c>
      <c r="H369" s="10">
        <v>45955</v>
      </c>
      <c r="I369">
        <v>34.1</v>
      </c>
      <c r="J369">
        <v>34.200000000000003</v>
      </c>
      <c r="K369" s="9" t="s">
        <v>1321</v>
      </c>
    </row>
    <row r="370" spans="1:11" x14ac:dyDescent="0.35">
      <c r="A370" s="9" t="s">
        <v>1830</v>
      </c>
      <c r="B370" s="9" t="s">
        <v>440</v>
      </c>
      <c r="C370" s="9" t="s">
        <v>46</v>
      </c>
      <c r="D370" s="9" t="s">
        <v>56</v>
      </c>
      <c r="E370" s="9" t="s">
        <v>1190</v>
      </c>
      <c r="F370" s="9" t="s">
        <v>1191</v>
      </c>
      <c r="G370" s="10">
        <v>45979</v>
      </c>
      <c r="H370" s="10">
        <v>45986</v>
      </c>
      <c r="I370">
        <v>15.5</v>
      </c>
      <c r="J370">
        <v>12.6</v>
      </c>
      <c r="K370" s="9" t="s">
        <v>1321</v>
      </c>
    </row>
    <row r="371" spans="1:11" x14ac:dyDescent="0.35">
      <c r="A371" s="9" t="s">
        <v>1831</v>
      </c>
      <c r="B371" s="9" t="s">
        <v>442</v>
      </c>
      <c r="C371" s="9" t="s">
        <v>46</v>
      </c>
      <c r="D371" s="9" t="s">
        <v>47</v>
      </c>
      <c r="E371" s="9" t="s">
        <v>1193</v>
      </c>
      <c r="F371" s="9" t="s">
        <v>1194</v>
      </c>
      <c r="G371" s="10">
        <v>45754</v>
      </c>
      <c r="H371" s="10">
        <v>45759</v>
      </c>
      <c r="I371">
        <v>31.9</v>
      </c>
      <c r="J371">
        <v>25</v>
      </c>
      <c r="K371" s="9" t="s">
        <v>1321</v>
      </c>
    </row>
    <row r="372" spans="1:11" x14ac:dyDescent="0.35">
      <c r="A372" s="9" t="s">
        <v>1832</v>
      </c>
      <c r="B372" s="9" t="s">
        <v>442</v>
      </c>
      <c r="C372" s="9" t="s">
        <v>46</v>
      </c>
      <c r="D372" s="9" t="s">
        <v>47</v>
      </c>
      <c r="E372" s="9" t="s">
        <v>1143</v>
      </c>
      <c r="F372" s="9" t="s">
        <v>1144</v>
      </c>
      <c r="G372" s="10">
        <v>45685</v>
      </c>
      <c r="H372" s="10">
        <v>45694</v>
      </c>
      <c r="I372">
        <v>33.299999999999997</v>
      </c>
      <c r="J372">
        <v>27.9</v>
      </c>
      <c r="K372" s="9" t="s">
        <v>1321</v>
      </c>
    </row>
    <row r="373" spans="1:11" x14ac:dyDescent="0.35">
      <c r="A373" s="9" t="s">
        <v>1833</v>
      </c>
      <c r="B373" s="9" t="s">
        <v>442</v>
      </c>
      <c r="C373" s="9" t="s">
        <v>46</v>
      </c>
      <c r="D373" s="9" t="s">
        <v>47</v>
      </c>
      <c r="E373" s="9" t="s">
        <v>1145</v>
      </c>
      <c r="F373" s="9" t="s">
        <v>1146</v>
      </c>
      <c r="G373" s="10">
        <v>45887</v>
      </c>
      <c r="H373" s="10">
        <v>45914</v>
      </c>
      <c r="I373">
        <v>9.9</v>
      </c>
      <c r="J373">
        <v>10.5</v>
      </c>
      <c r="K373" s="9" t="s">
        <v>1321</v>
      </c>
    </row>
    <row r="374" spans="1:11" x14ac:dyDescent="0.35">
      <c r="A374" s="9" t="s">
        <v>1834</v>
      </c>
      <c r="B374" s="9" t="s">
        <v>444</v>
      </c>
      <c r="C374" s="9" t="s">
        <v>46</v>
      </c>
      <c r="D374" s="9" t="s">
        <v>69</v>
      </c>
      <c r="E374" s="9" t="s">
        <v>1190</v>
      </c>
      <c r="F374" s="9" t="s">
        <v>1191</v>
      </c>
      <c r="G374" s="10">
        <v>45907</v>
      </c>
      <c r="H374" s="10">
        <v>45910</v>
      </c>
      <c r="I374">
        <v>17.8</v>
      </c>
      <c r="J374">
        <v>13.6</v>
      </c>
      <c r="K374" s="9" t="s">
        <v>1321</v>
      </c>
    </row>
    <row r="375" spans="1:11" x14ac:dyDescent="0.35">
      <c r="A375" s="9" t="s">
        <v>1835</v>
      </c>
      <c r="B375" s="9" t="s">
        <v>444</v>
      </c>
      <c r="C375" s="9" t="s">
        <v>46</v>
      </c>
      <c r="D375" s="9" t="s">
        <v>69</v>
      </c>
      <c r="E375" s="9" t="s">
        <v>1129</v>
      </c>
      <c r="F375" s="9" t="s">
        <v>1130</v>
      </c>
      <c r="G375" s="10">
        <v>45710</v>
      </c>
      <c r="H375" s="10">
        <v>45723</v>
      </c>
      <c r="I375">
        <v>18.399999999999999</v>
      </c>
      <c r="J375">
        <v>16.3</v>
      </c>
      <c r="K375" s="9" t="s">
        <v>1321</v>
      </c>
    </row>
    <row r="376" spans="1:11" x14ac:dyDescent="0.35">
      <c r="A376" s="9" t="s">
        <v>1836</v>
      </c>
      <c r="B376" s="9" t="s">
        <v>446</v>
      </c>
      <c r="C376" s="9" t="s">
        <v>46</v>
      </c>
      <c r="D376" s="9" t="s">
        <v>63</v>
      </c>
      <c r="E376" s="9" t="s">
        <v>1145</v>
      </c>
      <c r="F376" s="9" t="s">
        <v>1146</v>
      </c>
      <c r="G376" s="10">
        <v>45722</v>
      </c>
      <c r="H376" s="10">
        <v>45740</v>
      </c>
      <c r="I376">
        <v>22.4</v>
      </c>
      <c r="J376">
        <v>21.2</v>
      </c>
      <c r="K376" s="9" t="s">
        <v>1321</v>
      </c>
    </row>
    <row r="377" spans="1:11" x14ac:dyDescent="0.35">
      <c r="A377" s="9" t="s">
        <v>1837</v>
      </c>
      <c r="B377" s="9" t="s">
        <v>446</v>
      </c>
      <c r="C377" s="9" t="s">
        <v>46</v>
      </c>
      <c r="D377" s="9" t="s">
        <v>63</v>
      </c>
      <c r="E377" s="9" t="s">
        <v>1152</v>
      </c>
      <c r="F377" s="9" t="s">
        <v>1153</v>
      </c>
      <c r="G377" s="10">
        <v>45776</v>
      </c>
      <c r="H377" s="10">
        <v>45830</v>
      </c>
      <c r="I377">
        <v>24.3</v>
      </c>
      <c r="J377">
        <v>34.200000000000003</v>
      </c>
      <c r="K377" s="9" t="s">
        <v>1321</v>
      </c>
    </row>
    <row r="378" spans="1:11" x14ac:dyDescent="0.35">
      <c r="A378" s="9" t="s">
        <v>1838</v>
      </c>
      <c r="B378" s="9" t="s">
        <v>446</v>
      </c>
      <c r="C378" s="9" t="s">
        <v>46</v>
      </c>
      <c r="D378" s="9" t="s">
        <v>63</v>
      </c>
      <c r="E378" s="9" t="s">
        <v>1152</v>
      </c>
      <c r="F378" s="9" t="s">
        <v>1153</v>
      </c>
      <c r="G378" s="10">
        <v>46086</v>
      </c>
      <c r="H378" s="10">
        <v>46130</v>
      </c>
      <c r="I378">
        <v>10.1</v>
      </c>
      <c r="J378">
        <v>13</v>
      </c>
      <c r="K378" s="9" t="s">
        <v>1321</v>
      </c>
    </row>
    <row r="379" spans="1:11" x14ac:dyDescent="0.35">
      <c r="A379" s="9" t="s">
        <v>1839</v>
      </c>
      <c r="B379" s="9" t="s">
        <v>448</v>
      </c>
      <c r="C379" s="9" t="s">
        <v>46</v>
      </c>
      <c r="D379" s="9" t="s">
        <v>47</v>
      </c>
      <c r="E379" s="9" t="s">
        <v>1193</v>
      </c>
      <c r="F379" s="9" t="s">
        <v>1194</v>
      </c>
      <c r="G379" s="10">
        <v>45836</v>
      </c>
      <c r="H379" s="10">
        <v>45850</v>
      </c>
      <c r="I379">
        <v>2.4</v>
      </c>
      <c r="J379">
        <v>2.1</v>
      </c>
      <c r="K379" s="9" t="s">
        <v>1321</v>
      </c>
    </row>
    <row r="380" spans="1:11" x14ac:dyDescent="0.35">
      <c r="A380" s="9" t="s">
        <v>1840</v>
      </c>
      <c r="B380" s="9" t="s">
        <v>448</v>
      </c>
      <c r="C380" s="9" t="s">
        <v>46</v>
      </c>
      <c r="D380" s="9" t="s">
        <v>47</v>
      </c>
      <c r="E380" s="9" t="s">
        <v>1211</v>
      </c>
      <c r="F380" s="9" t="s">
        <v>1212</v>
      </c>
      <c r="G380" s="10">
        <v>46154</v>
      </c>
      <c r="H380" s="10">
        <v>46195</v>
      </c>
      <c r="I380">
        <v>9</v>
      </c>
      <c r="J380">
        <v>11.2</v>
      </c>
      <c r="K380" s="9" t="s">
        <v>1321</v>
      </c>
    </row>
    <row r="381" spans="1:11" x14ac:dyDescent="0.35">
      <c r="A381" s="9" t="s">
        <v>1841</v>
      </c>
      <c r="B381" s="9" t="s">
        <v>448</v>
      </c>
      <c r="C381" s="9" t="s">
        <v>46</v>
      </c>
      <c r="D381" s="9" t="s">
        <v>47</v>
      </c>
      <c r="E381" s="9" t="s">
        <v>1158</v>
      </c>
      <c r="F381" s="9" t="s">
        <v>1159</v>
      </c>
      <c r="G381" s="10">
        <v>45822</v>
      </c>
      <c r="H381" s="10">
        <v>45841</v>
      </c>
      <c r="I381">
        <v>23.4</v>
      </c>
      <c r="J381">
        <v>22.3</v>
      </c>
      <c r="K381" s="9" t="s">
        <v>1321</v>
      </c>
    </row>
    <row r="382" spans="1:11" x14ac:dyDescent="0.35">
      <c r="A382" s="9" t="s">
        <v>1842</v>
      </c>
      <c r="B382" s="9" t="s">
        <v>448</v>
      </c>
      <c r="C382" s="9" t="s">
        <v>46</v>
      </c>
      <c r="D382" s="9" t="s">
        <v>47</v>
      </c>
      <c r="E382" s="9" t="s">
        <v>1162</v>
      </c>
      <c r="F382" s="9" t="s">
        <v>1163</v>
      </c>
      <c r="G382" s="10">
        <v>45887</v>
      </c>
      <c r="H382" s="10">
        <v>45905</v>
      </c>
      <c r="I382">
        <v>27.6</v>
      </c>
      <c r="J382">
        <v>26.3</v>
      </c>
      <c r="K382" s="9" t="s">
        <v>1321</v>
      </c>
    </row>
    <row r="383" spans="1:11" x14ac:dyDescent="0.35">
      <c r="A383" s="9" t="s">
        <v>1843</v>
      </c>
      <c r="B383" s="9" t="s">
        <v>450</v>
      </c>
      <c r="C383" s="9" t="s">
        <v>46</v>
      </c>
      <c r="D383" s="9" t="s">
        <v>63</v>
      </c>
      <c r="E383" s="9" t="s">
        <v>1147</v>
      </c>
      <c r="F383" s="9" t="s">
        <v>1148</v>
      </c>
      <c r="G383" s="10">
        <v>46180</v>
      </c>
      <c r="H383" s="10">
        <v>46207</v>
      </c>
      <c r="I383">
        <v>16.8</v>
      </c>
      <c r="J383">
        <v>17.8</v>
      </c>
      <c r="K383" s="9" t="s">
        <v>1321</v>
      </c>
    </row>
    <row r="384" spans="1:11" x14ac:dyDescent="0.35">
      <c r="A384" s="9" t="s">
        <v>1844</v>
      </c>
      <c r="B384" s="9" t="s">
        <v>450</v>
      </c>
      <c r="C384" s="9" t="s">
        <v>46</v>
      </c>
      <c r="D384" s="9" t="s">
        <v>63</v>
      </c>
      <c r="E384" s="9" t="s">
        <v>1155</v>
      </c>
      <c r="F384" s="9" t="s">
        <v>1156</v>
      </c>
      <c r="G384" s="10">
        <v>46174</v>
      </c>
      <c r="H384" s="10">
        <v>46224</v>
      </c>
      <c r="I384">
        <v>28.9</v>
      </c>
      <c r="J384">
        <v>39.299999999999997</v>
      </c>
      <c r="K384" s="9" t="s">
        <v>1321</v>
      </c>
    </row>
    <row r="385" spans="1:11" x14ac:dyDescent="0.35">
      <c r="A385" s="9" t="s">
        <v>1845</v>
      </c>
      <c r="B385" s="9" t="s">
        <v>450</v>
      </c>
      <c r="C385" s="9" t="s">
        <v>46</v>
      </c>
      <c r="D385" s="9" t="s">
        <v>63</v>
      </c>
      <c r="E385" s="9" t="s">
        <v>1158</v>
      </c>
      <c r="F385" s="9" t="s">
        <v>1159</v>
      </c>
      <c r="G385" s="10">
        <v>46113</v>
      </c>
      <c r="H385" s="10">
        <v>46141</v>
      </c>
      <c r="I385">
        <v>16.7</v>
      </c>
      <c r="J385">
        <v>17.899999999999999</v>
      </c>
      <c r="K385" s="9" t="s">
        <v>1321</v>
      </c>
    </row>
    <row r="386" spans="1:11" x14ac:dyDescent="0.35">
      <c r="A386" s="9" t="s">
        <v>1846</v>
      </c>
      <c r="B386" s="9" t="s">
        <v>452</v>
      </c>
      <c r="C386" s="9" t="s">
        <v>46</v>
      </c>
      <c r="D386" s="9" t="s">
        <v>56</v>
      </c>
      <c r="E386" s="9" t="s">
        <v>1145</v>
      </c>
      <c r="F386" s="9" t="s">
        <v>1146</v>
      </c>
      <c r="G386" s="10">
        <v>46136</v>
      </c>
      <c r="H386" s="10">
        <v>46189</v>
      </c>
      <c r="I386">
        <v>3.8</v>
      </c>
      <c r="J386">
        <v>5.2</v>
      </c>
      <c r="K386" s="9" t="s">
        <v>1321</v>
      </c>
    </row>
    <row r="387" spans="1:11" x14ac:dyDescent="0.35">
      <c r="A387" s="9" t="s">
        <v>1847</v>
      </c>
      <c r="B387" s="9" t="s">
        <v>452</v>
      </c>
      <c r="C387" s="9" t="s">
        <v>46</v>
      </c>
      <c r="D387" s="9" t="s">
        <v>56</v>
      </c>
      <c r="E387" s="9" t="s">
        <v>1147</v>
      </c>
      <c r="F387" s="9" t="s">
        <v>1148</v>
      </c>
      <c r="G387" s="10">
        <v>45931</v>
      </c>
      <c r="H387" s="10"/>
      <c r="I387">
        <v>22.7</v>
      </c>
      <c r="K387" s="9" t="s">
        <v>1325</v>
      </c>
    </row>
    <row r="388" spans="1:11" x14ac:dyDescent="0.35">
      <c r="A388" s="9" t="s">
        <v>1848</v>
      </c>
      <c r="B388" s="9" t="s">
        <v>452</v>
      </c>
      <c r="C388" s="9" t="s">
        <v>46</v>
      </c>
      <c r="D388" s="9" t="s">
        <v>56</v>
      </c>
      <c r="E388" s="9" t="s">
        <v>1147</v>
      </c>
      <c r="F388" s="9" t="s">
        <v>1148</v>
      </c>
      <c r="G388" s="10">
        <v>46125</v>
      </c>
      <c r="H388" s="10">
        <v>46166</v>
      </c>
      <c r="I388">
        <v>3</v>
      </c>
      <c r="J388">
        <v>3.7</v>
      </c>
      <c r="K388" s="9" t="s">
        <v>1321</v>
      </c>
    </row>
    <row r="389" spans="1:11" x14ac:dyDescent="0.35">
      <c r="A389" s="9" t="s">
        <v>1849</v>
      </c>
      <c r="B389" s="9" t="s">
        <v>454</v>
      </c>
      <c r="C389" s="9" t="s">
        <v>46</v>
      </c>
      <c r="D389" s="9" t="s">
        <v>93</v>
      </c>
      <c r="E389" s="9" t="s">
        <v>1171</v>
      </c>
      <c r="F389" s="9" t="s">
        <v>1172</v>
      </c>
      <c r="G389" s="10">
        <v>45905</v>
      </c>
      <c r="H389" s="10">
        <v>45931</v>
      </c>
      <c r="I389">
        <v>33.6</v>
      </c>
      <c r="J389">
        <v>35.1</v>
      </c>
      <c r="K389" s="9" t="s">
        <v>1321</v>
      </c>
    </row>
    <row r="390" spans="1:11" x14ac:dyDescent="0.35">
      <c r="A390" s="9" t="s">
        <v>1850</v>
      </c>
      <c r="B390" s="9" t="s">
        <v>456</v>
      </c>
      <c r="C390" s="9" t="s">
        <v>46</v>
      </c>
      <c r="D390" s="9" t="s">
        <v>63</v>
      </c>
      <c r="E390" s="9" t="s">
        <v>1155</v>
      </c>
      <c r="F390" s="9" t="s">
        <v>1156</v>
      </c>
      <c r="G390" s="10">
        <v>46103</v>
      </c>
      <c r="H390" s="10">
        <v>46137</v>
      </c>
      <c r="I390">
        <v>12.3</v>
      </c>
      <c r="J390">
        <v>14.2</v>
      </c>
      <c r="K390" s="9" t="s">
        <v>1321</v>
      </c>
    </row>
    <row r="391" spans="1:11" x14ac:dyDescent="0.35">
      <c r="A391" s="9" t="s">
        <v>1851</v>
      </c>
      <c r="B391" s="9" t="s">
        <v>458</v>
      </c>
      <c r="C391" s="9" t="s">
        <v>55</v>
      </c>
      <c r="D391" s="9" t="s">
        <v>93</v>
      </c>
      <c r="E391" s="9" t="s">
        <v>1167</v>
      </c>
      <c r="F391" s="9" t="s">
        <v>1168</v>
      </c>
      <c r="G391" s="10">
        <v>45722</v>
      </c>
      <c r="H391" s="10">
        <v>45755</v>
      </c>
      <c r="I391">
        <v>34.5</v>
      </c>
      <c r="J391">
        <v>39.4</v>
      </c>
      <c r="K391" s="9" t="s">
        <v>1321</v>
      </c>
    </row>
    <row r="392" spans="1:11" x14ac:dyDescent="0.35">
      <c r="A392" s="9" t="s">
        <v>1852</v>
      </c>
      <c r="B392" s="9" t="s">
        <v>458</v>
      </c>
      <c r="C392" s="9" t="s">
        <v>55</v>
      </c>
      <c r="D392" s="9" t="s">
        <v>93</v>
      </c>
      <c r="E392" s="9" t="s">
        <v>1137</v>
      </c>
      <c r="F392" s="9" t="s">
        <v>1138</v>
      </c>
      <c r="G392" s="10">
        <v>46122</v>
      </c>
      <c r="H392" s="10"/>
      <c r="I392">
        <v>23.3</v>
      </c>
      <c r="K392" s="9" t="s">
        <v>1325</v>
      </c>
    </row>
    <row r="393" spans="1:11" x14ac:dyDescent="0.35">
      <c r="A393" s="9" t="s">
        <v>1853</v>
      </c>
      <c r="B393" s="9" t="s">
        <v>460</v>
      </c>
      <c r="C393" s="9" t="s">
        <v>46</v>
      </c>
      <c r="D393" s="9" t="s">
        <v>112</v>
      </c>
      <c r="E393" s="9" t="s">
        <v>1137</v>
      </c>
      <c r="F393" s="9" t="s">
        <v>1138</v>
      </c>
      <c r="G393" s="10">
        <v>46002</v>
      </c>
      <c r="H393" s="10">
        <v>46039</v>
      </c>
      <c r="I393">
        <v>24</v>
      </c>
      <c r="J393">
        <v>28.5</v>
      </c>
      <c r="K393" s="9" t="s">
        <v>1321</v>
      </c>
    </row>
    <row r="394" spans="1:11" x14ac:dyDescent="0.35">
      <c r="A394" s="9" t="s">
        <v>1854</v>
      </c>
      <c r="B394" s="9" t="s">
        <v>462</v>
      </c>
      <c r="C394" s="9" t="s">
        <v>55</v>
      </c>
      <c r="D394" s="9" t="s">
        <v>63</v>
      </c>
      <c r="E394" s="9" t="s">
        <v>1176</v>
      </c>
      <c r="F394" s="9" t="s">
        <v>1177</v>
      </c>
      <c r="G394" s="10">
        <v>45965</v>
      </c>
      <c r="H394" s="10">
        <v>46003</v>
      </c>
      <c r="I394">
        <v>16.399999999999999</v>
      </c>
      <c r="J394">
        <v>19.7</v>
      </c>
      <c r="K394" s="9" t="s">
        <v>1321</v>
      </c>
    </row>
    <row r="395" spans="1:11" x14ac:dyDescent="0.35">
      <c r="A395" s="9" t="s">
        <v>1855</v>
      </c>
      <c r="B395" s="9" t="s">
        <v>462</v>
      </c>
      <c r="C395" s="9" t="s">
        <v>55</v>
      </c>
      <c r="D395" s="9" t="s">
        <v>63</v>
      </c>
      <c r="E395" s="9" t="s">
        <v>1162</v>
      </c>
      <c r="F395" s="9" t="s">
        <v>1163</v>
      </c>
      <c r="G395" s="10">
        <v>45680</v>
      </c>
      <c r="H395" s="10">
        <v>45701</v>
      </c>
      <c r="I395">
        <v>12.6</v>
      </c>
      <c r="J395">
        <v>12.5</v>
      </c>
      <c r="K395" s="9" t="s">
        <v>1321</v>
      </c>
    </row>
    <row r="396" spans="1:11" x14ac:dyDescent="0.35">
      <c r="A396" s="9" t="s">
        <v>1856</v>
      </c>
      <c r="B396" s="9" t="s">
        <v>464</v>
      </c>
      <c r="C396" s="9" t="s">
        <v>55</v>
      </c>
      <c r="D396" s="9" t="s">
        <v>69</v>
      </c>
      <c r="E396" s="9" t="s">
        <v>1190</v>
      </c>
      <c r="F396" s="9" t="s">
        <v>1191</v>
      </c>
      <c r="G396" s="10">
        <v>46084</v>
      </c>
      <c r="H396" s="10">
        <v>46088</v>
      </c>
      <c r="I396">
        <v>23.4</v>
      </c>
      <c r="J396">
        <v>18</v>
      </c>
      <c r="K396" s="9" t="s">
        <v>1321</v>
      </c>
    </row>
    <row r="397" spans="1:11" x14ac:dyDescent="0.35">
      <c r="A397" s="9" t="s">
        <v>1857</v>
      </c>
      <c r="B397" s="9" t="s">
        <v>466</v>
      </c>
      <c r="C397" s="9" t="s">
        <v>55</v>
      </c>
      <c r="D397" s="9" t="s">
        <v>63</v>
      </c>
      <c r="E397" s="9" t="s">
        <v>1180</v>
      </c>
      <c r="F397" s="9" t="s">
        <v>1181</v>
      </c>
      <c r="G397" s="10">
        <v>45796</v>
      </c>
      <c r="H397" s="10">
        <v>45816</v>
      </c>
      <c r="I397">
        <v>12.1</v>
      </c>
      <c r="J397">
        <v>11.7</v>
      </c>
      <c r="K397" s="9" t="s">
        <v>1321</v>
      </c>
    </row>
    <row r="398" spans="1:11" x14ac:dyDescent="0.35">
      <c r="A398" s="9" t="s">
        <v>1858</v>
      </c>
      <c r="B398" s="9" t="s">
        <v>466</v>
      </c>
      <c r="C398" s="9" t="s">
        <v>55</v>
      </c>
      <c r="D398" s="9" t="s">
        <v>63</v>
      </c>
      <c r="E398" s="9" t="s">
        <v>1134</v>
      </c>
      <c r="F398" s="9" t="s">
        <v>1135</v>
      </c>
      <c r="G398" s="10">
        <v>45901</v>
      </c>
      <c r="H398" s="10">
        <v>45927</v>
      </c>
      <c r="I398">
        <v>29.2</v>
      </c>
      <c r="J398">
        <v>30.7</v>
      </c>
      <c r="K398" s="9" t="s">
        <v>1321</v>
      </c>
    </row>
    <row r="399" spans="1:11" x14ac:dyDescent="0.35">
      <c r="A399" s="9" t="s">
        <v>1859</v>
      </c>
      <c r="B399" s="9" t="s">
        <v>466</v>
      </c>
      <c r="C399" s="9" t="s">
        <v>55</v>
      </c>
      <c r="D399" s="9" t="s">
        <v>63</v>
      </c>
      <c r="E399" s="9" t="s">
        <v>1139</v>
      </c>
      <c r="F399" s="9" t="s">
        <v>1140</v>
      </c>
      <c r="G399" s="10">
        <v>45884</v>
      </c>
      <c r="H399" s="10">
        <v>45889</v>
      </c>
      <c r="I399">
        <v>31.9</v>
      </c>
      <c r="J399">
        <v>24.9</v>
      </c>
      <c r="K399" s="9" t="s">
        <v>1321</v>
      </c>
    </row>
    <row r="400" spans="1:11" x14ac:dyDescent="0.35">
      <c r="A400" s="9" t="s">
        <v>1860</v>
      </c>
      <c r="B400" s="9" t="s">
        <v>468</v>
      </c>
      <c r="C400" s="9" t="s">
        <v>55</v>
      </c>
      <c r="D400" s="9" t="s">
        <v>93</v>
      </c>
      <c r="E400" s="9" t="s">
        <v>1183</v>
      </c>
      <c r="F400" s="9" t="s">
        <v>1184</v>
      </c>
      <c r="G400" s="10">
        <v>45698</v>
      </c>
      <c r="H400" s="10">
        <v>45737</v>
      </c>
      <c r="I400">
        <v>25.1</v>
      </c>
      <c r="J400">
        <v>30.5</v>
      </c>
      <c r="K400" s="9" t="s">
        <v>1321</v>
      </c>
    </row>
    <row r="401" spans="1:11" x14ac:dyDescent="0.35">
      <c r="A401" s="9" t="s">
        <v>1861</v>
      </c>
      <c r="B401" s="9" t="s">
        <v>468</v>
      </c>
      <c r="C401" s="9" t="s">
        <v>55</v>
      </c>
      <c r="D401" s="9" t="s">
        <v>93</v>
      </c>
      <c r="E401" s="9" t="s">
        <v>1129</v>
      </c>
      <c r="F401" s="9" t="s">
        <v>1130</v>
      </c>
      <c r="G401" s="10">
        <v>46043</v>
      </c>
      <c r="H401" s="10">
        <v>46067</v>
      </c>
      <c r="I401">
        <v>34.6</v>
      </c>
      <c r="J401">
        <v>35.5</v>
      </c>
      <c r="K401" s="9" t="s">
        <v>1321</v>
      </c>
    </row>
    <row r="402" spans="1:11" x14ac:dyDescent="0.35">
      <c r="A402" s="9" t="s">
        <v>1862</v>
      </c>
      <c r="B402" s="9" t="s">
        <v>468</v>
      </c>
      <c r="C402" s="9" t="s">
        <v>55</v>
      </c>
      <c r="D402" s="9" t="s">
        <v>93</v>
      </c>
      <c r="E402" s="9" t="s">
        <v>1139</v>
      </c>
      <c r="F402" s="9" t="s">
        <v>1140</v>
      </c>
      <c r="G402" s="10">
        <v>46014</v>
      </c>
      <c r="H402" s="10">
        <v>46045</v>
      </c>
      <c r="I402">
        <v>18.600000000000001</v>
      </c>
      <c r="J402">
        <v>20.7</v>
      </c>
      <c r="K402" s="9" t="s">
        <v>1321</v>
      </c>
    </row>
    <row r="403" spans="1:11" x14ac:dyDescent="0.35">
      <c r="A403" s="9" t="s">
        <v>1863</v>
      </c>
      <c r="B403" s="9" t="s">
        <v>468</v>
      </c>
      <c r="C403" s="9" t="s">
        <v>55</v>
      </c>
      <c r="D403" s="9" t="s">
        <v>93</v>
      </c>
      <c r="E403" s="9" t="s">
        <v>1155</v>
      </c>
      <c r="F403" s="9" t="s">
        <v>1156</v>
      </c>
      <c r="G403" s="10">
        <v>45986</v>
      </c>
      <c r="H403" s="10">
        <v>46037</v>
      </c>
      <c r="I403">
        <v>22.9</v>
      </c>
      <c r="J403">
        <v>31.4</v>
      </c>
      <c r="K403" s="9" t="s">
        <v>1321</v>
      </c>
    </row>
    <row r="404" spans="1:11" x14ac:dyDescent="0.35">
      <c r="A404" s="9" t="s">
        <v>1864</v>
      </c>
      <c r="B404" s="9" t="s">
        <v>470</v>
      </c>
      <c r="C404" s="9" t="s">
        <v>46</v>
      </c>
      <c r="D404" s="9" t="s">
        <v>112</v>
      </c>
      <c r="E404" s="9" t="s">
        <v>1162</v>
      </c>
      <c r="F404" s="9" t="s">
        <v>1163</v>
      </c>
      <c r="G404" s="10">
        <v>45987</v>
      </c>
      <c r="H404" s="10">
        <v>46008</v>
      </c>
      <c r="I404">
        <v>31.5</v>
      </c>
      <c r="J404">
        <v>30.8</v>
      </c>
      <c r="K404" s="9" t="s">
        <v>1321</v>
      </c>
    </row>
    <row r="405" spans="1:11" x14ac:dyDescent="0.35">
      <c r="A405" s="9" t="s">
        <v>1865</v>
      </c>
      <c r="B405" s="9" t="s">
        <v>472</v>
      </c>
      <c r="C405" s="9" t="s">
        <v>55</v>
      </c>
      <c r="D405" s="9" t="s">
        <v>63</v>
      </c>
      <c r="E405" s="9" t="s">
        <v>1139</v>
      </c>
      <c r="F405" s="9" t="s">
        <v>1140</v>
      </c>
      <c r="G405" s="10">
        <v>45727</v>
      </c>
      <c r="H405" s="10">
        <v>45770</v>
      </c>
      <c r="I405">
        <v>6.4</v>
      </c>
      <c r="J405">
        <v>8.1</v>
      </c>
      <c r="K405" s="9" t="s">
        <v>1321</v>
      </c>
    </row>
    <row r="406" spans="1:11" x14ac:dyDescent="0.35">
      <c r="A406" s="9" t="s">
        <v>1866</v>
      </c>
      <c r="B406" s="9" t="s">
        <v>474</v>
      </c>
      <c r="C406" s="9" t="s">
        <v>46</v>
      </c>
      <c r="D406" s="9" t="s">
        <v>112</v>
      </c>
      <c r="E406" s="9" t="s">
        <v>1137</v>
      </c>
      <c r="F406" s="9" t="s">
        <v>1138</v>
      </c>
      <c r="G406" s="10">
        <v>46110</v>
      </c>
      <c r="H406" s="10">
        <v>46158</v>
      </c>
      <c r="I406">
        <v>28.2</v>
      </c>
      <c r="J406">
        <v>37.6</v>
      </c>
      <c r="K406" s="9" t="s">
        <v>1321</v>
      </c>
    </row>
    <row r="407" spans="1:11" x14ac:dyDescent="0.35">
      <c r="A407" s="9" t="s">
        <v>1867</v>
      </c>
      <c r="B407" s="9" t="s">
        <v>474</v>
      </c>
      <c r="C407" s="9" t="s">
        <v>46</v>
      </c>
      <c r="D407" s="9" t="s">
        <v>112</v>
      </c>
      <c r="E407" s="9" t="s">
        <v>1139</v>
      </c>
      <c r="F407" s="9" t="s">
        <v>1140</v>
      </c>
      <c r="G407" s="10">
        <v>45869</v>
      </c>
      <c r="H407" s="10">
        <v>45914</v>
      </c>
      <c r="I407">
        <v>25.6</v>
      </c>
      <c r="J407">
        <v>33</v>
      </c>
      <c r="K407" s="9" t="s">
        <v>1321</v>
      </c>
    </row>
    <row r="408" spans="1:11" x14ac:dyDescent="0.35">
      <c r="A408" s="9" t="s">
        <v>1868</v>
      </c>
      <c r="B408" s="9" t="s">
        <v>474</v>
      </c>
      <c r="C408" s="9" t="s">
        <v>46</v>
      </c>
      <c r="D408" s="9" t="s">
        <v>112</v>
      </c>
      <c r="E408" s="9" t="s">
        <v>1176</v>
      </c>
      <c r="F408" s="9" t="s">
        <v>1177</v>
      </c>
      <c r="G408" s="10">
        <v>45989</v>
      </c>
      <c r="H408" s="10">
        <v>46015</v>
      </c>
      <c r="I408">
        <v>29.8</v>
      </c>
      <c r="J408">
        <v>31.4</v>
      </c>
      <c r="K408" s="9" t="s">
        <v>1321</v>
      </c>
    </row>
    <row r="409" spans="1:11" x14ac:dyDescent="0.35">
      <c r="A409" s="9" t="s">
        <v>1869</v>
      </c>
      <c r="B409" s="9" t="s">
        <v>476</v>
      </c>
      <c r="C409" s="9" t="s">
        <v>46</v>
      </c>
      <c r="D409" s="9" t="s">
        <v>56</v>
      </c>
      <c r="E409" s="9" t="s">
        <v>1134</v>
      </c>
      <c r="F409" s="9" t="s">
        <v>1135</v>
      </c>
      <c r="G409" s="10">
        <v>45736</v>
      </c>
      <c r="H409" s="10">
        <v>45771</v>
      </c>
      <c r="I409">
        <v>4.4000000000000004</v>
      </c>
      <c r="J409">
        <v>5.0999999999999996</v>
      </c>
      <c r="K409" s="9" t="s">
        <v>1321</v>
      </c>
    </row>
    <row r="410" spans="1:11" x14ac:dyDescent="0.35">
      <c r="A410" s="9" t="s">
        <v>1870</v>
      </c>
      <c r="B410" s="9" t="s">
        <v>476</v>
      </c>
      <c r="C410" s="9" t="s">
        <v>46</v>
      </c>
      <c r="D410" s="9" t="s">
        <v>56</v>
      </c>
      <c r="E410" s="9" t="s">
        <v>1193</v>
      </c>
      <c r="F410" s="9" t="s">
        <v>1194</v>
      </c>
      <c r="G410" s="10">
        <v>45692</v>
      </c>
      <c r="H410" s="10">
        <v>45704</v>
      </c>
      <c r="I410">
        <v>13.9</v>
      </c>
      <c r="J410">
        <v>12.1</v>
      </c>
      <c r="K410" s="9" t="s">
        <v>1321</v>
      </c>
    </row>
    <row r="411" spans="1:11" x14ac:dyDescent="0.35">
      <c r="A411" s="9" t="s">
        <v>1871</v>
      </c>
      <c r="B411" s="9" t="s">
        <v>476</v>
      </c>
      <c r="C411" s="9" t="s">
        <v>46</v>
      </c>
      <c r="D411" s="9" t="s">
        <v>56</v>
      </c>
      <c r="E411" s="9" t="s">
        <v>1137</v>
      </c>
      <c r="F411" s="9" t="s">
        <v>1138</v>
      </c>
      <c r="G411" s="10">
        <v>45667</v>
      </c>
      <c r="H411" s="10">
        <v>45696</v>
      </c>
      <c r="I411">
        <v>27.6</v>
      </c>
      <c r="J411">
        <v>30.1</v>
      </c>
      <c r="K411" s="9" t="s">
        <v>1321</v>
      </c>
    </row>
    <row r="412" spans="1:11" x14ac:dyDescent="0.35">
      <c r="A412" s="9" t="s">
        <v>1872</v>
      </c>
      <c r="B412" s="9" t="s">
        <v>478</v>
      </c>
      <c r="C412" s="9" t="s">
        <v>55</v>
      </c>
      <c r="D412" s="9" t="s">
        <v>93</v>
      </c>
      <c r="E412" s="9" t="s">
        <v>1188</v>
      </c>
      <c r="F412" s="9" t="s">
        <v>1189</v>
      </c>
      <c r="G412" s="10">
        <v>45724</v>
      </c>
      <c r="H412" s="10">
        <v>45718</v>
      </c>
      <c r="I412">
        <v>8.5</v>
      </c>
      <c r="J412">
        <v>9.1999999999999993</v>
      </c>
      <c r="K412" s="9" t="s">
        <v>1321</v>
      </c>
    </row>
    <row r="413" spans="1:11" x14ac:dyDescent="0.35">
      <c r="A413" s="9" t="s">
        <v>1873</v>
      </c>
      <c r="B413" s="9" t="s">
        <v>478</v>
      </c>
      <c r="C413" s="9" t="s">
        <v>55</v>
      </c>
      <c r="D413" s="9" t="s">
        <v>93</v>
      </c>
      <c r="E413" s="9" t="s">
        <v>1176</v>
      </c>
      <c r="F413" s="9" t="s">
        <v>1177</v>
      </c>
      <c r="G413" s="10">
        <v>46141</v>
      </c>
      <c r="H413" s="10">
        <v>46151</v>
      </c>
      <c r="I413">
        <v>29.2</v>
      </c>
      <c r="J413">
        <v>24.6</v>
      </c>
      <c r="K413" s="9" t="s">
        <v>1321</v>
      </c>
    </row>
    <row r="414" spans="1:11" x14ac:dyDescent="0.35">
      <c r="A414" s="9" t="s">
        <v>1874</v>
      </c>
      <c r="B414" s="9" t="s">
        <v>478</v>
      </c>
      <c r="C414" s="9" t="s">
        <v>55</v>
      </c>
      <c r="D414" s="9" t="s">
        <v>93</v>
      </c>
      <c r="E414" s="9" t="s">
        <v>1137</v>
      </c>
      <c r="F414" s="9" t="s">
        <v>1138</v>
      </c>
      <c r="G414" s="10">
        <v>45668</v>
      </c>
      <c r="H414" s="10">
        <v>45687</v>
      </c>
      <c r="I414">
        <v>30.9</v>
      </c>
      <c r="J414">
        <v>29.6</v>
      </c>
      <c r="K414" s="9" t="s">
        <v>1321</v>
      </c>
    </row>
    <row r="415" spans="1:11" x14ac:dyDescent="0.35">
      <c r="A415" s="9" t="s">
        <v>1875</v>
      </c>
      <c r="B415" s="9" t="s">
        <v>480</v>
      </c>
      <c r="C415" s="9" t="s">
        <v>55</v>
      </c>
      <c r="D415" s="9" t="s">
        <v>47</v>
      </c>
      <c r="E415" s="9" t="s">
        <v>1171</v>
      </c>
      <c r="F415" s="9" t="s">
        <v>1172</v>
      </c>
      <c r="G415" s="10">
        <v>46089</v>
      </c>
      <c r="H415" s="10">
        <v>46111</v>
      </c>
      <c r="I415">
        <v>12.8</v>
      </c>
      <c r="J415">
        <v>12.8</v>
      </c>
      <c r="K415" s="9" t="s">
        <v>1321</v>
      </c>
    </row>
    <row r="416" spans="1:11" x14ac:dyDescent="0.35">
      <c r="A416" s="9" t="s">
        <v>1876</v>
      </c>
      <c r="B416" s="9" t="s">
        <v>480</v>
      </c>
      <c r="C416" s="9" t="s">
        <v>55</v>
      </c>
      <c r="D416" s="9" t="s">
        <v>47</v>
      </c>
      <c r="E416" s="9" t="s">
        <v>1193</v>
      </c>
      <c r="F416" s="9" t="s">
        <v>1194</v>
      </c>
      <c r="G416" s="10">
        <v>46103</v>
      </c>
      <c r="H416" s="10">
        <v>46119</v>
      </c>
      <c r="I416">
        <v>29.3</v>
      </c>
      <c r="J416">
        <v>26.8</v>
      </c>
      <c r="K416" s="9" t="s">
        <v>1321</v>
      </c>
    </row>
    <row r="417" spans="1:11" x14ac:dyDescent="0.35">
      <c r="A417" s="9" t="s">
        <v>1877</v>
      </c>
      <c r="B417" s="9" t="s">
        <v>480</v>
      </c>
      <c r="C417" s="9" t="s">
        <v>55</v>
      </c>
      <c r="D417" s="9" t="s">
        <v>47</v>
      </c>
      <c r="E417" s="9" t="s">
        <v>1143</v>
      </c>
      <c r="F417" s="9" t="s">
        <v>1144</v>
      </c>
      <c r="G417" s="10">
        <v>46170</v>
      </c>
      <c r="H417" s="10"/>
      <c r="I417">
        <v>7.4</v>
      </c>
      <c r="K417" s="9" t="s">
        <v>1325</v>
      </c>
    </row>
    <row r="418" spans="1:11" x14ac:dyDescent="0.35">
      <c r="A418" s="9" t="s">
        <v>1878</v>
      </c>
      <c r="B418" s="9" t="s">
        <v>482</v>
      </c>
      <c r="C418" s="9" t="s">
        <v>62</v>
      </c>
      <c r="D418" s="9" t="s">
        <v>80</v>
      </c>
      <c r="E418" s="9" t="s">
        <v>1155</v>
      </c>
      <c r="F418" s="9" t="s">
        <v>1156</v>
      </c>
      <c r="G418" s="10">
        <v>46123</v>
      </c>
      <c r="H418" s="10"/>
      <c r="I418">
        <v>32.799999999999997</v>
      </c>
      <c r="K418" s="9" t="s">
        <v>1325</v>
      </c>
    </row>
    <row r="419" spans="1:11" x14ac:dyDescent="0.35">
      <c r="A419" s="9" t="s">
        <v>1879</v>
      </c>
      <c r="B419" s="9" t="s">
        <v>482</v>
      </c>
      <c r="C419" s="9" t="s">
        <v>62</v>
      </c>
      <c r="D419" s="9" t="s">
        <v>80</v>
      </c>
      <c r="E419" s="9" t="s">
        <v>1129</v>
      </c>
      <c r="F419" s="9" t="s">
        <v>1130</v>
      </c>
      <c r="G419" s="10">
        <v>45717</v>
      </c>
      <c r="H419" s="10">
        <v>45753</v>
      </c>
      <c r="I419">
        <v>13.6</v>
      </c>
      <c r="J419">
        <v>16</v>
      </c>
      <c r="K419" s="9" t="s">
        <v>1321</v>
      </c>
    </row>
    <row r="420" spans="1:11" x14ac:dyDescent="0.35">
      <c r="A420" s="9" t="s">
        <v>1880</v>
      </c>
      <c r="B420" s="9" t="s">
        <v>484</v>
      </c>
      <c r="C420" s="9" t="s">
        <v>62</v>
      </c>
      <c r="D420" s="9" t="s">
        <v>63</v>
      </c>
      <c r="E420" s="9" t="s">
        <v>1129</v>
      </c>
      <c r="F420" s="9" t="s">
        <v>1130</v>
      </c>
      <c r="G420" s="10">
        <v>45861</v>
      </c>
      <c r="H420" s="10">
        <v>45917</v>
      </c>
      <c r="I420">
        <v>28.6</v>
      </c>
      <c r="J420">
        <v>40.799999999999997</v>
      </c>
      <c r="K420" s="9" t="s">
        <v>1321</v>
      </c>
    </row>
    <row r="421" spans="1:11" x14ac:dyDescent="0.35">
      <c r="A421" s="9" t="s">
        <v>1881</v>
      </c>
      <c r="B421" s="9" t="s">
        <v>484</v>
      </c>
      <c r="C421" s="9" t="s">
        <v>62</v>
      </c>
      <c r="D421" s="9" t="s">
        <v>63</v>
      </c>
      <c r="E421" s="9" t="s">
        <v>1137</v>
      </c>
      <c r="F421" s="9" t="s">
        <v>1138</v>
      </c>
      <c r="G421" s="10">
        <v>45733</v>
      </c>
      <c r="H421" s="10">
        <v>45741</v>
      </c>
      <c r="I421">
        <v>35.5</v>
      </c>
      <c r="J421">
        <v>29</v>
      </c>
      <c r="K421" s="9" t="s">
        <v>1321</v>
      </c>
    </row>
    <row r="422" spans="1:11" x14ac:dyDescent="0.35">
      <c r="A422" s="9" t="s">
        <v>1882</v>
      </c>
      <c r="B422" s="9" t="s">
        <v>484</v>
      </c>
      <c r="C422" s="9" t="s">
        <v>62</v>
      </c>
      <c r="D422" s="9" t="s">
        <v>63</v>
      </c>
      <c r="E422" s="9" t="s">
        <v>1190</v>
      </c>
      <c r="F422" s="9" t="s">
        <v>1191</v>
      </c>
      <c r="G422" s="10">
        <v>45980</v>
      </c>
      <c r="H422" s="10">
        <v>46026</v>
      </c>
      <c r="I422">
        <v>35.1</v>
      </c>
      <c r="J422">
        <v>45.9</v>
      </c>
      <c r="K422" s="9" t="s">
        <v>1321</v>
      </c>
    </row>
    <row r="423" spans="1:11" x14ac:dyDescent="0.35">
      <c r="A423" s="9" t="s">
        <v>1883</v>
      </c>
      <c r="B423" s="9" t="s">
        <v>486</v>
      </c>
      <c r="C423" s="9" t="s">
        <v>62</v>
      </c>
      <c r="D423" s="9" t="s">
        <v>47</v>
      </c>
      <c r="E423" s="9" t="s">
        <v>1190</v>
      </c>
      <c r="F423" s="9" t="s">
        <v>1191</v>
      </c>
      <c r="G423" s="10">
        <v>46174</v>
      </c>
      <c r="H423" s="10">
        <v>46196</v>
      </c>
      <c r="I423">
        <v>27.3</v>
      </c>
      <c r="J423">
        <v>27.2</v>
      </c>
      <c r="K423" s="9" t="s">
        <v>1321</v>
      </c>
    </row>
    <row r="424" spans="1:11" x14ac:dyDescent="0.35">
      <c r="A424" s="9" t="s">
        <v>1884</v>
      </c>
      <c r="B424" s="9" t="s">
        <v>486</v>
      </c>
      <c r="C424" s="9" t="s">
        <v>62</v>
      </c>
      <c r="D424" s="9" t="s">
        <v>47</v>
      </c>
      <c r="E424" s="9" t="s">
        <v>1183</v>
      </c>
      <c r="F424" s="9" t="s">
        <v>1184</v>
      </c>
      <c r="G424" s="10">
        <v>45728</v>
      </c>
      <c r="H424" s="10">
        <v>45760</v>
      </c>
      <c r="I424">
        <v>10.199999999999999</v>
      </c>
      <c r="J424">
        <v>11.5</v>
      </c>
      <c r="K424" s="9" t="s">
        <v>1321</v>
      </c>
    </row>
    <row r="425" spans="1:11" x14ac:dyDescent="0.35">
      <c r="A425" s="9" t="s">
        <v>1885</v>
      </c>
      <c r="B425" s="9" t="s">
        <v>486</v>
      </c>
      <c r="C425" s="9" t="s">
        <v>62</v>
      </c>
      <c r="D425" s="9" t="s">
        <v>47</v>
      </c>
      <c r="E425" s="9" t="s">
        <v>1211</v>
      </c>
      <c r="F425" s="9" t="s">
        <v>1212</v>
      </c>
      <c r="G425" s="10">
        <v>45815</v>
      </c>
      <c r="H425" s="10">
        <v>45857</v>
      </c>
      <c r="I425">
        <v>34.4</v>
      </c>
      <c r="J425">
        <v>43.2</v>
      </c>
      <c r="K425" s="9" t="s">
        <v>1321</v>
      </c>
    </row>
    <row r="426" spans="1:11" x14ac:dyDescent="0.35">
      <c r="A426" s="9" t="s">
        <v>1886</v>
      </c>
      <c r="B426" s="9" t="s">
        <v>488</v>
      </c>
      <c r="C426" s="9" t="s">
        <v>46</v>
      </c>
      <c r="D426" s="9" t="s">
        <v>56</v>
      </c>
      <c r="E426" s="9" t="s">
        <v>1190</v>
      </c>
      <c r="F426" s="9" t="s">
        <v>1191</v>
      </c>
      <c r="G426" s="10">
        <v>46168</v>
      </c>
      <c r="H426" s="10">
        <v>46224</v>
      </c>
      <c r="I426">
        <v>6.6</v>
      </c>
      <c r="J426">
        <v>9.4</v>
      </c>
      <c r="K426" s="9" t="s">
        <v>1321</v>
      </c>
    </row>
    <row r="427" spans="1:11" x14ac:dyDescent="0.35">
      <c r="A427" s="9" t="s">
        <v>1887</v>
      </c>
      <c r="B427" s="9" t="s">
        <v>490</v>
      </c>
      <c r="C427" s="9" t="s">
        <v>46</v>
      </c>
      <c r="D427" s="9" t="s">
        <v>69</v>
      </c>
      <c r="E427" s="9" t="s">
        <v>1167</v>
      </c>
      <c r="F427" s="9" t="s">
        <v>1168</v>
      </c>
      <c r="G427" s="10">
        <v>45919</v>
      </c>
      <c r="H427" s="10">
        <v>45954</v>
      </c>
      <c r="I427">
        <v>23.2</v>
      </c>
      <c r="J427">
        <v>27</v>
      </c>
      <c r="K427" s="9" t="s">
        <v>1321</v>
      </c>
    </row>
    <row r="428" spans="1:11" x14ac:dyDescent="0.35">
      <c r="A428" s="9" t="s">
        <v>1888</v>
      </c>
      <c r="B428" s="9" t="s">
        <v>490</v>
      </c>
      <c r="C428" s="9" t="s">
        <v>46</v>
      </c>
      <c r="D428" s="9" t="s">
        <v>69</v>
      </c>
      <c r="E428" s="9" t="s">
        <v>1158</v>
      </c>
      <c r="F428" s="9" t="s">
        <v>1159</v>
      </c>
      <c r="G428" s="10">
        <v>46186</v>
      </c>
      <c r="H428" s="10"/>
      <c r="I428">
        <v>15.5</v>
      </c>
      <c r="K428" s="9" t="s">
        <v>1473</v>
      </c>
    </row>
    <row r="429" spans="1:11" x14ac:dyDescent="0.35">
      <c r="A429" s="9" t="s">
        <v>1889</v>
      </c>
      <c r="B429" s="9" t="s">
        <v>490</v>
      </c>
      <c r="C429" s="9" t="s">
        <v>46</v>
      </c>
      <c r="D429" s="9" t="s">
        <v>69</v>
      </c>
      <c r="E429" s="9" t="s">
        <v>1137</v>
      </c>
      <c r="F429" s="9" t="s">
        <v>1138</v>
      </c>
      <c r="G429" s="10">
        <v>45710</v>
      </c>
      <c r="H429" s="10"/>
      <c r="I429">
        <v>34.200000000000003</v>
      </c>
      <c r="K429" s="9" t="s">
        <v>1473</v>
      </c>
    </row>
    <row r="430" spans="1:11" x14ac:dyDescent="0.35">
      <c r="A430" s="9" t="s">
        <v>1890</v>
      </c>
      <c r="B430" s="9" t="s">
        <v>492</v>
      </c>
      <c r="C430" s="9" t="s">
        <v>46</v>
      </c>
      <c r="D430" s="9" t="s">
        <v>80</v>
      </c>
      <c r="E430" s="9" t="s">
        <v>1129</v>
      </c>
      <c r="F430" s="9" t="s">
        <v>1130</v>
      </c>
      <c r="G430" s="10">
        <v>46176</v>
      </c>
      <c r="H430" s="10">
        <v>46209</v>
      </c>
      <c r="I430">
        <v>13.2</v>
      </c>
      <c r="J430">
        <v>15.1</v>
      </c>
      <c r="K430" s="9" t="s">
        <v>1321</v>
      </c>
    </row>
    <row r="431" spans="1:11" x14ac:dyDescent="0.35">
      <c r="A431" s="9" t="s">
        <v>1891</v>
      </c>
      <c r="B431" s="9" t="s">
        <v>492</v>
      </c>
      <c r="C431" s="9" t="s">
        <v>46</v>
      </c>
      <c r="D431" s="9" t="s">
        <v>80</v>
      </c>
      <c r="E431" s="9" t="s">
        <v>1143</v>
      </c>
      <c r="F431" s="9" t="s">
        <v>1144</v>
      </c>
      <c r="G431" s="10">
        <v>45816</v>
      </c>
      <c r="H431" s="10">
        <v>45828</v>
      </c>
      <c r="I431">
        <v>34.4</v>
      </c>
      <c r="J431">
        <v>29.9</v>
      </c>
      <c r="K431" s="9" t="s">
        <v>1321</v>
      </c>
    </row>
    <row r="432" spans="1:11" x14ac:dyDescent="0.35">
      <c r="A432" s="9" t="s">
        <v>1892</v>
      </c>
      <c r="B432" s="9" t="s">
        <v>492</v>
      </c>
      <c r="C432" s="9" t="s">
        <v>46</v>
      </c>
      <c r="D432" s="9" t="s">
        <v>80</v>
      </c>
      <c r="E432" s="9" t="s">
        <v>1188</v>
      </c>
      <c r="F432" s="9" t="s">
        <v>1189</v>
      </c>
      <c r="G432" s="10">
        <v>45874</v>
      </c>
      <c r="H432" s="10">
        <v>45888</v>
      </c>
      <c r="I432">
        <v>19.100000000000001</v>
      </c>
      <c r="J432">
        <v>17.2</v>
      </c>
      <c r="K432" s="9" t="s">
        <v>1321</v>
      </c>
    </row>
    <row r="433" spans="1:11" x14ac:dyDescent="0.35">
      <c r="A433" s="9" t="s">
        <v>1893</v>
      </c>
      <c r="B433" s="9" t="s">
        <v>494</v>
      </c>
      <c r="C433" s="9" t="s">
        <v>62</v>
      </c>
      <c r="D433" s="9" t="s">
        <v>63</v>
      </c>
      <c r="E433" s="9" t="s">
        <v>1188</v>
      </c>
      <c r="F433" s="9" t="s">
        <v>1189</v>
      </c>
      <c r="G433" s="10">
        <v>45775</v>
      </c>
      <c r="H433" s="10">
        <v>45827</v>
      </c>
      <c r="I433">
        <v>29.2</v>
      </c>
      <c r="J433">
        <v>40.4</v>
      </c>
      <c r="K433" s="9" t="s">
        <v>1321</v>
      </c>
    </row>
    <row r="434" spans="1:11" x14ac:dyDescent="0.35">
      <c r="A434" s="9" t="s">
        <v>1894</v>
      </c>
      <c r="B434" s="9" t="s">
        <v>496</v>
      </c>
      <c r="C434" s="9" t="s">
        <v>46</v>
      </c>
      <c r="D434" s="9" t="s">
        <v>47</v>
      </c>
      <c r="E434" s="9" t="s">
        <v>1162</v>
      </c>
      <c r="F434" s="9" t="s">
        <v>1163</v>
      </c>
      <c r="G434" s="10">
        <v>46141</v>
      </c>
      <c r="H434" s="10">
        <v>46165</v>
      </c>
      <c r="I434">
        <v>19.100000000000001</v>
      </c>
      <c r="J434">
        <v>19.5</v>
      </c>
      <c r="K434" s="9" t="s">
        <v>1321</v>
      </c>
    </row>
    <row r="435" spans="1:11" x14ac:dyDescent="0.35">
      <c r="A435" s="9" t="s">
        <v>1895</v>
      </c>
      <c r="B435" s="9" t="s">
        <v>498</v>
      </c>
      <c r="C435" s="9" t="s">
        <v>55</v>
      </c>
      <c r="D435" s="9" t="s">
        <v>56</v>
      </c>
      <c r="E435" s="9" t="s">
        <v>1196</v>
      </c>
      <c r="F435" s="9" t="s">
        <v>1197</v>
      </c>
      <c r="G435" s="10">
        <v>46195</v>
      </c>
      <c r="H435" s="10">
        <v>46241</v>
      </c>
      <c r="I435">
        <v>20.8</v>
      </c>
      <c r="J435">
        <v>27.1</v>
      </c>
      <c r="K435" s="9" t="s">
        <v>1321</v>
      </c>
    </row>
    <row r="436" spans="1:11" x14ac:dyDescent="0.35">
      <c r="A436" s="9" t="s">
        <v>1896</v>
      </c>
      <c r="B436" s="9" t="s">
        <v>500</v>
      </c>
      <c r="C436" s="9" t="s">
        <v>46</v>
      </c>
      <c r="D436" s="9" t="s">
        <v>80</v>
      </c>
      <c r="E436" s="9" t="s">
        <v>1176</v>
      </c>
      <c r="F436" s="9" t="s">
        <v>1177</v>
      </c>
      <c r="G436" s="10">
        <v>45999</v>
      </c>
      <c r="H436" s="10">
        <v>46040</v>
      </c>
      <c r="I436">
        <v>31.4</v>
      </c>
      <c r="J436">
        <v>39.200000000000003</v>
      </c>
      <c r="K436" s="9" t="s">
        <v>1321</v>
      </c>
    </row>
    <row r="437" spans="1:11" x14ac:dyDescent="0.35">
      <c r="A437" s="9" t="s">
        <v>1897</v>
      </c>
      <c r="B437" s="9" t="s">
        <v>500</v>
      </c>
      <c r="C437" s="9" t="s">
        <v>46</v>
      </c>
      <c r="D437" s="9" t="s">
        <v>80</v>
      </c>
      <c r="E437" s="9" t="s">
        <v>1190</v>
      </c>
      <c r="F437" s="9" t="s">
        <v>1191</v>
      </c>
      <c r="G437" s="10">
        <v>46188</v>
      </c>
      <c r="H437" s="10">
        <v>46222</v>
      </c>
      <c r="I437">
        <v>35.9</v>
      </c>
      <c r="J437">
        <v>41.5</v>
      </c>
      <c r="K437" s="9" t="s">
        <v>1321</v>
      </c>
    </row>
    <row r="438" spans="1:11" x14ac:dyDescent="0.35">
      <c r="A438" s="9" t="s">
        <v>1898</v>
      </c>
      <c r="B438" s="9" t="s">
        <v>502</v>
      </c>
      <c r="C438" s="9" t="s">
        <v>46</v>
      </c>
      <c r="D438" s="9" t="s">
        <v>47</v>
      </c>
      <c r="E438" s="9" t="s">
        <v>1158</v>
      </c>
      <c r="F438" s="9" t="s">
        <v>1159</v>
      </c>
      <c r="G438" s="10">
        <v>45688</v>
      </c>
      <c r="H438" s="10">
        <v>45726</v>
      </c>
      <c r="I438">
        <v>5.6</v>
      </c>
      <c r="J438">
        <v>6.7</v>
      </c>
      <c r="K438" s="9" t="s">
        <v>1321</v>
      </c>
    </row>
    <row r="439" spans="1:11" x14ac:dyDescent="0.35">
      <c r="A439" s="9" t="s">
        <v>1899</v>
      </c>
      <c r="B439" s="9" t="s">
        <v>502</v>
      </c>
      <c r="C439" s="9" t="s">
        <v>46</v>
      </c>
      <c r="D439" s="9" t="s">
        <v>47</v>
      </c>
      <c r="E439" s="9" t="s">
        <v>1162</v>
      </c>
      <c r="F439" s="9" t="s">
        <v>1163</v>
      </c>
      <c r="G439" s="10">
        <v>45782</v>
      </c>
      <c r="H439" s="10">
        <v>45838</v>
      </c>
      <c r="I439">
        <v>29.8</v>
      </c>
      <c r="J439">
        <v>42.5</v>
      </c>
      <c r="K439" s="9" t="s">
        <v>1321</v>
      </c>
    </row>
    <row r="440" spans="1:11" x14ac:dyDescent="0.35">
      <c r="A440" s="9" t="s">
        <v>1900</v>
      </c>
      <c r="B440" s="9" t="s">
        <v>502</v>
      </c>
      <c r="C440" s="9" t="s">
        <v>46</v>
      </c>
      <c r="D440" s="9" t="s">
        <v>47</v>
      </c>
      <c r="E440" s="9" t="s">
        <v>1188</v>
      </c>
      <c r="F440" s="9" t="s">
        <v>1189</v>
      </c>
      <c r="G440" s="10">
        <v>46156</v>
      </c>
      <c r="H440" s="10">
        <v>46210</v>
      </c>
      <c r="I440">
        <v>32.9</v>
      </c>
      <c r="J440">
        <v>46.5</v>
      </c>
      <c r="K440" s="9" t="s">
        <v>1321</v>
      </c>
    </row>
    <row r="441" spans="1:11" x14ac:dyDescent="0.35">
      <c r="A441" s="9" t="s">
        <v>1901</v>
      </c>
      <c r="B441" s="9" t="s">
        <v>504</v>
      </c>
      <c r="C441" s="9" t="s">
        <v>46</v>
      </c>
      <c r="D441" s="9" t="s">
        <v>112</v>
      </c>
      <c r="E441" s="9" t="s">
        <v>1190</v>
      </c>
      <c r="F441" s="9" t="s">
        <v>1191</v>
      </c>
      <c r="G441" s="10">
        <v>45714</v>
      </c>
      <c r="H441" s="10">
        <v>45744</v>
      </c>
      <c r="I441">
        <v>5.3</v>
      </c>
      <c r="J441">
        <v>5.9</v>
      </c>
      <c r="K441" s="9" t="s">
        <v>1321</v>
      </c>
    </row>
    <row r="442" spans="1:11" x14ac:dyDescent="0.35">
      <c r="A442" s="9" t="s">
        <v>1902</v>
      </c>
      <c r="B442" s="9" t="s">
        <v>504</v>
      </c>
      <c r="C442" s="9" t="s">
        <v>46</v>
      </c>
      <c r="D442" s="9" t="s">
        <v>112</v>
      </c>
      <c r="E442" s="9" t="s">
        <v>1145</v>
      </c>
      <c r="F442" s="9" t="s">
        <v>1146</v>
      </c>
      <c r="G442" s="10">
        <v>46013</v>
      </c>
      <c r="H442" s="10">
        <v>46064</v>
      </c>
      <c r="I442">
        <v>28.5</v>
      </c>
      <c r="J442">
        <v>39.1</v>
      </c>
      <c r="K442" s="9" t="s">
        <v>1321</v>
      </c>
    </row>
    <row r="443" spans="1:11" x14ac:dyDescent="0.35">
      <c r="A443" s="9" t="s">
        <v>1903</v>
      </c>
      <c r="B443" s="9" t="s">
        <v>504</v>
      </c>
      <c r="C443" s="9" t="s">
        <v>46</v>
      </c>
      <c r="D443" s="9" t="s">
        <v>112</v>
      </c>
      <c r="E443" s="9" t="s">
        <v>1180</v>
      </c>
      <c r="F443" s="9" t="s">
        <v>1181</v>
      </c>
      <c r="G443" s="10">
        <v>45753</v>
      </c>
      <c r="H443" s="10">
        <v>45780</v>
      </c>
      <c r="I443">
        <v>8.1</v>
      </c>
      <c r="J443">
        <v>8.6</v>
      </c>
      <c r="K443" s="9" t="s">
        <v>1321</v>
      </c>
    </row>
    <row r="444" spans="1:11" x14ac:dyDescent="0.35">
      <c r="A444" s="9" t="s">
        <v>1904</v>
      </c>
      <c r="B444" s="9" t="s">
        <v>506</v>
      </c>
      <c r="C444" s="9" t="s">
        <v>55</v>
      </c>
      <c r="D444" s="9" t="s">
        <v>76</v>
      </c>
      <c r="E444" s="9" t="s">
        <v>1145</v>
      </c>
      <c r="F444" s="9" t="s">
        <v>1146</v>
      </c>
      <c r="G444" s="10">
        <v>45862</v>
      </c>
      <c r="H444" s="10">
        <v>45904</v>
      </c>
      <c r="I444">
        <v>27.1</v>
      </c>
      <c r="J444">
        <v>33.799999999999997</v>
      </c>
      <c r="K444" s="9" t="s">
        <v>1321</v>
      </c>
    </row>
    <row r="445" spans="1:11" x14ac:dyDescent="0.35">
      <c r="A445" s="9" t="s">
        <v>1905</v>
      </c>
      <c r="B445" s="9" t="s">
        <v>508</v>
      </c>
      <c r="C445" s="9" t="s">
        <v>55</v>
      </c>
      <c r="D445" s="9" t="s">
        <v>69</v>
      </c>
      <c r="E445" s="9" t="s">
        <v>1139</v>
      </c>
      <c r="F445" s="9" t="s">
        <v>1140</v>
      </c>
      <c r="G445" s="10">
        <v>45965</v>
      </c>
      <c r="H445" s="10">
        <v>46019</v>
      </c>
      <c r="I445">
        <v>17.5</v>
      </c>
      <c r="J445">
        <v>24.5</v>
      </c>
      <c r="K445" s="9" t="s">
        <v>1321</v>
      </c>
    </row>
    <row r="446" spans="1:11" x14ac:dyDescent="0.35">
      <c r="A446" s="9" t="s">
        <v>1906</v>
      </c>
      <c r="B446" s="9" t="s">
        <v>510</v>
      </c>
      <c r="C446" s="9" t="s">
        <v>46</v>
      </c>
      <c r="D446" s="9" t="s">
        <v>47</v>
      </c>
      <c r="E446" s="9" t="s">
        <v>1162</v>
      </c>
      <c r="F446" s="9" t="s">
        <v>1163</v>
      </c>
      <c r="G446" s="10">
        <v>46190</v>
      </c>
      <c r="H446" s="10">
        <v>46203</v>
      </c>
      <c r="I446">
        <v>10.1</v>
      </c>
      <c r="J446">
        <v>8.9</v>
      </c>
      <c r="K446" s="9" t="s">
        <v>1321</v>
      </c>
    </row>
    <row r="447" spans="1:11" x14ac:dyDescent="0.35">
      <c r="A447" s="9" t="s">
        <v>1907</v>
      </c>
      <c r="B447" s="9" t="s">
        <v>510</v>
      </c>
      <c r="C447" s="9" t="s">
        <v>46</v>
      </c>
      <c r="D447" s="9" t="s">
        <v>47</v>
      </c>
      <c r="E447" s="9" t="s">
        <v>1134</v>
      </c>
      <c r="F447" s="9" t="s">
        <v>1135</v>
      </c>
      <c r="G447" s="10">
        <v>45957</v>
      </c>
      <c r="H447" s="10"/>
      <c r="I447">
        <v>8.4</v>
      </c>
      <c r="K447" s="9" t="s">
        <v>1473</v>
      </c>
    </row>
    <row r="448" spans="1:11" x14ac:dyDescent="0.35">
      <c r="A448" s="9" t="s">
        <v>1908</v>
      </c>
      <c r="B448" s="9" t="s">
        <v>512</v>
      </c>
      <c r="C448" s="9" t="s">
        <v>46</v>
      </c>
      <c r="D448" s="9" t="s">
        <v>69</v>
      </c>
      <c r="E448" s="9" t="s">
        <v>1162</v>
      </c>
      <c r="F448" s="9" t="s">
        <v>1163</v>
      </c>
      <c r="G448" s="10">
        <v>45835</v>
      </c>
      <c r="H448" s="10">
        <v>45877</v>
      </c>
      <c r="I448">
        <v>2.8</v>
      </c>
      <c r="J448">
        <v>3.5</v>
      </c>
      <c r="K448" s="9" t="s">
        <v>1321</v>
      </c>
    </row>
    <row r="449" spans="1:11" x14ac:dyDescent="0.35">
      <c r="A449" s="9" t="s">
        <v>1909</v>
      </c>
      <c r="B449" s="9" t="s">
        <v>514</v>
      </c>
      <c r="C449" s="9" t="s">
        <v>62</v>
      </c>
      <c r="D449" s="9" t="s">
        <v>112</v>
      </c>
      <c r="E449" s="9" t="s">
        <v>1162</v>
      </c>
      <c r="F449" s="9" t="s">
        <v>1163</v>
      </c>
      <c r="G449" s="10">
        <v>45749</v>
      </c>
      <c r="H449" s="10">
        <v>45780</v>
      </c>
      <c r="I449">
        <v>13.1</v>
      </c>
      <c r="J449">
        <v>14.6</v>
      </c>
      <c r="K449" s="9" t="s">
        <v>1321</v>
      </c>
    </row>
    <row r="450" spans="1:11" x14ac:dyDescent="0.35">
      <c r="A450" s="9" t="s">
        <v>1910</v>
      </c>
      <c r="B450" s="9" t="s">
        <v>514</v>
      </c>
      <c r="C450" s="9" t="s">
        <v>62</v>
      </c>
      <c r="D450" s="9" t="s">
        <v>112</v>
      </c>
      <c r="E450" s="9" t="s">
        <v>1193</v>
      </c>
      <c r="F450" s="9" t="s">
        <v>1194</v>
      </c>
      <c r="G450" s="10">
        <v>46000</v>
      </c>
      <c r="H450" s="10"/>
      <c r="I450">
        <v>20.399999999999999</v>
      </c>
      <c r="K450" s="9" t="s">
        <v>1325</v>
      </c>
    </row>
    <row r="451" spans="1:11" x14ac:dyDescent="0.35">
      <c r="A451" s="9" t="s">
        <v>1911</v>
      </c>
      <c r="B451" s="9" t="s">
        <v>516</v>
      </c>
      <c r="C451" s="9" t="s">
        <v>55</v>
      </c>
      <c r="D451" s="9" t="s">
        <v>47</v>
      </c>
      <c r="E451" s="9" t="s">
        <v>1152</v>
      </c>
      <c r="F451" s="9" t="s">
        <v>1153</v>
      </c>
      <c r="G451" s="10">
        <v>45685</v>
      </c>
      <c r="H451" s="10">
        <v>45735</v>
      </c>
      <c r="I451">
        <v>13</v>
      </c>
      <c r="J451">
        <v>17.7</v>
      </c>
      <c r="K451" s="9" t="s">
        <v>1321</v>
      </c>
    </row>
    <row r="452" spans="1:11" x14ac:dyDescent="0.35">
      <c r="A452" s="9" t="s">
        <v>1912</v>
      </c>
      <c r="B452" s="9" t="s">
        <v>516</v>
      </c>
      <c r="C452" s="9" t="s">
        <v>55</v>
      </c>
      <c r="D452" s="9" t="s">
        <v>47</v>
      </c>
      <c r="E452" s="9" t="s">
        <v>1176</v>
      </c>
      <c r="F452" s="9" t="s">
        <v>1177</v>
      </c>
      <c r="G452" s="10">
        <v>45745</v>
      </c>
      <c r="H452" s="10">
        <v>45802</v>
      </c>
      <c r="I452">
        <v>20</v>
      </c>
      <c r="J452">
        <v>28.9</v>
      </c>
      <c r="K452" s="9" t="s">
        <v>1321</v>
      </c>
    </row>
    <row r="453" spans="1:11" x14ac:dyDescent="0.35">
      <c r="A453" s="9" t="s">
        <v>1913</v>
      </c>
      <c r="B453" s="9" t="s">
        <v>518</v>
      </c>
      <c r="C453" s="9" t="s">
        <v>55</v>
      </c>
      <c r="D453" s="9" t="s">
        <v>56</v>
      </c>
      <c r="E453" s="9" t="s">
        <v>1190</v>
      </c>
      <c r="F453" s="9" t="s">
        <v>1191</v>
      </c>
      <c r="G453" s="10">
        <v>45706</v>
      </c>
      <c r="H453" s="10">
        <v>45709</v>
      </c>
      <c r="I453">
        <v>28.7</v>
      </c>
      <c r="J453">
        <v>21.6</v>
      </c>
      <c r="K453" s="9" t="s">
        <v>1321</v>
      </c>
    </row>
    <row r="454" spans="1:11" x14ac:dyDescent="0.35">
      <c r="A454" s="9" t="s">
        <v>1914</v>
      </c>
      <c r="B454" s="9" t="s">
        <v>520</v>
      </c>
      <c r="C454" s="9" t="s">
        <v>46</v>
      </c>
      <c r="D454" s="9" t="s">
        <v>63</v>
      </c>
      <c r="E454" s="9" t="s">
        <v>1158</v>
      </c>
      <c r="F454" s="9" t="s">
        <v>1159</v>
      </c>
      <c r="G454" s="10">
        <v>46095</v>
      </c>
      <c r="H454" s="10">
        <v>46122</v>
      </c>
      <c r="I454">
        <v>16.7</v>
      </c>
      <c r="J454">
        <v>17.8</v>
      </c>
      <c r="K454" s="9" t="s">
        <v>1321</v>
      </c>
    </row>
    <row r="455" spans="1:11" x14ac:dyDescent="0.35">
      <c r="A455" s="9" t="s">
        <v>1915</v>
      </c>
      <c r="B455" s="9" t="s">
        <v>520</v>
      </c>
      <c r="C455" s="9" t="s">
        <v>46</v>
      </c>
      <c r="D455" s="9" t="s">
        <v>63</v>
      </c>
      <c r="E455" s="9" t="s">
        <v>1139</v>
      </c>
      <c r="F455" s="9" t="s">
        <v>1140</v>
      </c>
      <c r="G455" s="10">
        <v>45673</v>
      </c>
      <c r="H455" s="10">
        <v>45729</v>
      </c>
      <c r="I455">
        <v>12.4</v>
      </c>
      <c r="J455">
        <v>17.7</v>
      </c>
      <c r="K455" s="9" t="s">
        <v>1321</v>
      </c>
    </row>
    <row r="456" spans="1:11" x14ac:dyDescent="0.35">
      <c r="A456" s="9" t="s">
        <v>1916</v>
      </c>
      <c r="B456" s="9" t="s">
        <v>522</v>
      </c>
      <c r="C456" s="9" t="s">
        <v>55</v>
      </c>
      <c r="D456" s="9" t="s">
        <v>80</v>
      </c>
      <c r="E456" s="9" t="s">
        <v>1211</v>
      </c>
      <c r="F456" s="9" t="s">
        <v>1212</v>
      </c>
      <c r="G456" s="10">
        <v>46017</v>
      </c>
      <c r="H456" s="10">
        <v>46034</v>
      </c>
      <c r="I456">
        <v>19</v>
      </c>
      <c r="J456">
        <v>17.7</v>
      </c>
      <c r="K456" s="9" t="s">
        <v>1321</v>
      </c>
    </row>
    <row r="457" spans="1:11" x14ac:dyDescent="0.35">
      <c r="A457" s="9" t="s">
        <v>1917</v>
      </c>
      <c r="B457" s="9" t="s">
        <v>522</v>
      </c>
      <c r="C457" s="9" t="s">
        <v>55</v>
      </c>
      <c r="D457" s="9" t="s">
        <v>80</v>
      </c>
      <c r="E457" s="9" t="s">
        <v>1147</v>
      </c>
      <c r="F457" s="9" t="s">
        <v>1148</v>
      </c>
      <c r="G457" s="10">
        <v>46123</v>
      </c>
      <c r="H457" s="10">
        <v>46164</v>
      </c>
      <c r="I457">
        <v>35.9</v>
      </c>
      <c r="J457">
        <v>44.5</v>
      </c>
      <c r="K457" s="9" t="s">
        <v>1321</v>
      </c>
    </row>
    <row r="458" spans="1:11" x14ac:dyDescent="0.35">
      <c r="A458" s="9" t="s">
        <v>1918</v>
      </c>
      <c r="B458" s="9" t="s">
        <v>522</v>
      </c>
      <c r="C458" s="9" t="s">
        <v>55</v>
      </c>
      <c r="D458" s="9" t="s">
        <v>80</v>
      </c>
      <c r="E458" s="9" t="s">
        <v>1162</v>
      </c>
      <c r="F458" s="9" t="s">
        <v>1163</v>
      </c>
      <c r="G458" s="10">
        <v>45718</v>
      </c>
      <c r="H458" s="10">
        <v>45722</v>
      </c>
      <c r="I458">
        <v>2.5</v>
      </c>
      <c r="J458">
        <v>2</v>
      </c>
      <c r="K458" s="9" t="s">
        <v>1321</v>
      </c>
    </row>
    <row r="459" spans="1:11" x14ac:dyDescent="0.35">
      <c r="A459" s="9" t="s">
        <v>1919</v>
      </c>
      <c r="B459" s="9" t="s">
        <v>524</v>
      </c>
      <c r="C459" s="9" t="s">
        <v>46</v>
      </c>
      <c r="D459" s="9" t="s">
        <v>112</v>
      </c>
      <c r="E459" s="9" t="s">
        <v>1183</v>
      </c>
      <c r="F459" s="9" t="s">
        <v>1184</v>
      </c>
      <c r="G459" s="10">
        <v>45689</v>
      </c>
      <c r="H459" s="10">
        <v>45734</v>
      </c>
      <c r="I459">
        <v>33.4</v>
      </c>
      <c r="J459">
        <v>43.3</v>
      </c>
      <c r="K459" s="9" t="s">
        <v>1321</v>
      </c>
    </row>
    <row r="460" spans="1:11" x14ac:dyDescent="0.35">
      <c r="A460" s="9" t="s">
        <v>1920</v>
      </c>
      <c r="B460" s="9" t="s">
        <v>524</v>
      </c>
      <c r="C460" s="9" t="s">
        <v>46</v>
      </c>
      <c r="D460" s="9" t="s">
        <v>112</v>
      </c>
      <c r="E460" s="9" t="s">
        <v>1139</v>
      </c>
      <c r="F460" s="9" t="s">
        <v>1140</v>
      </c>
      <c r="G460" s="10">
        <v>45907</v>
      </c>
      <c r="H460" s="10">
        <v>45963</v>
      </c>
      <c r="I460">
        <v>27.8</v>
      </c>
      <c r="J460">
        <v>39.700000000000003</v>
      </c>
      <c r="K460" s="9" t="s">
        <v>1321</v>
      </c>
    </row>
    <row r="461" spans="1:11" x14ac:dyDescent="0.35">
      <c r="A461" s="9" t="s">
        <v>1921</v>
      </c>
      <c r="B461" s="9" t="s">
        <v>524</v>
      </c>
      <c r="C461" s="9" t="s">
        <v>46</v>
      </c>
      <c r="D461" s="9" t="s">
        <v>112</v>
      </c>
      <c r="E461" s="9" t="s">
        <v>1180</v>
      </c>
      <c r="F461" s="9" t="s">
        <v>1181</v>
      </c>
      <c r="G461" s="10">
        <v>45705</v>
      </c>
      <c r="H461" s="10">
        <v>45713</v>
      </c>
      <c r="I461">
        <v>21.7</v>
      </c>
      <c r="J461">
        <v>17.8</v>
      </c>
      <c r="K461" s="9" t="s">
        <v>1321</v>
      </c>
    </row>
    <row r="462" spans="1:11" x14ac:dyDescent="0.35">
      <c r="A462" s="9" t="s">
        <v>1922</v>
      </c>
      <c r="B462" s="9" t="s">
        <v>526</v>
      </c>
      <c r="C462" s="9" t="s">
        <v>55</v>
      </c>
      <c r="D462" s="9" t="s">
        <v>80</v>
      </c>
      <c r="E462" s="9" t="s">
        <v>1152</v>
      </c>
      <c r="F462" s="9" t="s">
        <v>1153</v>
      </c>
      <c r="G462" s="10">
        <v>45907</v>
      </c>
      <c r="H462" s="10">
        <v>45948</v>
      </c>
      <c r="I462">
        <v>9.5</v>
      </c>
      <c r="J462">
        <v>11.8</v>
      </c>
      <c r="K462" s="9" t="s">
        <v>1321</v>
      </c>
    </row>
    <row r="463" spans="1:11" x14ac:dyDescent="0.35">
      <c r="A463" s="9" t="s">
        <v>1923</v>
      </c>
      <c r="B463" s="9" t="s">
        <v>526</v>
      </c>
      <c r="C463" s="9" t="s">
        <v>55</v>
      </c>
      <c r="D463" s="9" t="s">
        <v>80</v>
      </c>
      <c r="E463" s="9" t="s">
        <v>1152</v>
      </c>
      <c r="F463" s="9" t="s">
        <v>1153</v>
      </c>
      <c r="G463" s="10">
        <v>45894</v>
      </c>
      <c r="H463" s="10">
        <v>45911</v>
      </c>
      <c r="I463">
        <v>18.7</v>
      </c>
      <c r="J463">
        <v>17.5</v>
      </c>
      <c r="K463" s="9" t="s">
        <v>1321</v>
      </c>
    </row>
    <row r="464" spans="1:11" x14ac:dyDescent="0.35">
      <c r="A464" s="9" t="s">
        <v>1924</v>
      </c>
      <c r="B464" s="9" t="s">
        <v>528</v>
      </c>
      <c r="C464" s="9" t="s">
        <v>55</v>
      </c>
      <c r="D464" s="9" t="s">
        <v>69</v>
      </c>
      <c r="E464" s="9" t="s">
        <v>1139</v>
      </c>
      <c r="F464" s="9" t="s">
        <v>1140</v>
      </c>
      <c r="G464" s="10">
        <v>45916</v>
      </c>
      <c r="H464" s="10">
        <v>45934</v>
      </c>
      <c r="I464">
        <v>10.6</v>
      </c>
      <c r="J464">
        <v>10</v>
      </c>
      <c r="K464" s="9" t="s">
        <v>1321</v>
      </c>
    </row>
    <row r="465" spans="1:11" x14ac:dyDescent="0.35">
      <c r="A465" s="9" t="s">
        <v>1925</v>
      </c>
      <c r="B465" s="9" t="s">
        <v>528</v>
      </c>
      <c r="C465" s="9" t="s">
        <v>55</v>
      </c>
      <c r="D465" s="9" t="s">
        <v>69</v>
      </c>
      <c r="E465" s="9" t="s">
        <v>1190</v>
      </c>
      <c r="F465" s="9" t="s">
        <v>1191</v>
      </c>
      <c r="G465" s="10">
        <v>45698</v>
      </c>
      <c r="H465" s="10">
        <v>45741</v>
      </c>
      <c r="I465">
        <v>15</v>
      </c>
      <c r="J465">
        <v>19.100000000000001</v>
      </c>
      <c r="K465" s="9" t="s">
        <v>1321</v>
      </c>
    </row>
    <row r="466" spans="1:11" x14ac:dyDescent="0.35">
      <c r="A466" s="9" t="s">
        <v>1926</v>
      </c>
      <c r="B466" s="9" t="s">
        <v>530</v>
      </c>
      <c r="C466" s="9" t="s">
        <v>55</v>
      </c>
      <c r="D466" s="9" t="s">
        <v>69</v>
      </c>
      <c r="E466" s="9" t="s">
        <v>1162</v>
      </c>
      <c r="F466" s="9" t="s">
        <v>1163</v>
      </c>
      <c r="G466" s="10">
        <v>46066</v>
      </c>
      <c r="H466" s="10">
        <v>46081</v>
      </c>
      <c r="I466">
        <v>20.3</v>
      </c>
      <c r="J466">
        <v>18.5</v>
      </c>
      <c r="K466" s="9" t="s">
        <v>1321</v>
      </c>
    </row>
    <row r="467" spans="1:11" x14ac:dyDescent="0.35">
      <c r="A467" s="9" t="s">
        <v>1927</v>
      </c>
      <c r="B467" s="9" t="s">
        <v>530</v>
      </c>
      <c r="C467" s="9" t="s">
        <v>55</v>
      </c>
      <c r="D467" s="9" t="s">
        <v>69</v>
      </c>
      <c r="E467" s="9" t="s">
        <v>1158</v>
      </c>
      <c r="F467" s="9" t="s">
        <v>1159</v>
      </c>
      <c r="G467" s="10">
        <v>45788</v>
      </c>
      <c r="H467" s="10">
        <v>45800</v>
      </c>
      <c r="I467">
        <v>32</v>
      </c>
      <c r="J467">
        <v>27.8</v>
      </c>
      <c r="K467" s="9" t="s">
        <v>1321</v>
      </c>
    </row>
    <row r="468" spans="1:11" x14ac:dyDescent="0.35">
      <c r="A468" s="9" t="s">
        <v>1928</v>
      </c>
      <c r="B468" s="9" t="s">
        <v>532</v>
      </c>
      <c r="C468" s="9" t="s">
        <v>46</v>
      </c>
      <c r="D468" s="9" t="s">
        <v>56</v>
      </c>
      <c r="E468" s="9" t="s">
        <v>1145</v>
      </c>
      <c r="F468" s="9" t="s">
        <v>1146</v>
      </c>
      <c r="G468" s="10">
        <v>45806</v>
      </c>
      <c r="H468" s="10">
        <v>45813</v>
      </c>
      <c r="I468">
        <v>18.600000000000001</v>
      </c>
      <c r="J468">
        <v>15</v>
      </c>
      <c r="K468" s="9" t="s">
        <v>1321</v>
      </c>
    </row>
    <row r="469" spans="1:11" x14ac:dyDescent="0.35">
      <c r="A469" s="9" t="s">
        <v>1929</v>
      </c>
      <c r="B469" s="9" t="s">
        <v>534</v>
      </c>
      <c r="C469" s="9" t="s">
        <v>62</v>
      </c>
      <c r="D469" s="9" t="s">
        <v>80</v>
      </c>
      <c r="E469" s="9" t="s">
        <v>1145</v>
      </c>
      <c r="F469" s="9" t="s">
        <v>1146</v>
      </c>
      <c r="G469" s="10">
        <v>45728</v>
      </c>
      <c r="H469" s="10">
        <v>45739</v>
      </c>
      <c r="I469">
        <v>19.399999999999999</v>
      </c>
      <c r="J469">
        <v>16.7</v>
      </c>
      <c r="K469" s="9" t="s">
        <v>1321</v>
      </c>
    </row>
    <row r="470" spans="1:11" x14ac:dyDescent="0.35">
      <c r="A470" s="9" t="s">
        <v>1930</v>
      </c>
      <c r="B470" s="9" t="s">
        <v>534</v>
      </c>
      <c r="C470" s="9" t="s">
        <v>62</v>
      </c>
      <c r="D470" s="9" t="s">
        <v>80</v>
      </c>
      <c r="E470" s="9" t="s">
        <v>1188</v>
      </c>
      <c r="F470" s="9" t="s">
        <v>1189</v>
      </c>
      <c r="G470" s="10">
        <v>46194</v>
      </c>
      <c r="H470" s="10">
        <v>46218</v>
      </c>
      <c r="I470">
        <v>14.7</v>
      </c>
      <c r="J470">
        <v>15.1</v>
      </c>
      <c r="K470" s="9" t="s">
        <v>1321</v>
      </c>
    </row>
    <row r="471" spans="1:11" x14ac:dyDescent="0.35">
      <c r="A471" s="9" t="s">
        <v>1931</v>
      </c>
      <c r="B471" s="9" t="s">
        <v>534</v>
      </c>
      <c r="C471" s="9" t="s">
        <v>62</v>
      </c>
      <c r="D471" s="9" t="s">
        <v>80</v>
      </c>
      <c r="E471" s="9" t="s">
        <v>1134</v>
      </c>
      <c r="F471" s="9" t="s">
        <v>1135</v>
      </c>
      <c r="G471" s="10">
        <v>45887</v>
      </c>
      <c r="H471" s="10">
        <v>45905</v>
      </c>
      <c r="I471">
        <v>28.8</v>
      </c>
      <c r="J471">
        <v>27.4</v>
      </c>
      <c r="K471" s="9" t="s">
        <v>1321</v>
      </c>
    </row>
    <row r="472" spans="1:11" x14ac:dyDescent="0.35">
      <c r="A472" s="9" t="s">
        <v>1932</v>
      </c>
      <c r="B472" s="9" t="s">
        <v>536</v>
      </c>
      <c r="C472" s="9" t="s">
        <v>46</v>
      </c>
      <c r="D472" s="9" t="s">
        <v>47</v>
      </c>
      <c r="E472" s="9" t="s">
        <v>1143</v>
      </c>
      <c r="F472" s="9" t="s">
        <v>1144</v>
      </c>
      <c r="G472" s="10">
        <v>45847</v>
      </c>
      <c r="H472" s="10">
        <v>45861</v>
      </c>
      <c r="I472">
        <v>30.2</v>
      </c>
      <c r="J472">
        <v>27.1</v>
      </c>
      <c r="K472" s="9" t="s">
        <v>1321</v>
      </c>
    </row>
    <row r="473" spans="1:11" x14ac:dyDescent="0.35">
      <c r="A473" s="9" t="s">
        <v>1933</v>
      </c>
      <c r="B473" s="9" t="s">
        <v>536</v>
      </c>
      <c r="C473" s="9" t="s">
        <v>46</v>
      </c>
      <c r="D473" s="9" t="s">
        <v>47</v>
      </c>
      <c r="E473" s="9" t="s">
        <v>1196</v>
      </c>
      <c r="F473" s="9" t="s">
        <v>1197</v>
      </c>
      <c r="G473" s="10">
        <v>46036</v>
      </c>
      <c r="H473" s="10">
        <v>46065</v>
      </c>
      <c r="I473">
        <v>18.899999999999999</v>
      </c>
      <c r="J473">
        <v>20.5</v>
      </c>
      <c r="K473" s="9" t="s">
        <v>1321</v>
      </c>
    </row>
    <row r="474" spans="1:11" x14ac:dyDescent="0.35">
      <c r="A474" s="9" t="s">
        <v>1934</v>
      </c>
      <c r="B474" s="9" t="s">
        <v>538</v>
      </c>
      <c r="C474" s="9" t="s">
        <v>55</v>
      </c>
      <c r="D474" s="9" t="s">
        <v>112</v>
      </c>
      <c r="E474" s="9" t="s">
        <v>1183</v>
      </c>
      <c r="F474" s="9" t="s">
        <v>1184</v>
      </c>
      <c r="G474" s="10">
        <v>45984</v>
      </c>
      <c r="H474" s="10">
        <v>46022</v>
      </c>
      <c r="I474">
        <v>31.3</v>
      </c>
      <c r="J474">
        <v>37.6</v>
      </c>
      <c r="K474" s="9" t="s">
        <v>1321</v>
      </c>
    </row>
    <row r="475" spans="1:11" x14ac:dyDescent="0.35">
      <c r="A475" s="9" t="s">
        <v>1935</v>
      </c>
      <c r="B475" s="9" t="s">
        <v>538</v>
      </c>
      <c r="C475" s="9" t="s">
        <v>55</v>
      </c>
      <c r="D475" s="9" t="s">
        <v>112</v>
      </c>
      <c r="E475" s="9" t="s">
        <v>1196</v>
      </c>
      <c r="F475" s="9" t="s">
        <v>1197</v>
      </c>
      <c r="G475" s="10">
        <v>46185</v>
      </c>
      <c r="H475" s="10">
        <v>46241</v>
      </c>
      <c r="I475">
        <v>10.5</v>
      </c>
      <c r="J475">
        <v>15.1</v>
      </c>
      <c r="K475" s="9" t="s">
        <v>1321</v>
      </c>
    </row>
    <row r="476" spans="1:11" x14ac:dyDescent="0.35">
      <c r="A476" s="9" t="s">
        <v>1936</v>
      </c>
      <c r="B476" s="9" t="s">
        <v>540</v>
      </c>
      <c r="C476" s="9" t="s">
        <v>55</v>
      </c>
      <c r="D476" s="9" t="s">
        <v>47</v>
      </c>
      <c r="E476" s="9" t="s">
        <v>1171</v>
      </c>
      <c r="F476" s="9" t="s">
        <v>1172</v>
      </c>
      <c r="G476" s="10">
        <v>45697</v>
      </c>
      <c r="H476" s="10">
        <v>45728</v>
      </c>
      <c r="I476">
        <v>35.9</v>
      </c>
      <c r="J476">
        <v>39.9</v>
      </c>
      <c r="K476" s="9" t="s">
        <v>1321</v>
      </c>
    </row>
    <row r="477" spans="1:11" x14ac:dyDescent="0.35">
      <c r="A477" s="9" t="s">
        <v>1937</v>
      </c>
      <c r="B477" s="9" t="s">
        <v>540</v>
      </c>
      <c r="C477" s="9" t="s">
        <v>55</v>
      </c>
      <c r="D477" s="9" t="s">
        <v>47</v>
      </c>
      <c r="E477" s="9" t="s">
        <v>1158</v>
      </c>
      <c r="F477" s="9" t="s">
        <v>1159</v>
      </c>
      <c r="G477" s="10">
        <v>45917</v>
      </c>
      <c r="H477" s="10">
        <v>45971</v>
      </c>
      <c r="I477">
        <v>27.3</v>
      </c>
      <c r="J477">
        <v>38.5</v>
      </c>
      <c r="K477" s="9" t="s">
        <v>1321</v>
      </c>
    </row>
    <row r="478" spans="1:11" x14ac:dyDescent="0.35">
      <c r="A478" s="9" t="s">
        <v>1938</v>
      </c>
      <c r="B478" s="9" t="s">
        <v>540</v>
      </c>
      <c r="C478" s="9" t="s">
        <v>55</v>
      </c>
      <c r="D478" s="9" t="s">
        <v>47</v>
      </c>
      <c r="E478" s="9" t="s">
        <v>1180</v>
      </c>
      <c r="F478" s="9" t="s">
        <v>1181</v>
      </c>
      <c r="G478" s="10">
        <v>45820</v>
      </c>
      <c r="H478" s="10">
        <v>45859</v>
      </c>
      <c r="I478">
        <v>33.299999999999997</v>
      </c>
      <c r="J478">
        <v>40.5</v>
      </c>
      <c r="K478" s="9" t="s">
        <v>1321</v>
      </c>
    </row>
    <row r="479" spans="1:11" x14ac:dyDescent="0.35">
      <c r="A479" s="9" t="s">
        <v>1939</v>
      </c>
      <c r="B479" s="9" t="s">
        <v>542</v>
      </c>
      <c r="C479" s="9" t="s">
        <v>55</v>
      </c>
      <c r="D479" s="9" t="s">
        <v>112</v>
      </c>
      <c r="E479" s="9" t="s">
        <v>1139</v>
      </c>
      <c r="F479" s="9" t="s">
        <v>1140</v>
      </c>
      <c r="G479" s="10">
        <v>46126</v>
      </c>
      <c r="H479" s="10">
        <v>46168</v>
      </c>
      <c r="I479">
        <v>32.700000000000003</v>
      </c>
      <c r="J479">
        <v>40.799999999999997</v>
      </c>
      <c r="K479" s="9" t="s">
        <v>1321</v>
      </c>
    </row>
    <row r="480" spans="1:11" x14ac:dyDescent="0.35">
      <c r="A480" s="9" t="s">
        <v>1940</v>
      </c>
      <c r="B480" s="9" t="s">
        <v>542</v>
      </c>
      <c r="C480" s="9" t="s">
        <v>55</v>
      </c>
      <c r="D480" s="9" t="s">
        <v>112</v>
      </c>
      <c r="E480" s="9" t="s">
        <v>1162</v>
      </c>
      <c r="F480" s="9" t="s">
        <v>1163</v>
      </c>
      <c r="G480" s="10">
        <v>46119</v>
      </c>
      <c r="H480" s="10">
        <v>46164</v>
      </c>
      <c r="I480">
        <v>26.9</v>
      </c>
      <c r="J480">
        <v>34.700000000000003</v>
      </c>
      <c r="K480" s="9" t="s">
        <v>1321</v>
      </c>
    </row>
    <row r="481" spans="1:11" x14ac:dyDescent="0.35">
      <c r="A481" s="9" t="s">
        <v>1941</v>
      </c>
      <c r="B481" s="9" t="s">
        <v>544</v>
      </c>
      <c r="C481" s="9" t="s">
        <v>46</v>
      </c>
      <c r="D481" s="9" t="s">
        <v>56</v>
      </c>
      <c r="E481" s="9" t="s">
        <v>1193</v>
      </c>
      <c r="F481" s="9" t="s">
        <v>1194</v>
      </c>
      <c r="G481" s="10">
        <v>46093</v>
      </c>
      <c r="H481" s="10">
        <v>46126</v>
      </c>
      <c r="I481">
        <v>29.3</v>
      </c>
      <c r="J481">
        <v>33.4</v>
      </c>
      <c r="K481" s="9" t="s">
        <v>1321</v>
      </c>
    </row>
    <row r="482" spans="1:11" x14ac:dyDescent="0.35">
      <c r="A482" s="9" t="s">
        <v>1942</v>
      </c>
      <c r="B482" s="9" t="s">
        <v>546</v>
      </c>
      <c r="C482" s="9" t="s">
        <v>46</v>
      </c>
      <c r="D482" s="9" t="s">
        <v>47</v>
      </c>
      <c r="E482" s="9" t="s">
        <v>1190</v>
      </c>
      <c r="F482" s="9" t="s">
        <v>1191</v>
      </c>
      <c r="G482" s="10">
        <v>45711</v>
      </c>
      <c r="H482" s="10">
        <v>45745</v>
      </c>
      <c r="I482">
        <v>26.1</v>
      </c>
      <c r="J482">
        <v>29.9</v>
      </c>
      <c r="K482" s="9" t="s">
        <v>1321</v>
      </c>
    </row>
    <row r="483" spans="1:11" x14ac:dyDescent="0.35">
      <c r="A483" s="9" t="s">
        <v>1943</v>
      </c>
      <c r="B483" s="9" t="s">
        <v>548</v>
      </c>
      <c r="C483" s="9" t="s">
        <v>55</v>
      </c>
      <c r="D483" s="9" t="s">
        <v>69</v>
      </c>
      <c r="E483" s="9" t="s">
        <v>1193</v>
      </c>
      <c r="F483" s="9" t="s">
        <v>1194</v>
      </c>
      <c r="G483" s="10">
        <v>45706</v>
      </c>
      <c r="H483" s="10">
        <v>45716</v>
      </c>
      <c r="I483">
        <v>32.700000000000003</v>
      </c>
      <c r="J483">
        <v>27.6</v>
      </c>
      <c r="K483" s="9" t="s">
        <v>1321</v>
      </c>
    </row>
    <row r="484" spans="1:11" x14ac:dyDescent="0.35">
      <c r="A484" s="9" t="s">
        <v>1944</v>
      </c>
      <c r="B484" s="9" t="s">
        <v>548</v>
      </c>
      <c r="C484" s="9" t="s">
        <v>55</v>
      </c>
      <c r="D484" s="9" t="s">
        <v>69</v>
      </c>
      <c r="E484" s="9" t="s">
        <v>1129</v>
      </c>
      <c r="F484" s="9" t="s">
        <v>1130</v>
      </c>
      <c r="G484" s="10">
        <v>45677</v>
      </c>
      <c r="H484" s="10">
        <v>45719</v>
      </c>
      <c r="I484">
        <v>4</v>
      </c>
      <c r="J484">
        <v>5</v>
      </c>
      <c r="K484" s="9" t="s">
        <v>1321</v>
      </c>
    </row>
    <row r="485" spans="1:11" x14ac:dyDescent="0.35">
      <c r="A485" s="9" t="s">
        <v>1945</v>
      </c>
      <c r="B485" s="9" t="s">
        <v>550</v>
      </c>
      <c r="C485" s="9" t="s">
        <v>46</v>
      </c>
      <c r="D485" s="9" t="s">
        <v>47</v>
      </c>
      <c r="E485" s="9" t="s">
        <v>1152</v>
      </c>
      <c r="F485" s="9" t="s">
        <v>1153</v>
      </c>
      <c r="G485" s="10">
        <v>46070</v>
      </c>
      <c r="H485" s="10">
        <v>46090</v>
      </c>
      <c r="I485">
        <v>29.4</v>
      </c>
      <c r="J485">
        <v>28.5</v>
      </c>
      <c r="K485" s="9" t="s">
        <v>1321</v>
      </c>
    </row>
    <row r="486" spans="1:11" x14ac:dyDescent="0.35">
      <c r="A486" s="9" t="s">
        <v>1946</v>
      </c>
      <c r="B486" s="9" t="s">
        <v>550</v>
      </c>
      <c r="C486" s="9" t="s">
        <v>46</v>
      </c>
      <c r="D486" s="9" t="s">
        <v>47</v>
      </c>
      <c r="E486" s="9" t="s">
        <v>1155</v>
      </c>
      <c r="F486" s="9" t="s">
        <v>1156</v>
      </c>
      <c r="G486" s="10">
        <v>46143</v>
      </c>
      <c r="H486" s="10">
        <v>46158</v>
      </c>
      <c r="I486">
        <v>29.9</v>
      </c>
      <c r="J486">
        <v>27.2</v>
      </c>
      <c r="K486" s="9" t="s">
        <v>1321</v>
      </c>
    </row>
    <row r="487" spans="1:11" x14ac:dyDescent="0.35">
      <c r="A487" s="9" t="s">
        <v>1947</v>
      </c>
      <c r="B487" s="9" t="s">
        <v>550</v>
      </c>
      <c r="C487" s="9" t="s">
        <v>46</v>
      </c>
      <c r="D487" s="9" t="s">
        <v>47</v>
      </c>
      <c r="E487" s="9" t="s">
        <v>1143</v>
      </c>
      <c r="F487" s="9" t="s">
        <v>1144</v>
      </c>
      <c r="G487" s="10">
        <v>45670</v>
      </c>
      <c r="H487" s="10">
        <v>45725</v>
      </c>
      <c r="I487">
        <v>15.6</v>
      </c>
      <c r="J487">
        <v>22.2</v>
      </c>
      <c r="K487" s="9" t="s">
        <v>1321</v>
      </c>
    </row>
    <row r="488" spans="1:11" x14ac:dyDescent="0.35">
      <c r="A488" s="9" t="s">
        <v>1948</v>
      </c>
      <c r="B488" s="9" t="s">
        <v>552</v>
      </c>
      <c r="C488" s="9" t="s">
        <v>62</v>
      </c>
      <c r="D488" s="9" t="s">
        <v>93</v>
      </c>
      <c r="E488" s="9" t="s">
        <v>1155</v>
      </c>
      <c r="F488" s="9" t="s">
        <v>1156</v>
      </c>
      <c r="G488" s="10">
        <v>45810</v>
      </c>
      <c r="H488" s="10">
        <v>45854</v>
      </c>
      <c r="I488">
        <v>17.5</v>
      </c>
      <c r="J488">
        <v>22.3</v>
      </c>
      <c r="K488" s="9" t="s">
        <v>1321</v>
      </c>
    </row>
    <row r="489" spans="1:11" x14ac:dyDescent="0.35">
      <c r="A489" s="9" t="s">
        <v>1949</v>
      </c>
      <c r="B489" s="9" t="s">
        <v>552</v>
      </c>
      <c r="C489" s="9" t="s">
        <v>62</v>
      </c>
      <c r="D489" s="9" t="s">
        <v>93</v>
      </c>
      <c r="E489" s="9" t="s">
        <v>1155</v>
      </c>
      <c r="F489" s="9" t="s">
        <v>1156</v>
      </c>
      <c r="G489" s="10">
        <v>46151</v>
      </c>
      <c r="H489" s="10">
        <v>46172</v>
      </c>
      <c r="I489">
        <v>32.5</v>
      </c>
      <c r="J489">
        <v>32.1</v>
      </c>
      <c r="K489" s="9" t="s">
        <v>1321</v>
      </c>
    </row>
    <row r="490" spans="1:11" x14ac:dyDescent="0.35">
      <c r="A490" s="9" t="s">
        <v>1950</v>
      </c>
      <c r="B490" s="9" t="s">
        <v>552</v>
      </c>
      <c r="C490" s="9" t="s">
        <v>62</v>
      </c>
      <c r="D490" s="9" t="s">
        <v>93</v>
      </c>
      <c r="E490" s="9" t="s">
        <v>1134</v>
      </c>
      <c r="F490" s="9" t="s">
        <v>1135</v>
      </c>
      <c r="G490" s="10">
        <v>45730</v>
      </c>
      <c r="H490" s="10">
        <v>45764</v>
      </c>
      <c r="I490">
        <v>7.6</v>
      </c>
      <c r="J490">
        <v>8.8000000000000007</v>
      </c>
      <c r="K490" s="9" t="s">
        <v>1321</v>
      </c>
    </row>
    <row r="491" spans="1:11" x14ac:dyDescent="0.35">
      <c r="A491" s="9" t="s">
        <v>1951</v>
      </c>
      <c r="B491" s="9" t="s">
        <v>554</v>
      </c>
      <c r="C491" s="9" t="s">
        <v>46</v>
      </c>
      <c r="D491" s="9" t="s">
        <v>80</v>
      </c>
      <c r="E491" s="9" t="s">
        <v>1211</v>
      </c>
      <c r="F491" s="9" t="s">
        <v>1212</v>
      </c>
      <c r="G491" s="10">
        <v>45938</v>
      </c>
      <c r="H491" s="10">
        <v>45979</v>
      </c>
      <c r="I491">
        <v>8.3000000000000007</v>
      </c>
      <c r="J491">
        <v>10.3</v>
      </c>
      <c r="K491" s="9" t="s">
        <v>1321</v>
      </c>
    </row>
    <row r="492" spans="1:11" x14ac:dyDescent="0.35">
      <c r="A492" s="9" t="s">
        <v>1952</v>
      </c>
      <c r="B492" s="9" t="s">
        <v>554</v>
      </c>
      <c r="C492" s="9" t="s">
        <v>46</v>
      </c>
      <c r="D492" s="9" t="s">
        <v>80</v>
      </c>
      <c r="E492" s="9" t="s">
        <v>1147</v>
      </c>
      <c r="F492" s="9" t="s">
        <v>1148</v>
      </c>
      <c r="G492" s="10">
        <v>46043</v>
      </c>
      <c r="H492" s="10">
        <v>46092</v>
      </c>
      <c r="I492">
        <v>33.6</v>
      </c>
      <c r="J492">
        <v>45.3</v>
      </c>
      <c r="K492" s="9" t="s">
        <v>1321</v>
      </c>
    </row>
    <row r="493" spans="1:11" x14ac:dyDescent="0.35">
      <c r="A493" s="9" t="s">
        <v>1953</v>
      </c>
      <c r="B493" s="9" t="s">
        <v>556</v>
      </c>
      <c r="C493" s="9" t="s">
        <v>46</v>
      </c>
      <c r="D493" s="9" t="s">
        <v>56</v>
      </c>
      <c r="E493" s="9" t="s">
        <v>1152</v>
      </c>
      <c r="F493" s="9" t="s">
        <v>1153</v>
      </c>
      <c r="G493" s="10">
        <v>45870</v>
      </c>
      <c r="H493" s="10">
        <v>45897</v>
      </c>
      <c r="I493">
        <v>19.399999999999999</v>
      </c>
      <c r="J493">
        <v>20.5</v>
      </c>
      <c r="K493" s="9" t="s">
        <v>1321</v>
      </c>
    </row>
    <row r="494" spans="1:11" x14ac:dyDescent="0.35">
      <c r="A494" s="9" t="s">
        <v>1954</v>
      </c>
      <c r="B494" s="9" t="s">
        <v>558</v>
      </c>
      <c r="C494" s="9" t="s">
        <v>46</v>
      </c>
      <c r="D494" s="9" t="s">
        <v>112</v>
      </c>
      <c r="E494" s="9" t="s">
        <v>1183</v>
      </c>
      <c r="F494" s="9" t="s">
        <v>1184</v>
      </c>
      <c r="G494" s="10">
        <v>45720</v>
      </c>
      <c r="H494" s="10">
        <v>45767</v>
      </c>
      <c r="I494">
        <v>26.6</v>
      </c>
      <c r="J494">
        <v>35.1</v>
      </c>
      <c r="K494" s="9" t="s">
        <v>1321</v>
      </c>
    </row>
    <row r="495" spans="1:11" x14ac:dyDescent="0.35">
      <c r="A495" s="9" t="s">
        <v>1955</v>
      </c>
      <c r="B495" s="9" t="s">
        <v>561</v>
      </c>
      <c r="C495" s="9" t="s">
        <v>55</v>
      </c>
      <c r="D495" s="9" t="s">
        <v>47</v>
      </c>
      <c r="E495" s="9" t="s">
        <v>1183</v>
      </c>
      <c r="F495" s="9" t="s">
        <v>1184</v>
      </c>
      <c r="G495" s="10">
        <v>45964</v>
      </c>
      <c r="H495" s="10">
        <v>45969</v>
      </c>
      <c r="I495">
        <v>9.6</v>
      </c>
      <c r="J495">
        <v>7.5</v>
      </c>
      <c r="K495" s="9" t="s">
        <v>1321</v>
      </c>
    </row>
    <row r="496" spans="1:11" x14ac:dyDescent="0.35">
      <c r="A496" s="9" t="s">
        <v>1956</v>
      </c>
      <c r="B496" s="9" t="s">
        <v>561</v>
      </c>
      <c r="C496" s="9" t="s">
        <v>55</v>
      </c>
      <c r="D496" s="9" t="s">
        <v>47</v>
      </c>
      <c r="E496" s="9" t="s">
        <v>1162</v>
      </c>
      <c r="F496" s="9" t="s">
        <v>1163</v>
      </c>
      <c r="G496" s="10">
        <v>45800</v>
      </c>
      <c r="H496" s="10">
        <v>45804</v>
      </c>
      <c r="I496">
        <v>8.5</v>
      </c>
      <c r="J496">
        <v>6.5</v>
      </c>
      <c r="K496" s="9" t="s">
        <v>1321</v>
      </c>
    </row>
    <row r="497" spans="1:11" x14ac:dyDescent="0.35">
      <c r="A497" s="9" t="s">
        <v>1957</v>
      </c>
      <c r="B497" s="9" t="s">
        <v>561</v>
      </c>
      <c r="C497" s="9" t="s">
        <v>55</v>
      </c>
      <c r="D497" s="9" t="s">
        <v>47</v>
      </c>
      <c r="E497" s="9" t="s">
        <v>1180</v>
      </c>
      <c r="F497" s="9" t="s">
        <v>1181</v>
      </c>
      <c r="G497" s="10">
        <v>45862</v>
      </c>
      <c r="H497" s="10">
        <v>45889</v>
      </c>
      <c r="I497">
        <v>12.5</v>
      </c>
      <c r="J497">
        <v>13.2</v>
      </c>
      <c r="K497" s="9" t="s">
        <v>1321</v>
      </c>
    </row>
    <row r="498" spans="1:11" x14ac:dyDescent="0.35">
      <c r="A498" s="9" t="s">
        <v>1958</v>
      </c>
      <c r="B498" s="9" t="s">
        <v>563</v>
      </c>
      <c r="C498" s="9" t="s">
        <v>55</v>
      </c>
      <c r="D498" s="9" t="s">
        <v>112</v>
      </c>
      <c r="E498" s="9" t="s">
        <v>1143</v>
      </c>
      <c r="F498" s="9" t="s">
        <v>1144</v>
      </c>
      <c r="G498" s="10">
        <v>46074</v>
      </c>
      <c r="H498" s="10">
        <v>46112</v>
      </c>
      <c r="I498">
        <v>4</v>
      </c>
      <c r="J498">
        <v>4.8</v>
      </c>
      <c r="K498" s="9" t="s">
        <v>1321</v>
      </c>
    </row>
    <row r="499" spans="1:11" x14ac:dyDescent="0.35">
      <c r="A499" s="9" t="s">
        <v>1959</v>
      </c>
      <c r="B499" s="9" t="s">
        <v>563</v>
      </c>
      <c r="C499" s="9" t="s">
        <v>55</v>
      </c>
      <c r="D499" s="9" t="s">
        <v>112</v>
      </c>
      <c r="E499" s="9" t="s">
        <v>1167</v>
      </c>
      <c r="F499" s="9" t="s">
        <v>1168</v>
      </c>
      <c r="G499" s="10">
        <v>45900</v>
      </c>
      <c r="H499" s="10">
        <v>45912</v>
      </c>
      <c r="I499">
        <v>7.3</v>
      </c>
      <c r="J499">
        <v>6.3</v>
      </c>
      <c r="K499" s="9" t="s">
        <v>1321</v>
      </c>
    </row>
    <row r="500" spans="1:11" x14ac:dyDescent="0.35">
      <c r="A500" s="9" t="s">
        <v>1960</v>
      </c>
      <c r="B500" s="9" t="s">
        <v>563</v>
      </c>
      <c r="C500" s="9" t="s">
        <v>55</v>
      </c>
      <c r="D500" s="9" t="s">
        <v>112</v>
      </c>
      <c r="E500" s="9" t="s">
        <v>1129</v>
      </c>
      <c r="F500" s="9" t="s">
        <v>1130</v>
      </c>
      <c r="G500" s="10">
        <v>45957</v>
      </c>
      <c r="H500" s="10">
        <v>45968</v>
      </c>
      <c r="I500">
        <v>19.100000000000001</v>
      </c>
      <c r="J500">
        <v>16.3</v>
      </c>
      <c r="K500" s="9" t="s">
        <v>1321</v>
      </c>
    </row>
    <row r="501" spans="1:11" x14ac:dyDescent="0.35">
      <c r="A501" s="9" t="s">
        <v>1961</v>
      </c>
      <c r="B501" s="9" t="s">
        <v>565</v>
      </c>
      <c r="C501" s="9" t="s">
        <v>55</v>
      </c>
      <c r="D501" s="9" t="s">
        <v>69</v>
      </c>
      <c r="E501" s="9" t="s">
        <v>1158</v>
      </c>
      <c r="F501" s="9" t="s">
        <v>1159</v>
      </c>
      <c r="G501" s="10">
        <v>45970</v>
      </c>
      <c r="H501" s="10">
        <v>45997</v>
      </c>
      <c r="I501">
        <v>4.5999999999999996</v>
      </c>
      <c r="J501">
        <v>4.8</v>
      </c>
      <c r="K501" s="9" t="s">
        <v>1321</v>
      </c>
    </row>
    <row r="502" spans="1:11" x14ac:dyDescent="0.35">
      <c r="A502" s="9" t="s">
        <v>1962</v>
      </c>
      <c r="B502" s="9" t="s">
        <v>565</v>
      </c>
      <c r="C502" s="9" t="s">
        <v>55</v>
      </c>
      <c r="D502" s="9" t="s">
        <v>69</v>
      </c>
      <c r="E502" s="9" t="s">
        <v>1193</v>
      </c>
      <c r="F502" s="9" t="s">
        <v>1194</v>
      </c>
      <c r="G502" s="10">
        <v>45816</v>
      </c>
      <c r="H502" s="10">
        <v>45810</v>
      </c>
      <c r="I502">
        <v>35.799999999999997</v>
      </c>
      <c r="J502">
        <v>33</v>
      </c>
      <c r="K502" s="9" t="s">
        <v>1321</v>
      </c>
    </row>
    <row r="503" spans="1:11" x14ac:dyDescent="0.35">
      <c r="A503" s="9" t="s">
        <v>1963</v>
      </c>
      <c r="B503" s="9" t="s">
        <v>565</v>
      </c>
      <c r="C503" s="9" t="s">
        <v>55</v>
      </c>
      <c r="D503" s="9" t="s">
        <v>69</v>
      </c>
      <c r="E503" s="9" t="s">
        <v>1145</v>
      </c>
      <c r="F503" s="9" t="s">
        <v>1146</v>
      </c>
      <c r="G503" s="10">
        <v>46133</v>
      </c>
      <c r="H503" s="10">
        <v>46175</v>
      </c>
      <c r="I503">
        <v>18.2</v>
      </c>
      <c r="J503">
        <v>22.7</v>
      </c>
      <c r="K503" s="9" t="s">
        <v>1321</v>
      </c>
    </row>
    <row r="504" spans="1:11" x14ac:dyDescent="0.35">
      <c r="A504" s="9" t="s">
        <v>1964</v>
      </c>
      <c r="B504" s="9" t="s">
        <v>567</v>
      </c>
      <c r="C504" s="9" t="s">
        <v>46</v>
      </c>
      <c r="D504" s="9" t="s">
        <v>69</v>
      </c>
      <c r="E504" s="9" t="s">
        <v>1147</v>
      </c>
      <c r="F504" s="9" t="s">
        <v>1148</v>
      </c>
      <c r="G504" s="10">
        <v>45711</v>
      </c>
      <c r="H504" s="10">
        <v>45724</v>
      </c>
      <c r="I504">
        <v>15.1</v>
      </c>
      <c r="J504">
        <v>13.3</v>
      </c>
      <c r="K504" s="9" t="s">
        <v>1321</v>
      </c>
    </row>
    <row r="505" spans="1:11" x14ac:dyDescent="0.35">
      <c r="A505" s="9" t="s">
        <v>1965</v>
      </c>
      <c r="B505" s="9" t="s">
        <v>569</v>
      </c>
      <c r="C505" s="9" t="s">
        <v>46</v>
      </c>
      <c r="D505" s="9" t="s">
        <v>56</v>
      </c>
      <c r="E505" s="9" t="s">
        <v>1167</v>
      </c>
      <c r="F505" s="9" t="s">
        <v>1168</v>
      </c>
      <c r="G505" s="10">
        <v>46182</v>
      </c>
      <c r="H505" s="10">
        <v>46204</v>
      </c>
      <c r="I505">
        <v>22</v>
      </c>
      <c r="J505">
        <v>21.9</v>
      </c>
      <c r="K505" s="9" t="s">
        <v>1321</v>
      </c>
    </row>
    <row r="506" spans="1:11" x14ac:dyDescent="0.35">
      <c r="A506" s="9" t="s">
        <v>1966</v>
      </c>
      <c r="B506" s="9" t="s">
        <v>571</v>
      </c>
      <c r="C506" s="9" t="s">
        <v>55</v>
      </c>
      <c r="D506" s="9" t="s">
        <v>80</v>
      </c>
      <c r="E506" s="9" t="s">
        <v>1190</v>
      </c>
      <c r="F506" s="9" t="s">
        <v>1191</v>
      </c>
      <c r="G506" s="10">
        <v>45673</v>
      </c>
      <c r="H506" s="10">
        <v>45704</v>
      </c>
      <c r="I506">
        <v>28.9</v>
      </c>
      <c r="J506">
        <v>32</v>
      </c>
      <c r="K506" s="9" t="s">
        <v>1321</v>
      </c>
    </row>
    <row r="507" spans="1:11" x14ac:dyDescent="0.35">
      <c r="A507" s="9" t="s">
        <v>1967</v>
      </c>
      <c r="B507" s="9" t="s">
        <v>571</v>
      </c>
      <c r="C507" s="9" t="s">
        <v>55</v>
      </c>
      <c r="D507" s="9" t="s">
        <v>80</v>
      </c>
      <c r="E507" s="9" t="s">
        <v>1158</v>
      </c>
      <c r="F507" s="9" t="s">
        <v>1159</v>
      </c>
      <c r="G507" s="10">
        <v>45911</v>
      </c>
      <c r="H507" s="10">
        <v>45939</v>
      </c>
      <c r="I507">
        <v>29.7</v>
      </c>
      <c r="J507">
        <v>31.7</v>
      </c>
      <c r="K507" s="9" t="s">
        <v>1321</v>
      </c>
    </row>
    <row r="508" spans="1:11" x14ac:dyDescent="0.35">
      <c r="A508" s="9" t="s">
        <v>1968</v>
      </c>
      <c r="B508" s="9" t="s">
        <v>573</v>
      </c>
      <c r="C508" s="9" t="s">
        <v>46</v>
      </c>
      <c r="D508" s="9" t="s">
        <v>56</v>
      </c>
      <c r="E508" s="9" t="s">
        <v>1167</v>
      </c>
      <c r="F508" s="9" t="s">
        <v>1168</v>
      </c>
      <c r="G508" s="10">
        <v>46171</v>
      </c>
      <c r="H508" s="10">
        <v>46179</v>
      </c>
      <c r="I508">
        <v>18.600000000000001</v>
      </c>
      <c r="J508">
        <v>15.2</v>
      </c>
      <c r="K508" s="9" t="s">
        <v>1321</v>
      </c>
    </row>
    <row r="509" spans="1:11" x14ac:dyDescent="0.35">
      <c r="A509" s="9" t="s">
        <v>1969</v>
      </c>
      <c r="B509" s="9" t="s">
        <v>575</v>
      </c>
      <c r="C509" s="9" t="s">
        <v>55</v>
      </c>
      <c r="D509" s="9" t="s">
        <v>80</v>
      </c>
      <c r="E509" s="9" t="s">
        <v>1158</v>
      </c>
      <c r="F509" s="9" t="s">
        <v>1159</v>
      </c>
      <c r="G509" s="10">
        <v>46114</v>
      </c>
      <c r="H509" s="10">
        <v>46168</v>
      </c>
      <c r="I509">
        <v>11.1</v>
      </c>
      <c r="J509">
        <v>15.6</v>
      </c>
      <c r="K509" s="9" t="s">
        <v>1321</v>
      </c>
    </row>
    <row r="510" spans="1:11" x14ac:dyDescent="0.35">
      <c r="A510" s="9" t="s">
        <v>1970</v>
      </c>
      <c r="B510" s="9" t="s">
        <v>577</v>
      </c>
      <c r="C510" s="9" t="s">
        <v>55</v>
      </c>
      <c r="D510" s="9" t="s">
        <v>56</v>
      </c>
      <c r="E510" s="9" t="s">
        <v>1147</v>
      </c>
      <c r="F510" s="9" t="s">
        <v>1148</v>
      </c>
      <c r="G510" s="10">
        <v>45977</v>
      </c>
      <c r="H510" s="10">
        <v>46015</v>
      </c>
      <c r="I510">
        <v>5.8</v>
      </c>
      <c r="J510">
        <v>7</v>
      </c>
      <c r="K510" s="9" t="s">
        <v>1321</v>
      </c>
    </row>
    <row r="511" spans="1:11" x14ac:dyDescent="0.35">
      <c r="A511" s="9" t="s">
        <v>1971</v>
      </c>
      <c r="B511" s="9" t="s">
        <v>577</v>
      </c>
      <c r="C511" s="9" t="s">
        <v>55</v>
      </c>
      <c r="D511" s="9" t="s">
        <v>56</v>
      </c>
      <c r="E511" s="9" t="s">
        <v>1152</v>
      </c>
      <c r="F511" s="9" t="s">
        <v>1153</v>
      </c>
      <c r="G511" s="10">
        <v>45909</v>
      </c>
      <c r="H511" s="10">
        <v>45925</v>
      </c>
      <c r="I511">
        <v>30.1</v>
      </c>
      <c r="J511">
        <v>27.7</v>
      </c>
      <c r="K511" s="9" t="s">
        <v>1321</v>
      </c>
    </row>
    <row r="512" spans="1:11" x14ac:dyDescent="0.35">
      <c r="A512" s="9" t="s">
        <v>1972</v>
      </c>
      <c r="B512" s="9" t="s">
        <v>577</v>
      </c>
      <c r="C512" s="9" t="s">
        <v>55</v>
      </c>
      <c r="D512" s="9" t="s">
        <v>56</v>
      </c>
      <c r="E512" s="9" t="s">
        <v>1167</v>
      </c>
      <c r="F512" s="9" t="s">
        <v>1168</v>
      </c>
      <c r="G512" s="10">
        <v>46137</v>
      </c>
      <c r="H512" s="10">
        <v>46150</v>
      </c>
      <c r="I512">
        <v>2.4</v>
      </c>
      <c r="J512">
        <v>2.2000000000000002</v>
      </c>
      <c r="K512" s="9" t="s">
        <v>1321</v>
      </c>
    </row>
    <row r="513" spans="1:11" x14ac:dyDescent="0.35">
      <c r="A513" s="9" t="s">
        <v>1973</v>
      </c>
      <c r="B513" s="9" t="s">
        <v>579</v>
      </c>
      <c r="C513" s="9" t="s">
        <v>46</v>
      </c>
      <c r="D513" s="9" t="s">
        <v>47</v>
      </c>
      <c r="E513" s="9" t="s">
        <v>1162</v>
      </c>
      <c r="F513" s="9" t="s">
        <v>1163</v>
      </c>
      <c r="G513" s="10">
        <v>46150</v>
      </c>
      <c r="H513" s="10">
        <v>46197</v>
      </c>
      <c r="I513">
        <v>9.9</v>
      </c>
      <c r="J513">
        <v>13</v>
      </c>
      <c r="K513" s="9" t="s">
        <v>1321</v>
      </c>
    </row>
    <row r="514" spans="1:11" x14ac:dyDescent="0.35">
      <c r="A514" s="9" t="s">
        <v>1974</v>
      </c>
      <c r="B514" s="9" t="s">
        <v>579</v>
      </c>
      <c r="C514" s="9" t="s">
        <v>46</v>
      </c>
      <c r="D514" s="9" t="s">
        <v>47</v>
      </c>
      <c r="E514" s="9" t="s">
        <v>1167</v>
      </c>
      <c r="F514" s="9" t="s">
        <v>1168</v>
      </c>
      <c r="G514" s="10">
        <v>46039</v>
      </c>
      <c r="H514" s="10">
        <v>46092</v>
      </c>
      <c r="I514">
        <v>17.8</v>
      </c>
      <c r="J514">
        <v>24.8</v>
      </c>
      <c r="K514" s="9" t="s">
        <v>1321</v>
      </c>
    </row>
    <row r="515" spans="1:11" x14ac:dyDescent="0.35">
      <c r="A515" s="9" t="s">
        <v>1975</v>
      </c>
      <c r="B515" s="9" t="s">
        <v>579</v>
      </c>
      <c r="C515" s="9" t="s">
        <v>46</v>
      </c>
      <c r="D515" s="9" t="s">
        <v>47</v>
      </c>
      <c r="E515" s="9" t="s">
        <v>1188</v>
      </c>
      <c r="F515" s="9" t="s">
        <v>1189</v>
      </c>
      <c r="G515" s="10">
        <v>45743</v>
      </c>
      <c r="H515" s="10">
        <v>45749</v>
      </c>
      <c r="I515">
        <v>33.1</v>
      </c>
      <c r="J515">
        <v>26.3</v>
      </c>
      <c r="K515" s="9" t="s">
        <v>1321</v>
      </c>
    </row>
    <row r="516" spans="1:11" x14ac:dyDescent="0.35">
      <c r="A516" s="9" t="s">
        <v>1976</v>
      </c>
      <c r="B516" s="9" t="s">
        <v>581</v>
      </c>
      <c r="C516" s="9" t="s">
        <v>46</v>
      </c>
      <c r="D516" s="9" t="s">
        <v>76</v>
      </c>
      <c r="E516" s="9" t="s">
        <v>1147</v>
      </c>
      <c r="F516" s="9" t="s">
        <v>1148</v>
      </c>
      <c r="G516" s="10">
        <v>46058</v>
      </c>
      <c r="H516" s="10">
        <v>46077</v>
      </c>
      <c r="I516">
        <v>34.4</v>
      </c>
      <c r="J516">
        <v>32.9</v>
      </c>
      <c r="K516" s="9" t="s">
        <v>1321</v>
      </c>
    </row>
    <row r="517" spans="1:11" x14ac:dyDescent="0.35">
      <c r="A517" s="9" t="s">
        <v>1977</v>
      </c>
      <c r="B517" s="9" t="s">
        <v>581</v>
      </c>
      <c r="C517" s="9" t="s">
        <v>46</v>
      </c>
      <c r="D517" s="9" t="s">
        <v>76</v>
      </c>
      <c r="E517" s="9" t="s">
        <v>1190</v>
      </c>
      <c r="F517" s="9" t="s">
        <v>1191</v>
      </c>
      <c r="G517" s="10">
        <v>45818</v>
      </c>
      <c r="H517" s="10">
        <v>45823</v>
      </c>
      <c r="I517">
        <v>16.8</v>
      </c>
      <c r="J517">
        <v>13.1</v>
      </c>
      <c r="K517" s="9" t="s">
        <v>1321</v>
      </c>
    </row>
    <row r="518" spans="1:11" x14ac:dyDescent="0.35">
      <c r="A518" s="9" t="s">
        <v>1978</v>
      </c>
      <c r="B518" s="9" t="s">
        <v>581</v>
      </c>
      <c r="C518" s="9" t="s">
        <v>46</v>
      </c>
      <c r="D518" s="9" t="s">
        <v>76</v>
      </c>
      <c r="E518" s="9" t="s">
        <v>1143</v>
      </c>
      <c r="F518" s="9" t="s">
        <v>1144</v>
      </c>
      <c r="G518" s="10">
        <v>46067</v>
      </c>
      <c r="H518" s="10">
        <v>46098</v>
      </c>
      <c r="I518">
        <v>35.700000000000003</v>
      </c>
      <c r="J518">
        <v>39.700000000000003</v>
      </c>
      <c r="K518" s="9" t="s">
        <v>1321</v>
      </c>
    </row>
    <row r="519" spans="1:11" x14ac:dyDescent="0.35">
      <c r="A519" s="9" t="s">
        <v>1979</v>
      </c>
      <c r="B519" s="9" t="s">
        <v>583</v>
      </c>
      <c r="C519" s="9" t="s">
        <v>46</v>
      </c>
      <c r="D519" s="9" t="s">
        <v>63</v>
      </c>
      <c r="E519" s="9" t="s">
        <v>1167</v>
      </c>
      <c r="F519" s="9" t="s">
        <v>1168</v>
      </c>
      <c r="G519" s="10">
        <v>46131</v>
      </c>
      <c r="H519" s="10">
        <v>46141</v>
      </c>
      <c r="I519">
        <v>3.8</v>
      </c>
      <c r="J519">
        <v>3.2</v>
      </c>
      <c r="K519" s="9" t="s">
        <v>1321</v>
      </c>
    </row>
    <row r="520" spans="1:11" x14ac:dyDescent="0.35">
      <c r="A520" s="9" t="s">
        <v>1980</v>
      </c>
      <c r="B520" s="9" t="s">
        <v>583</v>
      </c>
      <c r="C520" s="9" t="s">
        <v>46</v>
      </c>
      <c r="D520" s="9" t="s">
        <v>63</v>
      </c>
      <c r="E520" s="9" t="s">
        <v>1158</v>
      </c>
      <c r="F520" s="9" t="s">
        <v>1159</v>
      </c>
      <c r="G520" s="10">
        <v>45716</v>
      </c>
      <c r="H520" s="10">
        <v>45771</v>
      </c>
      <c r="I520">
        <v>8</v>
      </c>
      <c r="J520">
        <v>11.3</v>
      </c>
      <c r="K520" s="9" t="s">
        <v>1321</v>
      </c>
    </row>
    <row r="521" spans="1:11" x14ac:dyDescent="0.35">
      <c r="A521" s="9" t="s">
        <v>1981</v>
      </c>
      <c r="B521" s="9" t="s">
        <v>585</v>
      </c>
      <c r="C521" s="9" t="s">
        <v>46</v>
      </c>
      <c r="D521" s="9" t="s">
        <v>56</v>
      </c>
      <c r="E521" s="9" t="s">
        <v>1129</v>
      </c>
      <c r="F521" s="9" t="s">
        <v>1130</v>
      </c>
      <c r="G521" s="10">
        <v>45762</v>
      </c>
      <c r="H521" s="10">
        <v>45798</v>
      </c>
      <c r="I521">
        <v>19.399999999999999</v>
      </c>
      <c r="J521">
        <v>22.7</v>
      </c>
      <c r="K521" s="9" t="s">
        <v>1321</v>
      </c>
    </row>
    <row r="522" spans="1:11" x14ac:dyDescent="0.35">
      <c r="A522" s="9" t="s">
        <v>1982</v>
      </c>
      <c r="B522" s="9" t="s">
        <v>585</v>
      </c>
      <c r="C522" s="9" t="s">
        <v>46</v>
      </c>
      <c r="D522" s="9" t="s">
        <v>56</v>
      </c>
      <c r="E522" s="9" t="s">
        <v>1176</v>
      </c>
      <c r="F522" s="9" t="s">
        <v>1177</v>
      </c>
      <c r="G522" s="10">
        <v>45966</v>
      </c>
      <c r="H522" s="10">
        <v>45969</v>
      </c>
      <c r="I522">
        <v>2.2999999999999998</v>
      </c>
      <c r="J522">
        <v>1.8</v>
      </c>
      <c r="K522" s="9" t="s">
        <v>1321</v>
      </c>
    </row>
    <row r="523" spans="1:11" x14ac:dyDescent="0.35">
      <c r="A523" s="9" t="s">
        <v>1983</v>
      </c>
      <c r="B523" s="9" t="s">
        <v>587</v>
      </c>
      <c r="C523" s="9" t="s">
        <v>62</v>
      </c>
      <c r="D523" s="9" t="s">
        <v>69</v>
      </c>
      <c r="E523" s="9" t="s">
        <v>1188</v>
      </c>
      <c r="F523" s="9" t="s">
        <v>1189</v>
      </c>
      <c r="G523" s="10">
        <v>46139</v>
      </c>
      <c r="H523" s="10">
        <v>46193</v>
      </c>
      <c r="I523">
        <v>28.4</v>
      </c>
      <c r="J523">
        <v>39.9</v>
      </c>
      <c r="K523" s="9" t="s">
        <v>1321</v>
      </c>
    </row>
    <row r="524" spans="1:11" x14ac:dyDescent="0.35">
      <c r="A524" s="9" t="s">
        <v>1984</v>
      </c>
      <c r="B524" s="9" t="s">
        <v>587</v>
      </c>
      <c r="C524" s="9" t="s">
        <v>62</v>
      </c>
      <c r="D524" s="9" t="s">
        <v>69</v>
      </c>
      <c r="E524" s="9" t="s">
        <v>1188</v>
      </c>
      <c r="F524" s="9" t="s">
        <v>1189</v>
      </c>
      <c r="G524" s="10">
        <v>45954</v>
      </c>
      <c r="H524" s="10">
        <v>45997</v>
      </c>
      <c r="I524">
        <v>4.5999999999999996</v>
      </c>
      <c r="J524">
        <v>5.8</v>
      </c>
      <c r="K524" s="9" t="s">
        <v>1321</v>
      </c>
    </row>
    <row r="525" spans="1:11" x14ac:dyDescent="0.35">
      <c r="A525" s="9" t="s">
        <v>1985</v>
      </c>
      <c r="B525" s="9" t="s">
        <v>587</v>
      </c>
      <c r="C525" s="9" t="s">
        <v>62</v>
      </c>
      <c r="D525" s="9" t="s">
        <v>69</v>
      </c>
      <c r="E525" s="9" t="s">
        <v>1167</v>
      </c>
      <c r="F525" s="9" t="s">
        <v>1168</v>
      </c>
      <c r="G525" s="10">
        <v>45834</v>
      </c>
      <c r="H525" s="10">
        <v>45889</v>
      </c>
      <c r="I525">
        <v>14.3</v>
      </c>
      <c r="J525">
        <v>20.3</v>
      </c>
      <c r="K525" s="9" t="s">
        <v>1321</v>
      </c>
    </row>
    <row r="526" spans="1:11" x14ac:dyDescent="0.35">
      <c r="A526" s="9" t="s">
        <v>1986</v>
      </c>
      <c r="B526" s="9" t="s">
        <v>589</v>
      </c>
      <c r="C526" s="9" t="s">
        <v>46</v>
      </c>
      <c r="D526" s="9" t="s">
        <v>69</v>
      </c>
      <c r="E526" s="9" t="s">
        <v>1129</v>
      </c>
      <c r="F526" s="9" t="s">
        <v>1130</v>
      </c>
      <c r="G526" s="10">
        <v>45786</v>
      </c>
      <c r="H526" s="10">
        <v>45824</v>
      </c>
      <c r="I526">
        <v>2.1</v>
      </c>
      <c r="J526">
        <v>2.5</v>
      </c>
      <c r="K526" s="9" t="s">
        <v>1321</v>
      </c>
    </row>
    <row r="527" spans="1:11" x14ac:dyDescent="0.35">
      <c r="A527" s="9" t="s">
        <v>1987</v>
      </c>
      <c r="B527" s="9" t="s">
        <v>589</v>
      </c>
      <c r="C527" s="9" t="s">
        <v>46</v>
      </c>
      <c r="D527" s="9" t="s">
        <v>69</v>
      </c>
      <c r="E527" s="9" t="s">
        <v>1171</v>
      </c>
      <c r="F527" s="9" t="s">
        <v>1172</v>
      </c>
      <c r="G527" s="10">
        <v>45993</v>
      </c>
      <c r="H527" s="10"/>
      <c r="I527">
        <v>18.899999999999999</v>
      </c>
      <c r="K527" s="9" t="s">
        <v>1473</v>
      </c>
    </row>
    <row r="528" spans="1:11" x14ac:dyDescent="0.35">
      <c r="A528" s="9" t="s">
        <v>1988</v>
      </c>
      <c r="B528" s="9" t="s">
        <v>591</v>
      </c>
      <c r="C528" s="9" t="s">
        <v>46</v>
      </c>
      <c r="D528" s="9" t="s">
        <v>56</v>
      </c>
      <c r="E528" s="9" t="s">
        <v>1180</v>
      </c>
      <c r="F528" s="9" t="s">
        <v>1181</v>
      </c>
      <c r="G528" s="10">
        <v>46144</v>
      </c>
      <c r="H528" s="10">
        <v>46164</v>
      </c>
      <c r="I528">
        <v>29.3</v>
      </c>
      <c r="J528">
        <v>28.7</v>
      </c>
      <c r="K528" s="9" t="s">
        <v>1321</v>
      </c>
    </row>
    <row r="529" spans="1:11" x14ac:dyDescent="0.35">
      <c r="A529" s="9" t="s">
        <v>1989</v>
      </c>
      <c r="B529" s="9" t="s">
        <v>591</v>
      </c>
      <c r="C529" s="9" t="s">
        <v>46</v>
      </c>
      <c r="D529" s="9" t="s">
        <v>56</v>
      </c>
      <c r="E529" s="9" t="s">
        <v>1152</v>
      </c>
      <c r="F529" s="9" t="s">
        <v>1153</v>
      </c>
      <c r="G529" s="10">
        <v>46112</v>
      </c>
      <c r="H529" s="10">
        <v>46132</v>
      </c>
      <c r="I529">
        <v>16.3</v>
      </c>
      <c r="J529">
        <v>15.9</v>
      </c>
      <c r="K529" s="9" t="s">
        <v>1321</v>
      </c>
    </row>
    <row r="530" spans="1:11" x14ac:dyDescent="0.35">
      <c r="A530" s="9" t="s">
        <v>1990</v>
      </c>
      <c r="B530" s="9" t="s">
        <v>591</v>
      </c>
      <c r="C530" s="9" t="s">
        <v>46</v>
      </c>
      <c r="D530" s="9" t="s">
        <v>56</v>
      </c>
      <c r="E530" s="9" t="s">
        <v>1158</v>
      </c>
      <c r="F530" s="9" t="s">
        <v>1159</v>
      </c>
      <c r="G530" s="10">
        <v>45693</v>
      </c>
      <c r="H530" s="10">
        <v>45733</v>
      </c>
      <c r="I530">
        <v>15.7</v>
      </c>
      <c r="J530">
        <v>19.399999999999999</v>
      </c>
      <c r="K530" s="9" t="s">
        <v>1321</v>
      </c>
    </row>
    <row r="531" spans="1:11" x14ac:dyDescent="0.35">
      <c r="A531" s="9" t="s">
        <v>1991</v>
      </c>
      <c r="B531" s="9" t="s">
        <v>593</v>
      </c>
      <c r="C531" s="9" t="s">
        <v>46</v>
      </c>
      <c r="D531" s="9" t="s">
        <v>69</v>
      </c>
      <c r="E531" s="9" t="s">
        <v>1167</v>
      </c>
      <c r="F531" s="9" t="s">
        <v>1168</v>
      </c>
      <c r="G531" s="10">
        <v>45983</v>
      </c>
      <c r="H531" s="10">
        <v>45994</v>
      </c>
      <c r="I531">
        <v>30.1</v>
      </c>
      <c r="J531">
        <v>25.9</v>
      </c>
      <c r="K531" s="9" t="s">
        <v>1321</v>
      </c>
    </row>
    <row r="532" spans="1:11" x14ac:dyDescent="0.35">
      <c r="A532" s="9" t="s">
        <v>1992</v>
      </c>
      <c r="B532" s="9" t="s">
        <v>593</v>
      </c>
      <c r="C532" s="9" t="s">
        <v>46</v>
      </c>
      <c r="D532" s="9" t="s">
        <v>69</v>
      </c>
      <c r="E532" s="9" t="s">
        <v>1211</v>
      </c>
      <c r="F532" s="9" t="s">
        <v>1212</v>
      </c>
      <c r="G532" s="10">
        <v>45777</v>
      </c>
      <c r="H532" s="10">
        <v>45782</v>
      </c>
      <c r="I532">
        <v>23</v>
      </c>
      <c r="J532">
        <v>18.100000000000001</v>
      </c>
      <c r="K532" s="9" t="s">
        <v>1321</v>
      </c>
    </row>
    <row r="533" spans="1:11" x14ac:dyDescent="0.35">
      <c r="A533" s="9" t="s">
        <v>1993</v>
      </c>
      <c r="B533" s="9" t="s">
        <v>595</v>
      </c>
      <c r="C533" s="9" t="s">
        <v>46</v>
      </c>
      <c r="D533" s="9" t="s">
        <v>69</v>
      </c>
      <c r="E533" s="9" t="s">
        <v>1152</v>
      </c>
      <c r="F533" s="9" t="s">
        <v>1153</v>
      </c>
      <c r="G533" s="10">
        <v>45868</v>
      </c>
      <c r="H533" s="10">
        <v>45920</v>
      </c>
      <c r="I533">
        <v>24.1</v>
      </c>
      <c r="J533">
        <v>33.299999999999997</v>
      </c>
      <c r="K533" s="9" t="s">
        <v>1321</v>
      </c>
    </row>
    <row r="534" spans="1:11" x14ac:dyDescent="0.35">
      <c r="A534" s="9" t="s">
        <v>1994</v>
      </c>
      <c r="B534" s="9" t="s">
        <v>595</v>
      </c>
      <c r="C534" s="9" t="s">
        <v>46</v>
      </c>
      <c r="D534" s="9" t="s">
        <v>69</v>
      </c>
      <c r="E534" s="9" t="s">
        <v>1188</v>
      </c>
      <c r="F534" s="9" t="s">
        <v>1189</v>
      </c>
      <c r="G534" s="10">
        <v>46086</v>
      </c>
      <c r="H534" s="10">
        <v>46125</v>
      </c>
      <c r="I534">
        <v>5.7</v>
      </c>
      <c r="J534">
        <v>6.9</v>
      </c>
      <c r="K534" s="9" t="s">
        <v>1321</v>
      </c>
    </row>
    <row r="535" spans="1:11" x14ac:dyDescent="0.35">
      <c r="A535" s="9" t="s">
        <v>1995</v>
      </c>
      <c r="B535" s="9" t="s">
        <v>595</v>
      </c>
      <c r="C535" s="9" t="s">
        <v>46</v>
      </c>
      <c r="D535" s="9" t="s">
        <v>69</v>
      </c>
      <c r="E535" s="9" t="s">
        <v>1211</v>
      </c>
      <c r="F535" s="9" t="s">
        <v>1212</v>
      </c>
      <c r="G535" s="10">
        <v>46003</v>
      </c>
      <c r="H535" s="10"/>
      <c r="I535">
        <v>7.3</v>
      </c>
      <c r="K535" s="9" t="s">
        <v>1473</v>
      </c>
    </row>
    <row r="536" spans="1:11" x14ac:dyDescent="0.35">
      <c r="A536" s="9" t="s">
        <v>1996</v>
      </c>
      <c r="B536" s="9" t="s">
        <v>597</v>
      </c>
      <c r="C536" s="9" t="s">
        <v>55</v>
      </c>
      <c r="D536" s="9" t="s">
        <v>69</v>
      </c>
      <c r="E536" s="9" t="s">
        <v>1158</v>
      </c>
      <c r="F536" s="9" t="s">
        <v>1159</v>
      </c>
      <c r="G536" s="10">
        <v>46005</v>
      </c>
      <c r="H536" s="10">
        <v>46013</v>
      </c>
      <c r="I536">
        <v>21.2</v>
      </c>
      <c r="J536">
        <v>17.399999999999999</v>
      </c>
      <c r="K536" s="9" t="s">
        <v>1321</v>
      </c>
    </row>
    <row r="537" spans="1:11" x14ac:dyDescent="0.35">
      <c r="A537" s="9" t="s">
        <v>1997</v>
      </c>
      <c r="B537" s="9" t="s">
        <v>597</v>
      </c>
      <c r="C537" s="9" t="s">
        <v>55</v>
      </c>
      <c r="D537" s="9" t="s">
        <v>69</v>
      </c>
      <c r="E537" s="9" t="s">
        <v>1162</v>
      </c>
      <c r="F537" s="9" t="s">
        <v>1163</v>
      </c>
      <c r="G537" s="10">
        <v>45954</v>
      </c>
      <c r="H537" s="10">
        <v>45959</v>
      </c>
      <c r="I537">
        <v>14.1</v>
      </c>
      <c r="J537">
        <v>11.1</v>
      </c>
      <c r="K537" s="9" t="s">
        <v>1321</v>
      </c>
    </row>
    <row r="538" spans="1:11" x14ac:dyDescent="0.35">
      <c r="A538" s="9" t="s">
        <v>1998</v>
      </c>
      <c r="B538" s="9" t="s">
        <v>597</v>
      </c>
      <c r="C538" s="9" t="s">
        <v>55</v>
      </c>
      <c r="D538" s="9" t="s">
        <v>69</v>
      </c>
      <c r="E538" s="9" t="s">
        <v>1158</v>
      </c>
      <c r="F538" s="9" t="s">
        <v>1159</v>
      </c>
      <c r="G538" s="10">
        <v>45935</v>
      </c>
      <c r="H538" s="10">
        <v>45979</v>
      </c>
      <c r="I538">
        <v>24.7</v>
      </c>
      <c r="J538">
        <v>31.7</v>
      </c>
      <c r="K538" s="9" t="s">
        <v>1321</v>
      </c>
    </row>
    <row r="539" spans="1:11" x14ac:dyDescent="0.35">
      <c r="A539" s="9" t="s">
        <v>1999</v>
      </c>
      <c r="B539" s="9" t="s">
        <v>599</v>
      </c>
      <c r="C539" s="9" t="s">
        <v>55</v>
      </c>
      <c r="D539" s="9" t="s">
        <v>112</v>
      </c>
      <c r="E539" s="9" t="s">
        <v>1167</v>
      </c>
      <c r="F539" s="9" t="s">
        <v>1168</v>
      </c>
      <c r="G539" s="10">
        <v>45839</v>
      </c>
      <c r="H539" s="10">
        <v>45883</v>
      </c>
      <c r="I539">
        <v>18.5</v>
      </c>
      <c r="J539">
        <v>23.5</v>
      </c>
      <c r="K539" s="9" t="s">
        <v>1321</v>
      </c>
    </row>
    <row r="540" spans="1:11" x14ac:dyDescent="0.35">
      <c r="A540" s="9" t="s">
        <v>2000</v>
      </c>
      <c r="B540" s="9" t="s">
        <v>599</v>
      </c>
      <c r="C540" s="9" t="s">
        <v>55</v>
      </c>
      <c r="D540" s="9" t="s">
        <v>112</v>
      </c>
      <c r="E540" s="9" t="s">
        <v>1176</v>
      </c>
      <c r="F540" s="9" t="s">
        <v>1177</v>
      </c>
      <c r="G540" s="10">
        <v>45928</v>
      </c>
      <c r="H540" s="10">
        <v>45978</v>
      </c>
      <c r="I540">
        <v>13.7</v>
      </c>
      <c r="J540">
        <v>18.5</v>
      </c>
      <c r="K540" s="9" t="s">
        <v>1321</v>
      </c>
    </row>
    <row r="541" spans="1:11" x14ac:dyDescent="0.35">
      <c r="A541" s="9" t="s">
        <v>2001</v>
      </c>
      <c r="B541" s="9" t="s">
        <v>601</v>
      </c>
      <c r="C541" s="9" t="s">
        <v>62</v>
      </c>
      <c r="D541" s="9" t="s">
        <v>56</v>
      </c>
      <c r="E541" s="9" t="s">
        <v>1139</v>
      </c>
      <c r="F541" s="9" t="s">
        <v>1140</v>
      </c>
      <c r="G541" s="10">
        <v>45930</v>
      </c>
      <c r="H541" s="10">
        <v>45936</v>
      </c>
      <c r="I541">
        <v>14.2</v>
      </c>
      <c r="J541">
        <v>11.3</v>
      </c>
      <c r="K541" s="9" t="s">
        <v>1321</v>
      </c>
    </row>
    <row r="542" spans="1:11" x14ac:dyDescent="0.35">
      <c r="A542" s="9" t="s">
        <v>2002</v>
      </c>
      <c r="B542" s="9" t="s">
        <v>601</v>
      </c>
      <c r="C542" s="9" t="s">
        <v>62</v>
      </c>
      <c r="D542" s="9" t="s">
        <v>56</v>
      </c>
      <c r="E542" s="9" t="s">
        <v>1147</v>
      </c>
      <c r="F542" s="9" t="s">
        <v>1148</v>
      </c>
      <c r="G542" s="10">
        <v>45856</v>
      </c>
      <c r="H542" s="10">
        <v>45900</v>
      </c>
      <c r="I542">
        <v>25.3</v>
      </c>
      <c r="J542">
        <v>32.4</v>
      </c>
      <c r="K542" s="9" t="s">
        <v>1321</v>
      </c>
    </row>
    <row r="543" spans="1:11" x14ac:dyDescent="0.35">
      <c r="A543" s="9" t="s">
        <v>2003</v>
      </c>
      <c r="B543" s="9" t="s">
        <v>603</v>
      </c>
      <c r="C543" s="9" t="s">
        <v>55</v>
      </c>
      <c r="D543" s="9" t="s">
        <v>63</v>
      </c>
      <c r="E543" s="9" t="s">
        <v>1129</v>
      </c>
      <c r="F543" s="9" t="s">
        <v>1130</v>
      </c>
      <c r="G543" s="10">
        <v>45880</v>
      </c>
      <c r="H543" s="10">
        <v>45935</v>
      </c>
      <c r="I543">
        <v>20.8</v>
      </c>
      <c r="J543">
        <v>29.5</v>
      </c>
      <c r="K543" s="9" t="s">
        <v>1321</v>
      </c>
    </row>
    <row r="544" spans="1:11" x14ac:dyDescent="0.35">
      <c r="A544" s="9" t="s">
        <v>2004</v>
      </c>
      <c r="B544" s="9" t="s">
        <v>603</v>
      </c>
      <c r="C544" s="9" t="s">
        <v>55</v>
      </c>
      <c r="D544" s="9" t="s">
        <v>63</v>
      </c>
      <c r="E544" s="9" t="s">
        <v>1155</v>
      </c>
      <c r="F544" s="9" t="s">
        <v>1156</v>
      </c>
      <c r="G544" s="10">
        <v>46191</v>
      </c>
      <c r="H544" s="10">
        <v>46223</v>
      </c>
      <c r="I544">
        <v>14.5</v>
      </c>
      <c r="J544">
        <v>16.3</v>
      </c>
      <c r="K544" s="9" t="s">
        <v>1321</v>
      </c>
    </row>
    <row r="545" spans="1:11" x14ac:dyDescent="0.35">
      <c r="A545" s="9" t="s">
        <v>2005</v>
      </c>
      <c r="B545" s="9" t="s">
        <v>603</v>
      </c>
      <c r="C545" s="9" t="s">
        <v>55</v>
      </c>
      <c r="D545" s="9" t="s">
        <v>63</v>
      </c>
      <c r="E545" s="9" t="s">
        <v>1137</v>
      </c>
      <c r="F545" s="9" t="s">
        <v>1138</v>
      </c>
      <c r="G545" s="10">
        <v>45739</v>
      </c>
      <c r="H545" s="10">
        <v>45748</v>
      </c>
      <c r="I545">
        <v>15.1</v>
      </c>
      <c r="J545">
        <v>12.6</v>
      </c>
      <c r="K545" s="9" t="s">
        <v>1321</v>
      </c>
    </row>
    <row r="546" spans="1:11" x14ac:dyDescent="0.35">
      <c r="A546" s="9" t="s">
        <v>2006</v>
      </c>
      <c r="B546" s="9" t="s">
        <v>605</v>
      </c>
      <c r="C546" s="9" t="s">
        <v>46</v>
      </c>
      <c r="D546" s="9" t="s">
        <v>69</v>
      </c>
      <c r="E546" s="9" t="s">
        <v>1137</v>
      </c>
      <c r="F546" s="9" t="s">
        <v>1138</v>
      </c>
      <c r="G546" s="10">
        <v>46118</v>
      </c>
      <c r="H546" s="10">
        <v>46174</v>
      </c>
      <c r="I546">
        <v>13.1</v>
      </c>
      <c r="J546">
        <v>18.8</v>
      </c>
      <c r="K546" s="9" t="s">
        <v>1321</v>
      </c>
    </row>
    <row r="547" spans="1:11" x14ac:dyDescent="0.35">
      <c r="A547" s="9" t="s">
        <v>2007</v>
      </c>
      <c r="B547" s="9" t="s">
        <v>605</v>
      </c>
      <c r="C547" s="9" t="s">
        <v>46</v>
      </c>
      <c r="D547" s="9" t="s">
        <v>69</v>
      </c>
      <c r="E547" s="9" t="s">
        <v>1155</v>
      </c>
      <c r="F547" s="9" t="s">
        <v>1156</v>
      </c>
      <c r="G547" s="10">
        <v>45677</v>
      </c>
      <c r="H547" s="10">
        <v>45683</v>
      </c>
      <c r="I547">
        <v>11.5</v>
      </c>
      <c r="J547">
        <v>9.1</v>
      </c>
      <c r="K547" s="9" t="s">
        <v>1321</v>
      </c>
    </row>
    <row r="548" spans="1:11" x14ac:dyDescent="0.35">
      <c r="A548" s="9" t="s">
        <v>2008</v>
      </c>
      <c r="B548" s="9" t="s">
        <v>607</v>
      </c>
      <c r="C548" s="9" t="s">
        <v>55</v>
      </c>
      <c r="D548" s="9" t="s">
        <v>112</v>
      </c>
      <c r="E548" s="9" t="s">
        <v>1171</v>
      </c>
      <c r="F548" s="9" t="s">
        <v>1172</v>
      </c>
      <c r="G548" s="10">
        <v>45953</v>
      </c>
      <c r="H548" s="10">
        <v>45963</v>
      </c>
      <c r="I548">
        <v>18.3</v>
      </c>
      <c r="J548">
        <v>15.4</v>
      </c>
      <c r="K548" s="9" t="s">
        <v>1321</v>
      </c>
    </row>
    <row r="549" spans="1:11" x14ac:dyDescent="0.35">
      <c r="A549" s="9" t="s">
        <v>2009</v>
      </c>
      <c r="B549" s="9" t="s">
        <v>607</v>
      </c>
      <c r="C549" s="9" t="s">
        <v>55</v>
      </c>
      <c r="D549" s="9" t="s">
        <v>112</v>
      </c>
      <c r="E549" s="9" t="s">
        <v>1167</v>
      </c>
      <c r="F549" s="9" t="s">
        <v>1168</v>
      </c>
      <c r="G549" s="10">
        <v>45804</v>
      </c>
      <c r="H549" s="10">
        <v>45848</v>
      </c>
      <c r="I549">
        <v>35.700000000000003</v>
      </c>
      <c r="J549">
        <v>45.6</v>
      </c>
      <c r="K549" s="9" t="s">
        <v>1321</v>
      </c>
    </row>
    <row r="550" spans="1:11" x14ac:dyDescent="0.35">
      <c r="A550" s="9" t="s">
        <v>2010</v>
      </c>
      <c r="B550" s="9" t="s">
        <v>607</v>
      </c>
      <c r="C550" s="9" t="s">
        <v>55</v>
      </c>
      <c r="D550" s="9" t="s">
        <v>112</v>
      </c>
      <c r="E550" s="9" t="s">
        <v>1183</v>
      </c>
      <c r="F550" s="9" t="s">
        <v>1184</v>
      </c>
      <c r="G550" s="10">
        <v>46197</v>
      </c>
      <c r="H550" s="10">
        <v>46214</v>
      </c>
      <c r="I550">
        <v>31.2</v>
      </c>
      <c r="J550">
        <v>29.4</v>
      </c>
      <c r="K550" s="9" t="s">
        <v>1321</v>
      </c>
    </row>
    <row r="551" spans="1:11" x14ac:dyDescent="0.35">
      <c r="A551" s="9" t="s">
        <v>2011</v>
      </c>
      <c r="B551" s="9" t="s">
        <v>609</v>
      </c>
      <c r="C551" s="9" t="s">
        <v>62</v>
      </c>
      <c r="D551" s="9" t="s">
        <v>80</v>
      </c>
      <c r="E551" s="9" t="s">
        <v>1158</v>
      </c>
      <c r="F551" s="9" t="s">
        <v>1159</v>
      </c>
      <c r="G551" s="10">
        <v>45933</v>
      </c>
      <c r="H551" s="10">
        <v>45957</v>
      </c>
      <c r="I551">
        <v>19</v>
      </c>
      <c r="J551">
        <v>19.600000000000001</v>
      </c>
      <c r="K551" s="9" t="s">
        <v>1321</v>
      </c>
    </row>
    <row r="552" spans="1:11" x14ac:dyDescent="0.35">
      <c r="A552" s="9" t="s">
        <v>2012</v>
      </c>
      <c r="B552" s="9" t="s">
        <v>609</v>
      </c>
      <c r="C552" s="9" t="s">
        <v>62</v>
      </c>
      <c r="D552" s="9" t="s">
        <v>80</v>
      </c>
      <c r="E552" s="9" t="s">
        <v>1190</v>
      </c>
      <c r="F552" s="9" t="s">
        <v>1191</v>
      </c>
      <c r="G552" s="10">
        <v>45995</v>
      </c>
      <c r="H552" s="10"/>
      <c r="I552">
        <v>13.3</v>
      </c>
      <c r="K552" s="9" t="s">
        <v>1325</v>
      </c>
    </row>
    <row r="553" spans="1:11" x14ac:dyDescent="0.35">
      <c r="A553" s="9" t="s">
        <v>2013</v>
      </c>
      <c r="B553" s="9" t="s">
        <v>611</v>
      </c>
      <c r="C553" s="9" t="s">
        <v>46</v>
      </c>
      <c r="D553" s="9" t="s">
        <v>112</v>
      </c>
      <c r="E553" s="9" t="s">
        <v>1143</v>
      </c>
      <c r="F553" s="9" t="s">
        <v>1144</v>
      </c>
      <c r="G553" s="10">
        <v>45998</v>
      </c>
      <c r="H553" s="10">
        <v>46035</v>
      </c>
      <c r="I553">
        <v>16.899999999999999</v>
      </c>
      <c r="J553">
        <v>20.100000000000001</v>
      </c>
      <c r="K553" s="9" t="s">
        <v>1321</v>
      </c>
    </row>
    <row r="554" spans="1:11" x14ac:dyDescent="0.35">
      <c r="A554" s="9" t="s">
        <v>2014</v>
      </c>
      <c r="B554" s="9" t="s">
        <v>611</v>
      </c>
      <c r="C554" s="9" t="s">
        <v>46</v>
      </c>
      <c r="D554" s="9" t="s">
        <v>112</v>
      </c>
      <c r="E554" s="9" t="s">
        <v>1183</v>
      </c>
      <c r="F554" s="9" t="s">
        <v>1184</v>
      </c>
      <c r="G554" s="10">
        <v>45760</v>
      </c>
      <c r="H554" s="10">
        <v>45754</v>
      </c>
      <c r="I554">
        <v>27.3</v>
      </c>
      <c r="J554">
        <v>31.9</v>
      </c>
      <c r="K554" s="9" t="s">
        <v>1321</v>
      </c>
    </row>
    <row r="555" spans="1:11" x14ac:dyDescent="0.35">
      <c r="A555" s="9" t="s">
        <v>2015</v>
      </c>
      <c r="B555" s="9" t="s">
        <v>613</v>
      </c>
      <c r="C555" s="9" t="s">
        <v>62</v>
      </c>
      <c r="D555" s="9" t="s">
        <v>63</v>
      </c>
      <c r="E555" s="9" t="s">
        <v>1196</v>
      </c>
      <c r="F555" s="9" t="s">
        <v>1197</v>
      </c>
      <c r="G555" s="10">
        <v>45803</v>
      </c>
      <c r="H555" s="10">
        <v>45811</v>
      </c>
      <c r="I555">
        <v>22.1</v>
      </c>
      <c r="J555">
        <v>18.100000000000001</v>
      </c>
      <c r="K555" s="9" t="s">
        <v>1321</v>
      </c>
    </row>
    <row r="556" spans="1:11" x14ac:dyDescent="0.35">
      <c r="A556" s="9" t="s">
        <v>2016</v>
      </c>
      <c r="B556" s="9" t="s">
        <v>613</v>
      </c>
      <c r="C556" s="9" t="s">
        <v>62</v>
      </c>
      <c r="D556" s="9" t="s">
        <v>63</v>
      </c>
      <c r="E556" s="9" t="s">
        <v>1176</v>
      </c>
      <c r="F556" s="9" t="s">
        <v>1177</v>
      </c>
      <c r="G556" s="10">
        <v>46150</v>
      </c>
      <c r="H556" s="10">
        <v>46198</v>
      </c>
      <c r="I556">
        <v>10.1</v>
      </c>
      <c r="J556">
        <v>13.4</v>
      </c>
      <c r="K556" s="9" t="s">
        <v>1321</v>
      </c>
    </row>
    <row r="557" spans="1:11" x14ac:dyDescent="0.35">
      <c r="A557" s="9" t="s">
        <v>2017</v>
      </c>
      <c r="B557" s="9" t="s">
        <v>613</v>
      </c>
      <c r="C557" s="9" t="s">
        <v>62</v>
      </c>
      <c r="D557" s="9" t="s">
        <v>63</v>
      </c>
      <c r="E557" s="9" t="s">
        <v>1190</v>
      </c>
      <c r="F557" s="9" t="s">
        <v>1191</v>
      </c>
      <c r="G557" s="10">
        <v>46193</v>
      </c>
      <c r="H557" s="10">
        <v>46225</v>
      </c>
      <c r="I557">
        <v>8.9</v>
      </c>
      <c r="J557">
        <v>10</v>
      </c>
      <c r="K557" s="9" t="s">
        <v>1321</v>
      </c>
    </row>
    <row r="558" spans="1:11" x14ac:dyDescent="0.35">
      <c r="A558" s="9" t="s">
        <v>2018</v>
      </c>
      <c r="B558" s="9" t="s">
        <v>615</v>
      </c>
      <c r="C558" s="9" t="s">
        <v>46</v>
      </c>
      <c r="D558" s="9" t="s">
        <v>80</v>
      </c>
      <c r="E558" s="9" t="s">
        <v>1162</v>
      </c>
      <c r="F558" s="9" t="s">
        <v>1163</v>
      </c>
      <c r="G558" s="10">
        <v>45846</v>
      </c>
      <c r="H558" s="10">
        <v>45897</v>
      </c>
      <c r="I558">
        <v>30.1</v>
      </c>
      <c r="J558">
        <v>41.3</v>
      </c>
      <c r="K558" s="9" t="s">
        <v>1321</v>
      </c>
    </row>
    <row r="559" spans="1:11" x14ac:dyDescent="0.35">
      <c r="A559" s="9" t="s">
        <v>2019</v>
      </c>
      <c r="B559" s="9" t="s">
        <v>615</v>
      </c>
      <c r="C559" s="9" t="s">
        <v>46</v>
      </c>
      <c r="D559" s="9" t="s">
        <v>80</v>
      </c>
      <c r="E559" s="9" t="s">
        <v>1171</v>
      </c>
      <c r="F559" s="9" t="s">
        <v>1172</v>
      </c>
      <c r="G559" s="10">
        <v>45931</v>
      </c>
      <c r="H559" s="10">
        <v>45953</v>
      </c>
      <c r="I559">
        <v>29.9</v>
      </c>
      <c r="J559">
        <v>29.8</v>
      </c>
      <c r="K559" s="9" t="s">
        <v>1321</v>
      </c>
    </row>
    <row r="560" spans="1:11" x14ac:dyDescent="0.35">
      <c r="A560" s="9" t="s">
        <v>2020</v>
      </c>
      <c r="B560" s="9" t="s">
        <v>615</v>
      </c>
      <c r="C560" s="9" t="s">
        <v>46</v>
      </c>
      <c r="D560" s="9" t="s">
        <v>80</v>
      </c>
      <c r="E560" s="9" t="s">
        <v>1180</v>
      </c>
      <c r="F560" s="9" t="s">
        <v>1181</v>
      </c>
      <c r="G560" s="10">
        <v>45701</v>
      </c>
      <c r="H560" s="10">
        <v>45747</v>
      </c>
      <c r="I560">
        <v>22.3</v>
      </c>
      <c r="J560">
        <v>29.2</v>
      </c>
      <c r="K560" s="9" t="s">
        <v>1321</v>
      </c>
    </row>
    <row r="561" spans="1:11" x14ac:dyDescent="0.35">
      <c r="A561" s="9" t="s">
        <v>2021</v>
      </c>
      <c r="B561" s="9" t="s">
        <v>617</v>
      </c>
      <c r="C561" s="9" t="s">
        <v>46</v>
      </c>
      <c r="D561" s="9" t="s">
        <v>56</v>
      </c>
      <c r="E561" s="9" t="s">
        <v>1190</v>
      </c>
      <c r="F561" s="9" t="s">
        <v>1191</v>
      </c>
      <c r="G561" s="10">
        <v>46020</v>
      </c>
      <c r="H561" s="10">
        <v>46044</v>
      </c>
      <c r="I561">
        <v>21.3</v>
      </c>
      <c r="J561">
        <v>21.7</v>
      </c>
      <c r="K561" s="9" t="s">
        <v>1321</v>
      </c>
    </row>
    <row r="562" spans="1:11" x14ac:dyDescent="0.35">
      <c r="A562" s="9" t="s">
        <v>2022</v>
      </c>
      <c r="B562" s="9" t="s">
        <v>617</v>
      </c>
      <c r="C562" s="9" t="s">
        <v>46</v>
      </c>
      <c r="D562" s="9" t="s">
        <v>56</v>
      </c>
      <c r="E562" s="9" t="s">
        <v>1176</v>
      </c>
      <c r="F562" s="9" t="s">
        <v>1177</v>
      </c>
      <c r="G562" s="10">
        <v>45754</v>
      </c>
      <c r="H562" s="10">
        <v>45764</v>
      </c>
      <c r="I562">
        <v>8.9</v>
      </c>
      <c r="J562">
        <v>7.6</v>
      </c>
      <c r="K562" s="9" t="s">
        <v>1321</v>
      </c>
    </row>
    <row r="563" spans="1:11" x14ac:dyDescent="0.35">
      <c r="A563" s="9" t="s">
        <v>2023</v>
      </c>
      <c r="B563" s="9" t="s">
        <v>617</v>
      </c>
      <c r="C563" s="9" t="s">
        <v>46</v>
      </c>
      <c r="D563" s="9" t="s">
        <v>56</v>
      </c>
      <c r="E563" s="9" t="s">
        <v>1143</v>
      </c>
      <c r="F563" s="9" t="s">
        <v>1144</v>
      </c>
      <c r="G563" s="10">
        <v>45802</v>
      </c>
      <c r="H563" s="10">
        <v>45829</v>
      </c>
      <c r="I563">
        <v>10.3</v>
      </c>
      <c r="J563">
        <v>11</v>
      </c>
      <c r="K563" s="9" t="s">
        <v>1321</v>
      </c>
    </row>
    <row r="564" spans="1:11" x14ac:dyDescent="0.35">
      <c r="A564" s="9" t="s">
        <v>2024</v>
      </c>
      <c r="B564" s="9" t="s">
        <v>619</v>
      </c>
      <c r="C564" s="9" t="s">
        <v>62</v>
      </c>
      <c r="D564" s="9" t="s">
        <v>56</v>
      </c>
      <c r="E564" s="9" t="s">
        <v>1196</v>
      </c>
      <c r="F564" s="9" t="s">
        <v>1197</v>
      </c>
      <c r="G564" s="10">
        <v>46013</v>
      </c>
      <c r="H564" s="10">
        <v>46020</v>
      </c>
      <c r="I564">
        <v>26.9</v>
      </c>
      <c r="J564">
        <v>21.8</v>
      </c>
      <c r="K564" s="9" t="s">
        <v>1321</v>
      </c>
    </row>
    <row r="565" spans="1:11" x14ac:dyDescent="0.35">
      <c r="A565" s="9" t="s">
        <v>2025</v>
      </c>
      <c r="B565" s="9" t="s">
        <v>619</v>
      </c>
      <c r="C565" s="9" t="s">
        <v>62</v>
      </c>
      <c r="D565" s="9" t="s">
        <v>56</v>
      </c>
      <c r="E565" s="9" t="s">
        <v>1183</v>
      </c>
      <c r="F565" s="9" t="s">
        <v>1184</v>
      </c>
      <c r="G565" s="10">
        <v>46165</v>
      </c>
      <c r="H565" s="10">
        <v>46175</v>
      </c>
      <c r="I565">
        <v>8.6</v>
      </c>
      <c r="J565">
        <v>7.2</v>
      </c>
      <c r="K565" s="9" t="s">
        <v>1321</v>
      </c>
    </row>
    <row r="566" spans="1:11" x14ac:dyDescent="0.35">
      <c r="A566" s="9" t="s">
        <v>2026</v>
      </c>
      <c r="B566" s="9" t="s">
        <v>619</v>
      </c>
      <c r="C566" s="9" t="s">
        <v>62</v>
      </c>
      <c r="D566" s="9" t="s">
        <v>56</v>
      </c>
      <c r="E566" s="9" t="s">
        <v>1180</v>
      </c>
      <c r="F566" s="9" t="s">
        <v>1181</v>
      </c>
      <c r="G566" s="10">
        <v>45799</v>
      </c>
      <c r="H566" s="10">
        <v>45826</v>
      </c>
      <c r="I566">
        <v>29.4</v>
      </c>
      <c r="J566">
        <v>31</v>
      </c>
      <c r="K566" s="9" t="s">
        <v>1321</v>
      </c>
    </row>
    <row r="567" spans="1:11" x14ac:dyDescent="0.35">
      <c r="A567" s="9" t="s">
        <v>2027</v>
      </c>
      <c r="B567" s="9" t="s">
        <v>619</v>
      </c>
      <c r="C567" s="9" t="s">
        <v>62</v>
      </c>
      <c r="D567" s="9" t="s">
        <v>56</v>
      </c>
      <c r="E567" s="9" t="s">
        <v>1139</v>
      </c>
      <c r="F567" s="9" t="s">
        <v>1140</v>
      </c>
      <c r="G567" s="10">
        <v>45924</v>
      </c>
      <c r="H567" s="10">
        <v>45931</v>
      </c>
      <c r="I567">
        <v>27.6</v>
      </c>
      <c r="J567">
        <v>22.2</v>
      </c>
      <c r="K567" s="9" t="s">
        <v>1321</v>
      </c>
    </row>
    <row r="568" spans="1:11" x14ac:dyDescent="0.35">
      <c r="A568" s="9" t="s">
        <v>2028</v>
      </c>
      <c r="B568" s="9" t="s">
        <v>621</v>
      </c>
      <c r="C568" s="9" t="s">
        <v>55</v>
      </c>
      <c r="D568" s="9" t="s">
        <v>69</v>
      </c>
      <c r="E568" s="9" t="s">
        <v>1143</v>
      </c>
      <c r="F568" s="9" t="s">
        <v>1144</v>
      </c>
      <c r="G568" s="10">
        <v>45688</v>
      </c>
      <c r="H568" s="10">
        <v>45693</v>
      </c>
      <c r="I568">
        <v>20</v>
      </c>
      <c r="J568">
        <v>15.7</v>
      </c>
      <c r="K568" s="9" t="s">
        <v>1321</v>
      </c>
    </row>
    <row r="569" spans="1:11" x14ac:dyDescent="0.35">
      <c r="A569" s="9" t="s">
        <v>2029</v>
      </c>
      <c r="B569" s="9" t="s">
        <v>621</v>
      </c>
      <c r="C569" s="9" t="s">
        <v>55</v>
      </c>
      <c r="D569" s="9" t="s">
        <v>69</v>
      </c>
      <c r="E569" s="9" t="s">
        <v>1145</v>
      </c>
      <c r="F569" s="9" t="s">
        <v>1146</v>
      </c>
      <c r="G569" s="10">
        <v>45927</v>
      </c>
      <c r="H569" s="10">
        <v>45953</v>
      </c>
      <c r="I569">
        <v>13.5</v>
      </c>
      <c r="J569">
        <v>14.1</v>
      </c>
      <c r="K569" s="9" t="s">
        <v>1321</v>
      </c>
    </row>
    <row r="570" spans="1:11" x14ac:dyDescent="0.35">
      <c r="A570" s="9" t="s">
        <v>2030</v>
      </c>
      <c r="B570" s="9" t="s">
        <v>621</v>
      </c>
      <c r="C570" s="9" t="s">
        <v>55</v>
      </c>
      <c r="D570" s="9" t="s">
        <v>69</v>
      </c>
      <c r="E570" s="9" t="s">
        <v>1190</v>
      </c>
      <c r="F570" s="9" t="s">
        <v>1191</v>
      </c>
      <c r="G570" s="10">
        <v>46066</v>
      </c>
      <c r="H570" s="10">
        <v>46117</v>
      </c>
      <c r="I570">
        <v>24.3</v>
      </c>
      <c r="J570">
        <v>33.299999999999997</v>
      </c>
      <c r="K570" s="9" t="s">
        <v>1321</v>
      </c>
    </row>
    <row r="571" spans="1:11" x14ac:dyDescent="0.35">
      <c r="A571" s="9" t="s">
        <v>2031</v>
      </c>
      <c r="B571" s="9" t="s">
        <v>623</v>
      </c>
      <c r="C571" s="9" t="s">
        <v>46</v>
      </c>
      <c r="D571" s="9" t="s">
        <v>63</v>
      </c>
      <c r="E571" s="9" t="s">
        <v>1211</v>
      </c>
      <c r="F571" s="9" t="s">
        <v>1212</v>
      </c>
      <c r="G571" s="10">
        <v>45770</v>
      </c>
      <c r="H571" s="10">
        <v>45796</v>
      </c>
      <c r="I571">
        <v>4.2</v>
      </c>
      <c r="J571">
        <v>4.4000000000000004</v>
      </c>
      <c r="K571" s="9" t="s">
        <v>1321</v>
      </c>
    </row>
    <row r="572" spans="1:11" x14ac:dyDescent="0.35">
      <c r="A572" s="9" t="s">
        <v>2032</v>
      </c>
      <c r="B572" s="9" t="s">
        <v>623</v>
      </c>
      <c r="C572" s="9" t="s">
        <v>46</v>
      </c>
      <c r="D572" s="9" t="s">
        <v>63</v>
      </c>
      <c r="E572" s="9" t="s">
        <v>1171</v>
      </c>
      <c r="F572" s="9" t="s">
        <v>1172</v>
      </c>
      <c r="G572" s="10">
        <v>45863</v>
      </c>
      <c r="H572" s="10">
        <v>45889</v>
      </c>
      <c r="I572">
        <v>6</v>
      </c>
      <c r="J572">
        <v>6.3</v>
      </c>
      <c r="K572" s="9" t="s">
        <v>1321</v>
      </c>
    </row>
    <row r="573" spans="1:11" x14ac:dyDescent="0.35">
      <c r="A573" s="9" t="s">
        <v>2033</v>
      </c>
      <c r="B573" s="9" t="s">
        <v>623</v>
      </c>
      <c r="C573" s="9" t="s">
        <v>46</v>
      </c>
      <c r="D573" s="9" t="s">
        <v>63</v>
      </c>
      <c r="E573" s="9" t="s">
        <v>1193</v>
      </c>
      <c r="F573" s="9" t="s">
        <v>1194</v>
      </c>
      <c r="G573" s="10">
        <v>45717</v>
      </c>
      <c r="H573" s="10">
        <v>45738</v>
      </c>
      <c r="I573">
        <v>27.8</v>
      </c>
      <c r="J573">
        <v>27.5</v>
      </c>
      <c r="K573" s="9" t="s">
        <v>1321</v>
      </c>
    </row>
    <row r="574" spans="1:11" x14ac:dyDescent="0.35">
      <c r="A574" s="9" t="s">
        <v>2034</v>
      </c>
      <c r="B574" s="9" t="s">
        <v>625</v>
      </c>
      <c r="C574" s="9" t="s">
        <v>46</v>
      </c>
      <c r="D574" s="9" t="s">
        <v>56</v>
      </c>
      <c r="E574" s="9" t="s">
        <v>1129</v>
      </c>
      <c r="F574" s="9" t="s">
        <v>1130</v>
      </c>
      <c r="G574" s="10">
        <v>45853</v>
      </c>
      <c r="H574" s="10">
        <v>45898</v>
      </c>
      <c r="I574">
        <v>21.6</v>
      </c>
      <c r="J574">
        <v>27.9</v>
      </c>
      <c r="K574" s="9" t="s">
        <v>1321</v>
      </c>
    </row>
    <row r="575" spans="1:11" x14ac:dyDescent="0.35">
      <c r="A575" s="9" t="s">
        <v>2035</v>
      </c>
      <c r="B575" s="9" t="s">
        <v>627</v>
      </c>
      <c r="C575" s="9" t="s">
        <v>46</v>
      </c>
      <c r="D575" s="9" t="s">
        <v>56</v>
      </c>
      <c r="E575" s="9" t="s">
        <v>1190</v>
      </c>
      <c r="F575" s="9" t="s">
        <v>1191</v>
      </c>
      <c r="G575" s="10">
        <v>45781</v>
      </c>
      <c r="H575" s="10">
        <v>45786</v>
      </c>
      <c r="I575">
        <v>20.9</v>
      </c>
      <c r="J575">
        <v>16.399999999999999</v>
      </c>
      <c r="K575" s="9" t="s">
        <v>1321</v>
      </c>
    </row>
    <row r="576" spans="1:11" x14ac:dyDescent="0.35">
      <c r="A576" s="9" t="s">
        <v>2036</v>
      </c>
      <c r="B576" s="9" t="s">
        <v>627</v>
      </c>
      <c r="C576" s="9" t="s">
        <v>46</v>
      </c>
      <c r="D576" s="9" t="s">
        <v>56</v>
      </c>
      <c r="E576" s="9" t="s">
        <v>1193</v>
      </c>
      <c r="F576" s="9" t="s">
        <v>1194</v>
      </c>
      <c r="G576" s="10">
        <v>45875</v>
      </c>
      <c r="H576" s="10">
        <v>45914</v>
      </c>
      <c r="I576">
        <v>21.9</v>
      </c>
      <c r="J576">
        <v>26.5</v>
      </c>
      <c r="K576" s="9" t="s">
        <v>1321</v>
      </c>
    </row>
    <row r="577" spans="1:11" x14ac:dyDescent="0.35">
      <c r="A577" s="9" t="s">
        <v>2037</v>
      </c>
      <c r="B577" s="9" t="s">
        <v>629</v>
      </c>
      <c r="C577" s="9" t="s">
        <v>46</v>
      </c>
      <c r="D577" s="9" t="s">
        <v>112</v>
      </c>
      <c r="E577" s="9" t="s">
        <v>1145</v>
      </c>
      <c r="F577" s="9" t="s">
        <v>1146</v>
      </c>
      <c r="G577" s="10">
        <v>45871</v>
      </c>
      <c r="H577" s="10">
        <v>45912</v>
      </c>
      <c r="I577">
        <v>28.5</v>
      </c>
      <c r="J577">
        <v>35.4</v>
      </c>
      <c r="K577" s="9" t="s">
        <v>1321</v>
      </c>
    </row>
    <row r="578" spans="1:11" x14ac:dyDescent="0.35">
      <c r="A578" s="9" t="s">
        <v>2038</v>
      </c>
      <c r="B578" s="9" t="s">
        <v>631</v>
      </c>
      <c r="C578" s="9" t="s">
        <v>55</v>
      </c>
      <c r="D578" s="9" t="s">
        <v>76</v>
      </c>
      <c r="E578" s="9" t="s">
        <v>1137</v>
      </c>
      <c r="F578" s="9" t="s">
        <v>1138</v>
      </c>
      <c r="G578" s="10">
        <v>46095</v>
      </c>
      <c r="H578" s="10">
        <v>46140</v>
      </c>
      <c r="I578">
        <v>16.5</v>
      </c>
      <c r="J578">
        <v>21.4</v>
      </c>
      <c r="K578" s="9" t="s">
        <v>1321</v>
      </c>
    </row>
    <row r="579" spans="1:11" x14ac:dyDescent="0.35">
      <c r="A579" s="9" t="s">
        <v>2039</v>
      </c>
      <c r="B579" s="9" t="s">
        <v>633</v>
      </c>
      <c r="C579" s="9" t="s">
        <v>46</v>
      </c>
      <c r="D579" s="9" t="s">
        <v>76</v>
      </c>
      <c r="E579" s="9" t="s">
        <v>1155</v>
      </c>
      <c r="F579" s="9" t="s">
        <v>1156</v>
      </c>
      <c r="G579" s="10">
        <v>46174</v>
      </c>
      <c r="H579" s="10">
        <v>46185</v>
      </c>
      <c r="I579">
        <v>26.2</v>
      </c>
      <c r="J579">
        <v>22.6</v>
      </c>
      <c r="K579" s="9" t="s">
        <v>1321</v>
      </c>
    </row>
    <row r="580" spans="1:11" x14ac:dyDescent="0.35">
      <c r="A580" s="9" t="s">
        <v>2040</v>
      </c>
      <c r="B580" s="9" t="s">
        <v>633</v>
      </c>
      <c r="C580" s="9" t="s">
        <v>46</v>
      </c>
      <c r="D580" s="9" t="s">
        <v>76</v>
      </c>
      <c r="E580" s="9" t="s">
        <v>1152</v>
      </c>
      <c r="F580" s="9" t="s">
        <v>1153</v>
      </c>
      <c r="G580" s="10">
        <v>45712</v>
      </c>
      <c r="H580" s="10">
        <v>45740</v>
      </c>
      <c r="I580">
        <v>10.5</v>
      </c>
      <c r="J580">
        <v>11.3</v>
      </c>
      <c r="K580" s="9" t="s">
        <v>1321</v>
      </c>
    </row>
    <row r="581" spans="1:11" x14ac:dyDescent="0.35">
      <c r="A581" s="9" t="s">
        <v>2041</v>
      </c>
      <c r="B581" s="9" t="s">
        <v>633</v>
      </c>
      <c r="C581" s="9" t="s">
        <v>46</v>
      </c>
      <c r="D581" s="9" t="s">
        <v>76</v>
      </c>
      <c r="E581" s="9" t="s">
        <v>1139</v>
      </c>
      <c r="F581" s="9" t="s">
        <v>1140</v>
      </c>
      <c r="G581" s="10">
        <v>45985</v>
      </c>
      <c r="H581" s="10">
        <v>46032</v>
      </c>
      <c r="I581">
        <v>33.6</v>
      </c>
      <c r="J581">
        <v>44.1</v>
      </c>
      <c r="K581" s="9" t="s">
        <v>1321</v>
      </c>
    </row>
    <row r="582" spans="1:11" x14ac:dyDescent="0.35">
      <c r="A582" s="9" t="s">
        <v>2042</v>
      </c>
      <c r="B582" s="9" t="s">
        <v>635</v>
      </c>
      <c r="C582" s="9" t="s">
        <v>46</v>
      </c>
      <c r="D582" s="9" t="s">
        <v>63</v>
      </c>
      <c r="E582" s="9" t="s">
        <v>1211</v>
      </c>
      <c r="F582" s="9" t="s">
        <v>1212</v>
      </c>
      <c r="G582" s="10">
        <v>46134</v>
      </c>
      <c r="H582" s="10">
        <v>46159</v>
      </c>
      <c r="I582">
        <v>26.1</v>
      </c>
      <c r="J582">
        <v>26.9</v>
      </c>
      <c r="K582" s="9" t="s">
        <v>1321</v>
      </c>
    </row>
    <row r="583" spans="1:11" x14ac:dyDescent="0.35">
      <c r="A583" s="9" t="s">
        <v>2043</v>
      </c>
      <c r="B583" s="9" t="s">
        <v>637</v>
      </c>
      <c r="C583" s="9" t="s">
        <v>46</v>
      </c>
      <c r="D583" s="9" t="s">
        <v>80</v>
      </c>
      <c r="E583" s="9" t="s">
        <v>1176</v>
      </c>
      <c r="F583" s="9" t="s">
        <v>1177</v>
      </c>
      <c r="G583" s="10">
        <v>46071</v>
      </c>
      <c r="H583" s="10"/>
      <c r="I583">
        <v>5.3</v>
      </c>
      <c r="K583" s="9" t="s">
        <v>1473</v>
      </c>
    </row>
    <row r="584" spans="1:11" x14ac:dyDescent="0.35">
      <c r="A584" s="9" t="s">
        <v>2044</v>
      </c>
      <c r="B584" s="9" t="s">
        <v>637</v>
      </c>
      <c r="C584" s="9" t="s">
        <v>46</v>
      </c>
      <c r="D584" s="9" t="s">
        <v>80</v>
      </c>
      <c r="E584" s="9" t="s">
        <v>1188</v>
      </c>
      <c r="F584" s="9" t="s">
        <v>1189</v>
      </c>
      <c r="G584" s="10">
        <v>45944</v>
      </c>
      <c r="H584" s="10">
        <v>45958</v>
      </c>
      <c r="I584">
        <v>34.6</v>
      </c>
      <c r="J584">
        <v>31</v>
      </c>
      <c r="K584" s="9" t="s">
        <v>1321</v>
      </c>
    </row>
    <row r="585" spans="1:11" x14ac:dyDescent="0.35">
      <c r="A585" s="9" t="s">
        <v>2045</v>
      </c>
      <c r="B585" s="9" t="s">
        <v>639</v>
      </c>
      <c r="C585" s="9" t="s">
        <v>46</v>
      </c>
      <c r="D585" s="9" t="s">
        <v>112</v>
      </c>
      <c r="E585" s="9" t="s">
        <v>1158</v>
      </c>
      <c r="F585" s="9" t="s">
        <v>1159</v>
      </c>
      <c r="G585" s="10">
        <v>46154</v>
      </c>
      <c r="H585" s="10">
        <v>46160</v>
      </c>
      <c r="I585">
        <v>16.2</v>
      </c>
      <c r="J585">
        <v>12.9</v>
      </c>
      <c r="K585" s="9" t="s">
        <v>1321</v>
      </c>
    </row>
    <row r="586" spans="1:11" x14ac:dyDescent="0.35">
      <c r="A586" s="9" t="s">
        <v>2046</v>
      </c>
      <c r="B586" s="9" t="s">
        <v>641</v>
      </c>
      <c r="C586" s="9" t="s">
        <v>46</v>
      </c>
      <c r="D586" s="9" t="s">
        <v>69</v>
      </c>
      <c r="E586" s="9" t="s">
        <v>1152</v>
      </c>
      <c r="F586" s="9" t="s">
        <v>1153</v>
      </c>
      <c r="G586" s="10">
        <v>46087</v>
      </c>
      <c r="H586" s="10">
        <v>46108</v>
      </c>
      <c r="I586">
        <v>13.9</v>
      </c>
      <c r="J586">
        <v>13.8</v>
      </c>
      <c r="K586" s="9" t="s">
        <v>1321</v>
      </c>
    </row>
    <row r="587" spans="1:11" x14ac:dyDescent="0.35">
      <c r="A587" s="9" t="s">
        <v>2047</v>
      </c>
      <c r="B587" s="9" t="s">
        <v>641</v>
      </c>
      <c r="C587" s="9" t="s">
        <v>46</v>
      </c>
      <c r="D587" s="9" t="s">
        <v>69</v>
      </c>
      <c r="E587" s="9" t="s">
        <v>1171</v>
      </c>
      <c r="F587" s="9" t="s">
        <v>1172</v>
      </c>
      <c r="G587" s="10">
        <v>45819</v>
      </c>
      <c r="H587" s="10">
        <v>45863</v>
      </c>
      <c r="I587">
        <v>22.5</v>
      </c>
      <c r="J587">
        <v>28.8</v>
      </c>
      <c r="K587" s="9" t="s">
        <v>1321</v>
      </c>
    </row>
    <row r="588" spans="1:11" x14ac:dyDescent="0.35">
      <c r="A588" s="9" t="s">
        <v>2048</v>
      </c>
      <c r="B588" s="9" t="s">
        <v>643</v>
      </c>
      <c r="C588" s="9" t="s">
        <v>46</v>
      </c>
      <c r="D588" s="9" t="s">
        <v>69</v>
      </c>
      <c r="E588" s="9" t="s">
        <v>1176</v>
      </c>
      <c r="F588" s="9" t="s">
        <v>1177</v>
      </c>
      <c r="G588" s="10">
        <v>46062</v>
      </c>
      <c r="H588" s="10">
        <v>46083</v>
      </c>
      <c r="I588">
        <v>2.8</v>
      </c>
      <c r="J588">
        <v>2.7</v>
      </c>
      <c r="K588" s="9" t="s">
        <v>1321</v>
      </c>
    </row>
    <row r="589" spans="1:11" x14ac:dyDescent="0.35">
      <c r="A589" s="9" t="s">
        <v>2049</v>
      </c>
      <c r="B589" s="9" t="s">
        <v>643</v>
      </c>
      <c r="C589" s="9" t="s">
        <v>46</v>
      </c>
      <c r="D589" s="9" t="s">
        <v>69</v>
      </c>
      <c r="E589" s="9" t="s">
        <v>1167</v>
      </c>
      <c r="F589" s="9" t="s">
        <v>1168</v>
      </c>
      <c r="G589" s="10">
        <v>46075</v>
      </c>
      <c r="H589" s="10">
        <v>46085</v>
      </c>
      <c r="I589">
        <v>15.2</v>
      </c>
      <c r="J589">
        <v>12.9</v>
      </c>
      <c r="K589" s="9" t="s">
        <v>1321</v>
      </c>
    </row>
    <row r="590" spans="1:11" x14ac:dyDescent="0.35">
      <c r="A590" s="9" t="s">
        <v>2050</v>
      </c>
      <c r="B590" s="9" t="s">
        <v>643</v>
      </c>
      <c r="C590" s="9" t="s">
        <v>46</v>
      </c>
      <c r="D590" s="9" t="s">
        <v>69</v>
      </c>
      <c r="E590" s="9" t="s">
        <v>1190</v>
      </c>
      <c r="F590" s="9" t="s">
        <v>1191</v>
      </c>
      <c r="G590" s="10">
        <v>45763</v>
      </c>
      <c r="H590" s="10">
        <v>45804</v>
      </c>
      <c r="I590">
        <v>20.7</v>
      </c>
      <c r="J590">
        <v>25.8</v>
      </c>
      <c r="K590" s="9" t="s">
        <v>1321</v>
      </c>
    </row>
    <row r="591" spans="1:11" x14ac:dyDescent="0.35">
      <c r="A591" s="9" t="s">
        <v>2051</v>
      </c>
      <c r="B591" s="9" t="s">
        <v>645</v>
      </c>
      <c r="C591" s="9" t="s">
        <v>55</v>
      </c>
      <c r="D591" s="9" t="s">
        <v>63</v>
      </c>
      <c r="E591" s="9" t="s">
        <v>1134</v>
      </c>
      <c r="F591" s="9" t="s">
        <v>1135</v>
      </c>
      <c r="G591" s="10">
        <v>45844</v>
      </c>
      <c r="H591" s="10">
        <v>45890</v>
      </c>
      <c r="I591">
        <v>31</v>
      </c>
      <c r="J591">
        <v>40.4</v>
      </c>
      <c r="K591" s="9" t="s">
        <v>1321</v>
      </c>
    </row>
    <row r="592" spans="1:11" x14ac:dyDescent="0.35">
      <c r="A592" s="9" t="s">
        <v>2052</v>
      </c>
      <c r="B592" s="9" t="s">
        <v>645</v>
      </c>
      <c r="C592" s="9" t="s">
        <v>55</v>
      </c>
      <c r="D592" s="9" t="s">
        <v>63</v>
      </c>
      <c r="E592" s="9" t="s">
        <v>1183</v>
      </c>
      <c r="F592" s="9" t="s">
        <v>1184</v>
      </c>
      <c r="G592" s="10">
        <v>45976</v>
      </c>
      <c r="H592" s="10">
        <v>45999</v>
      </c>
      <c r="I592">
        <v>30.7</v>
      </c>
      <c r="J592">
        <v>31.1</v>
      </c>
      <c r="K592" s="9" t="s">
        <v>1321</v>
      </c>
    </row>
    <row r="593" spans="1:11" x14ac:dyDescent="0.35">
      <c r="A593" s="9" t="s">
        <v>2053</v>
      </c>
      <c r="B593" s="9" t="s">
        <v>645</v>
      </c>
      <c r="C593" s="9" t="s">
        <v>55</v>
      </c>
      <c r="D593" s="9" t="s">
        <v>63</v>
      </c>
      <c r="E593" s="9" t="s">
        <v>1134</v>
      </c>
      <c r="F593" s="9" t="s">
        <v>1135</v>
      </c>
      <c r="G593" s="10">
        <v>45796</v>
      </c>
      <c r="H593" s="10">
        <v>45818</v>
      </c>
      <c r="I593">
        <v>17.3</v>
      </c>
      <c r="J593">
        <v>17.3</v>
      </c>
      <c r="K593" s="9" t="s">
        <v>1321</v>
      </c>
    </row>
    <row r="594" spans="1:11" x14ac:dyDescent="0.35">
      <c r="A594" s="9" t="s">
        <v>2054</v>
      </c>
      <c r="B594" s="9" t="s">
        <v>647</v>
      </c>
      <c r="C594" s="9" t="s">
        <v>46</v>
      </c>
      <c r="D594" s="9" t="s">
        <v>56</v>
      </c>
      <c r="E594" s="9" t="s">
        <v>1190</v>
      </c>
      <c r="F594" s="9" t="s">
        <v>1191</v>
      </c>
      <c r="G594" s="10">
        <v>45777</v>
      </c>
      <c r="H594" s="10">
        <v>45807</v>
      </c>
      <c r="I594">
        <v>29.3</v>
      </c>
      <c r="J594">
        <v>32.299999999999997</v>
      </c>
      <c r="K594" s="9" t="s">
        <v>1321</v>
      </c>
    </row>
    <row r="595" spans="1:11" x14ac:dyDescent="0.35">
      <c r="A595" s="9" t="s">
        <v>2055</v>
      </c>
      <c r="B595" s="9" t="s">
        <v>649</v>
      </c>
      <c r="C595" s="9" t="s">
        <v>55</v>
      </c>
      <c r="D595" s="9" t="s">
        <v>80</v>
      </c>
      <c r="E595" s="9" t="s">
        <v>1176</v>
      </c>
      <c r="F595" s="9" t="s">
        <v>1177</v>
      </c>
      <c r="G595" s="10">
        <v>46153</v>
      </c>
      <c r="H595" s="10">
        <v>46181</v>
      </c>
      <c r="I595">
        <v>16.7</v>
      </c>
      <c r="J595">
        <v>18.100000000000001</v>
      </c>
      <c r="K595" s="9" t="s">
        <v>1321</v>
      </c>
    </row>
    <row r="596" spans="1:11" x14ac:dyDescent="0.35">
      <c r="A596" s="9" t="s">
        <v>2056</v>
      </c>
      <c r="B596" s="9" t="s">
        <v>649</v>
      </c>
      <c r="C596" s="9" t="s">
        <v>55</v>
      </c>
      <c r="D596" s="9" t="s">
        <v>80</v>
      </c>
      <c r="E596" s="9" t="s">
        <v>1137</v>
      </c>
      <c r="F596" s="9" t="s">
        <v>1138</v>
      </c>
      <c r="G596" s="10">
        <v>45790</v>
      </c>
      <c r="H596" s="10">
        <v>45820</v>
      </c>
      <c r="I596">
        <v>29</v>
      </c>
      <c r="J596">
        <v>32.1</v>
      </c>
      <c r="K596" s="9" t="s">
        <v>1321</v>
      </c>
    </row>
    <row r="597" spans="1:11" x14ac:dyDescent="0.35">
      <c r="A597" s="9" t="s">
        <v>2057</v>
      </c>
      <c r="B597" s="9" t="s">
        <v>649</v>
      </c>
      <c r="C597" s="9" t="s">
        <v>55</v>
      </c>
      <c r="D597" s="9" t="s">
        <v>80</v>
      </c>
      <c r="E597" s="9" t="s">
        <v>1188</v>
      </c>
      <c r="F597" s="9" t="s">
        <v>1189</v>
      </c>
      <c r="G597" s="10">
        <v>45713</v>
      </c>
      <c r="H597" s="10">
        <v>45770</v>
      </c>
      <c r="I597">
        <v>5</v>
      </c>
      <c r="J597">
        <v>7.2</v>
      </c>
      <c r="K597" s="9" t="s">
        <v>1321</v>
      </c>
    </row>
    <row r="598" spans="1:11" x14ac:dyDescent="0.35">
      <c r="A598" s="9" t="s">
        <v>2058</v>
      </c>
      <c r="B598" s="9" t="s">
        <v>651</v>
      </c>
      <c r="C598" s="9" t="s">
        <v>46</v>
      </c>
      <c r="D598" s="9" t="s">
        <v>112</v>
      </c>
      <c r="E598" s="9" t="s">
        <v>1162</v>
      </c>
      <c r="F598" s="9" t="s">
        <v>1163</v>
      </c>
      <c r="G598" s="10">
        <v>45769</v>
      </c>
      <c r="H598" s="10">
        <v>45822</v>
      </c>
      <c r="I598">
        <v>28.9</v>
      </c>
      <c r="J598">
        <v>40.200000000000003</v>
      </c>
      <c r="K598" s="9" t="s">
        <v>1321</v>
      </c>
    </row>
    <row r="599" spans="1:11" x14ac:dyDescent="0.35">
      <c r="A599" s="9" t="s">
        <v>2059</v>
      </c>
      <c r="B599" s="9" t="s">
        <v>651</v>
      </c>
      <c r="C599" s="9" t="s">
        <v>46</v>
      </c>
      <c r="D599" s="9" t="s">
        <v>112</v>
      </c>
      <c r="E599" s="9" t="s">
        <v>1162</v>
      </c>
      <c r="F599" s="9" t="s">
        <v>1163</v>
      </c>
      <c r="G599" s="10">
        <v>45955</v>
      </c>
      <c r="H599" s="10">
        <v>45975</v>
      </c>
      <c r="I599">
        <v>9</v>
      </c>
      <c r="J599">
        <v>8.9</v>
      </c>
      <c r="K599" s="9" t="s">
        <v>1321</v>
      </c>
    </row>
    <row r="600" spans="1:11" x14ac:dyDescent="0.35">
      <c r="A600" s="9" t="s">
        <v>2060</v>
      </c>
      <c r="B600" s="9" t="s">
        <v>653</v>
      </c>
      <c r="C600" s="9" t="s">
        <v>46</v>
      </c>
      <c r="D600" s="9" t="s">
        <v>76</v>
      </c>
      <c r="E600" s="9" t="s">
        <v>1176</v>
      </c>
      <c r="F600" s="9" t="s">
        <v>1177</v>
      </c>
      <c r="G600" s="10">
        <v>45750</v>
      </c>
      <c r="H600" s="10">
        <v>45802</v>
      </c>
      <c r="I600">
        <v>2.1</v>
      </c>
      <c r="J600">
        <v>2.9</v>
      </c>
      <c r="K600" s="9" t="s">
        <v>1321</v>
      </c>
    </row>
    <row r="601" spans="1:11" x14ac:dyDescent="0.35">
      <c r="A601" s="9" t="s">
        <v>2061</v>
      </c>
      <c r="B601" s="9" t="s">
        <v>653</v>
      </c>
      <c r="C601" s="9" t="s">
        <v>46</v>
      </c>
      <c r="D601" s="9" t="s">
        <v>76</v>
      </c>
      <c r="E601" s="9" t="s">
        <v>1196</v>
      </c>
      <c r="F601" s="9" t="s">
        <v>1197</v>
      </c>
      <c r="G601" s="10">
        <v>46196</v>
      </c>
      <c r="H601" s="10"/>
      <c r="I601">
        <v>29.8</v>
      </c>
      <c r="K601" s="9" t="s">
        <v>1473</v>
      </c>
    </row>
    <row r="602" spans="1:11" x14ac:dyDescent="0.35">
      <c r="A602" s="9" t="s">
        <v>2062</v>
      </c>
      <c r="B602" s="9" t="s">
        <v>653</v>
      </c>
      <c r="C602" s="9" t="s">
        <v>46</v>
      </c>
      <c r="D602" s="9" t="s">
        <v>76</v>
      </c>
      <c r="E602" s="9" t="s">
        <v>1190</v>
      </c>
      <c r="F602" s="9" t="s">
        <v>1191</v>
      </c>
      <c r="G602" s="10">
        <v>46032</v>
      </c>
      <c r="H602" s="10">
        <v>46087</v>
      </c>
      <c r="I602">
        <v>28.5</v>
      </c>
      <c r="J602">
        <v>40.4</v>
      </c>
      <c r="K602" s="9" t="s">
        <v>1321</v>
      </c>
    </row>
    <row r="603" spans="1:11" x14ac:dyDescent="0.35">
      <c r="A603" s="9" t="s">
        <v>2063</v>
      </c>
      <c r="B603" s="9" t="s">
        <v>655</v>
      </c>
      <c r="C603" s="9" t="s">
        <v>62</v>
      </c>
      <c r="D603" s="9" t="s">
        <v>69</v>
      </c>
      <c r="E603" s="9" t="s">
        <v>1193</v>
      </c>
      <c r="F603" s="9" t="s">
        <v>1194</v>
      </c>
      <c r="G603" s="10">
        <v>45776</v>
      </c>
      <c r="H603" s="10">
        <v>45816</v>
      </c>
      <c r="I603">
        <v>17.8</v>
      </c>
      <c r="J603">
        <v>21.9</v>
      </c>
      <c r="K603" s="9" t="s">
        <v>1321</v>
      </c>
    </row>
    <row r="604" spans="1:11" x14ac:dyDescent="0.35">
      <c r="A604" s="9" t="s">
        <v>2064</v>
      </c>
      <c r="B604" s="9" t="s">
        <v>657</v>
      </c>
      <c r="C604" s="9" t="s">
        <v>46</v>
      </c>
      <c r="D604" s="9" t="s">
        <v>47</v>
      </c>
      <c r="E604" s="9" t="s">
        <v>1190</v>
      </c>
      <c r="F604" s="9" t="s">
        <v>1191</v>
      </c>
      <c r="G604" s="10">
        <v>46032</v>
      </c>
      <c r="H604" s="10"/>
      <c r="I604">
        <v>31.4</v>
      </c>
      <c r="K604" s="9" t="s">
        <v>1325</v>
      </c>
    </row>
    <row r="605" spans="1:11" x14ac:dyDescent="0.35">
      <c r="A605" s="9" t="s">
        <v>2065</v>
      </c>
      <c r="B605" s="9" t="s">
        <v>657</v>
      </c>
      <c r="C605" s="9" t="s">
        <v>46</v>
      </c>
      <c r="D605" s="9" t="s">
        <v>47</v>
      </c>
      <c r="E605" s="9" t="s">
        <v>1155</v>
      </c>
      <c r="F605" s="9" t="s">
        <v>1156</v>
      </c>
      <c r="G605" s="10">
        <v>46105</v>
      </c>
      <c r="H605" s="10">
        <v>46115</v>
      </c>
      <c r="I605">
        <v>7.7</v>
      </c>
      <c r="J605">
        <v>6.5</v>
      </c>
      <c r="K605" s="9" t="s">
        <v>1321</v>
      </c>
    </row>
    <row r="606" spans="1:11" x14ac:dyDescent="0.35">
      <c r="A606" s="9" t="s">
        <v>2066</v>
      </c>
      <c r="B606" s="9" t="s">
        <v>657</v>
      </c>
      <c r="C606" s="9" t="s">
        <v>46</v>
      </c>
      <c r="D606" s="9" t="s">
        <v>47</v>
      </c>
      <c r="E606" s="9" t="s">
        <v>1139</v>
      </c>
      <c r="F606" s="9" t="s">
        <v>1140</v>
      </c>
      <c r="G606" s="10">
        <v>46043</v>
      </c>
      <c r="H606" s="10"/>
      <c r="I606">
        <v>27.4</v>
      </c>
      <c r="K606" s="9" t="s">
        <v>1325</v>
      </c>
    </row>
    <row r="607" spans="1:11" x14ac:dyDescent="0.35">
      <c r="A607" s="9" t="s">
        <v>2067</v>
      </c>
      <c r="B607" s="9" t="s">
        <v>659</v>
      </c>
      <c r="C607" s="9" t="s">
        <v>55</v>
      </c>
      <c r="D607" s="9" t="s">
        <v>63</v>
      </c>
      <c r="E607" s="9" t="s">
        <v>1137</v>
      </c>
      <c r="F607" s="9" t="s">
        <v>1138</v>
      </c>
      <c r="G607" s="10">
        <v>45985</v>
      </c>
      <c r="H607" s="10">
        <v>45995</v>
      </c>
      <c r="I607">
        <v>21</v>
      </c>
      <c r="J607">
        <v>17.7</v>
      </c>
      <c r="K607" s="9" t="s">
        <v>1321</v>
      </c>
    </row>
    <row r="608" spans="1:11" x14ac:dyDescent="0.35">
      <c r="A608" s="9" t="s">
        <v>2068</v>
      </c>
      <c r="B608" s="9" t="s">
        <v>659</v>
      </c>
      <c r="C608" s="9" t="s">
        <v>55</v>
      </c>
      <c r="D608" s="9" t="s">
        <v>63</v>
      </c>
      <c r="E608" s="9" t="s">
        <v>1152</v>
      </c>
      <c r="F608" s="9" t="s">
        <v>1153</v>
      </c>
      <c r="G608" s="10">
        <v>45821</v>
      </c>
      <c r="H608" s="10">
        <v>45857</v>
      </c>
      <c r="I608">
        <v>22.5</v>
      </c>
      <c r="J608">
        <v>26.5</v>
      </c>
      <c r="K608" s="9" t="s">
        <v>1321</v>
      </c>
    </row>
    <row r="609" spans="1:11" x14ac:dyDescent="0.35">
      <c r="A609" s="9" t="s">
        <v>2069</v>
      </c>
      <c r="B609" s="9" t="s">
        <v>659</v>
      </c>
      <c r="C609" s="9" t="s">
        <v>55</v>
      </c>
      <c r="D609" s="9" t="s">
        <v>63</v>
      </c>
      <c r="E609" s="9" t="s">
        <v>1211</v>
      </c>
      <c r="F609" s="9" t="s">
        <v>1212</v>
      </c>
      <c r="G609" s="10">
        <v>45795</v>
      </c>
      <c r="H609" s="10">
        <v>45819</v>
      </c>
      <c r="I609">
        <v>20.3</v>
      </c>
      <c r="J609">
        <v>20.8</v>
      </c>
      <c r="K609" s="9" t="s">
        <v>1321</v>
      </c>
    </row>
    <row r="610" spans="1:11" x14ac:dyDescent="0.35">
      <c r="A610" s="9" t="s">
        <v>2070</v>
      </c>
      <c r="B610" s="9" t="s">
        <v>661</v>
      </c>
      <c r="C610" s="9" t="s">
        <v>62</v>
      </c>
      <c r="D610" s="9" t="s">
        <v>93</v>
      </c>
      <c r="E610" s="9" t="s">
        <v>1193</v>
      </c>
      <c r="F610" s="9" t="s">
        <v>1194</v>
      </c>
      <c r="G610" s="10">
        <v>45681</v>
      </c>
      <c r="H610" s="10">
        <v>45727</v>
      </c>
      <c r="I610">
        <v>28</v>
      </c>
      <c r="J610">
        <v>36.5</v>
      </c>
      <c r="K610" s="9" t="s">
        <v>1321</v>
      </c>
    </row>
    <row r="611" spans="1:11" x14ac:dyDescent="0.35">
      <c r="A611" s="9" t="s">
        <v>2071</v>
      </c>
      <c r="B611" s="9" t="s">
        <v>661</v>
      </c>
      <c r="C611" s="9" t="s">
        <v>62</v>
      </c>
      <c r="D611" s="9" t="s">
        <v>93</v>
      </c>
      <c r="E611" s="9" t="s">
        <v>1211</v>
      </c>
      <c r="F611" s="9" t="s">
        <v>1212</v>
      </c>
      <c r="G611" s="10">
        <v>45792</v>
      </c>
      <c r="H611" s="10">
        <v>45803</v>
      </c>
      <c r="I611">
        <v>11.1</v>
      </c>
      <c r="J611">
        <v>9.5</v>
      </c>
      <c r="K611" s="9" t="s">
        <v>1321</v>
      </c>
    </row>
    <row r="612" spans="1:11" x14ac:dyDescent="0.35">
      <c r="A612" s="9" t="s">
        <v>2072</v>
      </c>
      <c r="B612" s="9" t="s">
        <v>663</v>
      </c>
      <c r="C612" s="9" t="s">
        <v>46</v>
      </c>
      <c r="D612" s="9" t="s">
        <v>112</v>
      </c>
      <c r="E612" s="9" t="s">
        <v>1139</v>
      </c>
      <c r="F612" s="9" t="s">
        <v>1140</v>
      </c>
      <c r="G612" s="10">
        <v>46201</v>
      </c>
      <c r="H612" s="10">
        <v>46255</v>
      </c>
      <c r="I612">
        <v>31.1</v>
      </c>
      <c r="J612">
        <v>43.6</v>
      </c>
      <c r="K612" s="9" t="s">
        <v>1321</v>
      </c>
    </row>
    <row r="613" spans="1:11" x14ac:dyDescent="0.35">
      <c r="A613" s="9" t="s">
        <v>2073</v>
      </c>
      <c r="B613" s="9" t="s">
        <v>665</v>
      </c>
      <c r="C613" s="9" t="s">
        <v>62</v>
      </c>
      <c r="D613" s="9" t="s">
        <v>69</v>
      </c>
      <c r="E613" s="9" t="s">
        <v>1137</v>
      </c>
      <c r="F613" s="9" t="s">
        <v>1138</v>
      </c>
      <c r="G613" s="10">
        <v>46078</v>
      </c>
      <c r="H613" s="10">
        <v>46097</v>
      </c>
      <c r="I613">
        <v>16.100000000000001</v>
      </c>
      <c r="J613">
        <v>15.5</v>
      </c>
      <c r="K613" s="9" t="s">
        <v>1321</v>
      </c>
    </row>
    <row r="614" spans="1:11" x14ac:dyDescent="0.35">
      <c r="A614" s="9" t="s">
        <v>2074</v>
      </c>
      <c r="B614" s="9" t="s">
        <v>665</v>
      </c>
      <c r="C614" s="9" t="s">
        <v>62</v>
      </c>
      <c r="D614" s="9" t="s">
        <v>69</v>
      </c>
      <c r="E614" s="9" t="s">
        <v>1129</v>
      </c>
      <c r="F614" s="9" t="s">
        <v>1130</v>
      </c>
      <c r="G614" s="10">
        <v>45881</v>
      </c>
      <c r="H614" s="10">
        <v>45922</v>
      </c>
      <c r="I614">
        <v>34.6</v>
      </c>
      <c r="J614">
        <v>43.1</v>
      </c>
      <c r="K614" s="9" t="s">
        <v>1321</v>
      </c>
    </row>
    <row r="615" spans="1:11" x14ac:dyDescent="0.35">
      <c r="A615" s="9" t="s">
        <v>2075</v>
      </c>
      <c r="B615" s="9" t="s">
        <v>665</v>
      </c>
      <c r="C615" s="9" t="s">
        <v>62</v>
      </c>
      <c r="D615" s="9" t="s">
        <v>69</v>
      </c>
      <c r="E615" s="9" t="s">
        <v>1190</v>
      </c>
      <c r="F615" s="9" t="s">
        <v>1191</v>
      </c>
      <c r="G615" s="10">
        <v>45852</v>
      </c>
      <c r="H615" s="10">
        <v>45901</v>
      </c>
      <c r="I615">
        <v>27.9</v>
      </c>
      <c r="J615">
        <v>37.4</v>
      </c>
      <c r="K615" s="9" t="s">
        <v>1321</v>
      </c>
    </row>
    <row r="616" spans="1:11" x14ac:dyDescent="0.35">
      <c r="A616" s="9" t="s">
        <v>2076</v>
      </c>
      <c r="B616" s="9" t="s">
        <v>667</v>
      </c>
      <c r="C616" s="9" t="s">
        <v>46</v>
      </c>
      <c r="D616" s="9" t="s">
        <v>112</v>
      </c>
      <c r="E616" s="9" t="s">
        <v>1155</v>
      </c>
      <c r="F616" s="9" t="s">
        <v>1156</v>
      </c>
      <c r="G616" s="10">
        <v>45830</v>
      </c>
      <c r="H616" s="10">
        <v>45866</v>
      </c>
      <c r="I616">
        <v>35.9</v>
      </c>
      <c r="J616">
        <v>42.3</v>
      </c>
      <c r="K616" s="9" t="s">
        <v>1321</v>
      </c>
    </row>
    <row r="617" spans="1:11" x14ac:dyDescent="0.35">
      <c r="A617" s="9" t="s">
        <v>2077</v>
      </c>
      <c r="B617" s="9" t="s">
        <v>667</v>
      </c>
      <c r="C617" s="9" t="s">
        <v>46</v>
      </c>
      <c r="D617" s="9" t="s">
        <v>112</v>
      </c>
      <c r="E617" s="9" t="s">
        <v>1145</v>
      </c>
      <c r="F617" s="9" t="s">
        <v>1146</v>
      </c>
      <c r="G617" s="10">
        <v>45808</v>
      </c>
      <c r="H617" s="10">
        <v>45835</v>
      </c>
      <c r="I617">
        <v>14.3</v>
      </c>
      <c r="J617">
        <v>15.1</v>
      </c>
      <c r="K617" s="9" t="s">
        <v>1321</v>
      </c>
    </row>
    <row r="618" spans="1:11" x14ac:dyDescent="0.35">
      <c r="A618" s="9" t="s">
        <v>2078</v>
      </c>
      <c r="B618" s="9" t="s">
        <v>669</v>
      </c>
      <c r="C618" s="9" t="s">
        <v>46</v>
      </c>
      <c r="D618" s="9" t="s">
        <v>112</v>
      </c>
      <c r="E618" s="9" t="s">
        <v>1129</v>
      </c>
      <c r="F618" s="9" t="s">
        <v>1130</v>
      </c>
      <c r="G618" s="10">
        <v>46020</v>
      </c>
      <c r="H618" s="10">
        <v>46053</v>
      </c>
      <c r="I618">
        <v>29.8</v>
      </c>
      <c r="J618">
        <v>33.9</v>
      </c>
      <c r="K618" s="9" t="s">
        <v>1321</v>
      </c>
    </row>
    <row r="619" spans="1:11" x14ac:dyDescent="0.35">
      <c r="A619" s="9" t="s">
        <v>2079</v>
      </c>
      <c r="B619" s="9" t="s">
        <v>669</v>
      </c>
      <c r="C619" s="9" t="s">
        <v>46</v>
      </c>
      <c r="D619" s="9" t="s">
        <v>112</v>
      </c>
      <c r="E619" s="9" t="s">
        <v>1158</v>
      </c>
      <c r="F619" s="9" t="s">
        <v>1159</v>
      </c>
      <c r="G619" s="10">
        <v>45897</v>
      </c>
      <c r="H619" s="10">
        <v>45937</v>
      </c>
      <c r="I619">
        <v>4.8</v>
      </c>
      <c r="J619">
        <v>5.8</v>
      </c>
      <c r="K619" s="9" t="s">
        <v>1321</v>
      </c>
    </row>
    <row r="620" spans="1:11" x14ac:dyDescent="0.35">
      <c r="A620" s="9" t="s">
        <v>2080</v>
      </c>
      <c r="B620" s="9" t="s">
        <v>671</v>
      </c>
      <c r="C620" s="9" t="s">
        <v>62</v>
      </c>
      <c r="D620" s="9" t="s">
        <v>69</v>
      </c>
      <c r="E620" s="9" t="s">
        <v>1196</v>
      </c>
      <c r="F620" s="9" t="s">
        <v>1197</v>
      </c>
      <c r="G620" s="10">
        <v>45712</v>
      </c>
      <c r="H620" s="10">
        <v>45764</v>
      </c>
      <c r="I620">
        <v>33.799999999999997</v>
      </c>
      <c r="J620">
        <v>46.5</v>
      </c>
      <c r="K620" s="9" t="s">
        <v>1321</v>
      </c>
    </row>
    <row r="621" spans="1:11" x14ac:dyDescent="0.35">
      <c r="A621" s="9" t="s">
        <v>2081</v>
      </c>
      <c r="B621" s="9" t="s">
        <v>671</v>
      </c>
      <c r="C621" s="9" t="s">
        <v>62</v>
      </c>
      <c r="D621" s="9" t="s">
        <v>69</v>
      </c>
      <c r="E621" s="9" t="s">
        <v>1137</v>
      </c>
      <c r="F621" s="9" t="s">
        <v>1138</v>
      </c>
      <c r="G621" s="10">
        <v>45913</v>
      </c>
      <c r="H621" s="10">
        <v>45962</v>
      </c>
      <c r="I621">
        <v>34.9</v>
      </c>
      <c r="J621">
        <v>46.6</v>
      </c>
      <c r="K621" s="9" t="s">
        <v>1321</v>
      </c>
    </row>
    <row r="622" spans="1:11" x14ac:dyDescent="0.35">
      <c r="A622" s="9" t="s">
        <v>2082</v>
      </c>
      <c r="B622" s="9" t="s">
        <v>673</v>
      </c>
      <c r="C622" s="9" t="s">
        <v>55</v>
      </c>
      <c r="D622" s="9" t="s">
        <v>80</v>
      </c>
      <c r="E622" s="9" t="s">
        <v>1139</v>
      </c>
      <c r="F622" s="9" t="s">
        <v>1140</v>
      </c>
      <c r="G622" s="10">
        <v>45963</v>
      </c>
      <c r="H622" s="10">
        <v>45977</v>
      </c>
      <c r="I622">
        <v>25</v>
      </c>
      <c r="J622">
        <v>22.4</v>
      </c>
      <c r="K622" s="9" t="s">
        <v>1321</v>
      </c>
    </row>
    <row r="623" spans="1:11" x14ac:dyDescent="0.35">
      <c r="A623" s="9" t="s">
        <v>2083</v>
      </c>
      <c r="B623" s="9" t="s">
        <v>673</v>
      </c>
      <c r="C623" s="9" t="s">
        <v>55</v>
      </c>
      <c r="D623" s="9" t="s">
        <v>80</v>
      </c>
      <c r="E623" s="9" t="s">
        <v>1190</v>
      </c>
      <c r="F623" s="9" t="s">
        <v>1191</v>
      </c>
      <c r="G623" s="10">
        <v>45991</v>
      </c>
      <c r="H623" s="10">
        <v>45996</v>
      </c>
      <c r="I623">
        <v>18.7</v>
      </c>
      <c r="J623">
        <v>14.6</v>
      </c>
      <c r="K623" s="9" t="s">
        <v>1321</v>
      </c>
    </row>
    <row r="624" spans="1:11" x14ac:dyDescent="0.35">
      <c r="A624" s="9" t="s">
        <v>2084</v>
      </c>
      <c r="B624" s="9" t="s">
        <v>675</v>
      </c>
      <c r="C624" s="9" t="s">
        <v>46</v>
      </c>
      <c r="D624" s="9" t="s">
        <v>56</v>
      </c>
      <c r="E624" s="9" t="s">
        <v>1137</v>
      </c>
      <c r="F624" s="9" t="s">
        <v>1138</v>
      </c>
      <c r="G624" s="10">
        <v>45955</v>
      </c>
      <c r="H624" s="10">
        <v>45958</v>
      </c>
      <c r="I624">
        <v>10.9</v>
      </c>
      <c r="J624">
        <v>8.1999999999999993</v>
      </c>
      <c r="K624" s="9" t="s">
        <v>1321</v>
      </c>
    </row>
    <row r="625" spans="1:11" x14ac:dyDescent="0.35">
      <c r="A625" s="9" t="s">
        <v>2085</v>
      </c>
      <c r="B625" s="9" t="s">
        <v>677</v>
      </c>
      <c r="C625" s="9" t="s">
        <v>62</v>
      </c>
      <c r="D625" s="9" t="s">
        <v>93</v>
      </c>
      <c r="E625" s="9" t="s">
        <v>1180</v>
      </c>
      <c r="F625" s="9" t="s">
        <v>1181</v>
      </c>
      <c r="G625" s="10">
        <v>45987</v>
      </c>
      <c r="H625" s="10">
        <v>46043</v>
      </c>
      <c r="I625">
        <v>26.4</v>
      </c>
      <c r="J625">
        <v>37.9</v>
      </c>
      <c r="K625" s="9" t="s">
        <v>1321</v>
      </c>
    </row>
    <row r="626" spans="1:11" x14ac:dyDescent="0.35">
      <c r="A626" s="9" t="s">
        <v>2086</v>
      </c>
      <c r="B626" s="9" t="s">
        <v>677</v>
      </c>
      <c r="C626" s="9" t="s">
        <v>62</v>
      </c>
      <c r="D626" s="9" t="s">
        <v>93</v>
      </c>
      <c r="E626" s="9" t="s">
        <v>1139</v>
      </c>
      <c r="F626" s="9" t="s">
        <v>1140</v>
      </c>
      <c r="G626" s="10">
        <v>45757</v>
      </c>
      <c r="H626" s="10"/>
      <c r="I626">
        <v>23.6</v>
      </c>
      <c r="K626" s="9" t="s">
        <v>1325</v>
      </c>
    </row>
    <row r="627" spans="1:11" x14ac:dyDescent="0.35">
      <c r="A627" s="9" t="s">
        <v>2087</v>
      </c>
      <c r="B627" s="9" t="s">
        <v>677</v>
      </c>
      <c r="C627" s="9" t="s">
        <v>62</v>
      </c>
      <c r="D627" s="9" t="s">
        <v>93</v>
      </c>
      <c r="E627" s="9" t="s">
        <v>1145</v>
      </c>
      <c r="F627" s="9" t="s">
        <v>1146</v>
      </c>
      <c r="G627" s="10">
        <v>45838</v>
      </c>
      <c r="H627" s="10">
        <v>45875</v>
      </c>
      <c r="I627">
        <v>18.8</v>
      </c>
      <c r="J627">
        <v>22.3</v>
      </c>
      <c r="K627" s="9" t="s">
        <v>1321</v>
      </c>
    </row>
    <row r="628" spans="1:11" x14ac:dyDescent="0.35">
      <c r="A628" s="9" t="s">
        <v>2088</v>
      </c>
      <c r="B628" s="9" t="s">
        <v>679</v>
      </c>
      <c r="C628" s="9" t="s">
        <v>55</v>
      </c>
      <c r="D628" s="9" t="s">
        <v>47</v>
      </c>
      <c r="E628" s="9" t="s">
        <v>1152</v>
      </c>
      <c r="F628" s="9" t="s">
        <v>1153</v>
      </c>
      <c r="G628" s="10">
        <v>45688</v>
      </c>
      <c r="H628" s="10">
        <v>45699</v>
      </c>
      <c r="I628">
        <v>15.7</v>
      </c>
      <c r="J628">
        <v>13.5</v>
      </c>
      <c r="K628" s="9" t="s">
        <v>1321</v>
      </c>
    </row>
    <row r="629" spans="1:11" x14ac:dyDescent="0.35">
      <c r="A629" s="9" t="s">
        <v>2089</v>
      </c>
      <c r="B629" s="9" t="s">
        <v>679</v>
      </c>
      <c r="C629" s="9" t="s">
        <v>55</v>
      </c>
      <c r="D629" s="9" t="s">
        <v>47</v>
      </c>
      <c r="E629" s="9" t="s">
        <v>1190</v>
      </c>
      <c r="F629" s="9" t="s">
        <v>1191</v>
      </c>
      <c r="G629" s="10">
        <v>45963</v>
      </c>
      <c r="H629" s="10">
        <v>46011</v>
      </c>
      <c r="I629">
        <v>25.8</v>
      </c>
      <c r="J629">
        <v>34.299999999999997</v>
      </c>
      <c r="K629" s="9" t="s">
        <v>1321</v>
      </c>
    </row>
    <row r="630" spans="1:11" x14ac:dyDescent="0.35">
      <c r="A630" s="9" t="s">
        <v>2090</v>
      </c>
      <c r="B630" s="9" t="s">
        <v>679</v>
      </c>
      <c r="C630" s="9" t="s">
        <v>55</v>
      </c>
      <c r="D630" s="9" t="s">
        <v>47</v>
      </c>
      <c r="E630" s="9" t="s">
        <v>1158</v>
      </c>
      <c r="F630" s="9" t="s">
        <v>1159</v>
      </c>
      <c r="G630" s="10">
        <v>45844</v>
      </c>
      <c r="H630" s="10">
        <v>45889</v>
      </c>
      <c r="I630">
        <v>9.9</v>
      </c>
      <c r="J630">
        <v>12.9</v>
      </c>
      <c r="K630" s="9" t="s">
        <v>1321</v>
      </c>
    </row>
    <row r="631" spans="1:11" x14ac:dyDescent="0.35">
      <c r="A631" s="9" t="s">
        <v>2091</v>
      </c>
      <c r="B631" s="9" t="s">
        <v>681</v>
      </c>
      <c r="C631" s="9" t="s">
        <v>46</v>
      </c>
      <c r="D631" s="9" t="s">
        <v>56</v>
      </c>
      <c r="E631" s="9" t="s">
        <v>1190</v>
      </c>
      <c r="F631" s="9" t="s">
        <v>1191</v>
      </c>
      <c r="G631" s="10">
        <v>45836</v>
      </c>
      <c r="H631" s="10">
        <v>45847</v>
      </c>
      <c r="I631">
        <v>16.399999999999999</v>
      </c>
      <c r="J631">
        <v>14</v>
      </c>
      <c r="K631" s="9" t="s">
        <v>1321</v>
      </c>
    </row>
    <row r="632" spans="1:11" x14ac:dyDescent="0.35">
      <c r="A632" s="9" t="s">
        <v>2092</v>
      </c>
      <c r="B632" s="9" t="s">
        <v>683</v>
      </c>
      <c r="C632" s="9" t="s">
        <v>46</v>
      </c>
      <c r="D632" s="9" t="s">
        <v>69</v>
      </c>
      <c r="E632" s="9" t="s">
        <v>1137</v>
      </c>
      <c r="F632" s="9" t="s">
        <v>1138</v>
      </c>
      <c r="G632" s="10">
        <v>45773</v>
      </c>
      <c r="H632" s="10">
        <v>45827</v>
      </c>
      <c r="I632">
        <v>34.9</v>
      </c>
      <c r="J632">
        <v>49.1</v>
      </c>
      <c r="K632" s="9" t="s">
        <v>1321</v>
      </c>
    </row>
    <row r="633" spans="1:11" x14ac:dyDescent="0.35">
      <c r="A633" s="9" t="s">
        <v>2093</v>
      </c>
      <c r="B633" s="9" t="s">
        <v>685</v>
      </c>
      <c r="C633" s="9" t="s">
        <v>55</v>
      </c>
      <c r="D633" s="9" t="s">
        <v>93</v>
      </c>
      <c r="E633" s="9" t="s">
        <v>1129</v>
      </c>
      <c r="F633" s="9" t="s">
        <v>1130</v>
      </c>
      <c r="G633" s="10">
        <v>45899</v>
      </c>
      <c r="H633" s="10"/>
      <c r="I633">
        <v>4.0999999999999996</v>
      </c>
      <c r="K633" s="9" t="s">
        <v>1473</v>
      </c>
    </row>
    <row r="634" spans="1:11" x14ac:dyDescent="0.35">
      <c r="A634" s="9" t="s">
        <v>2094</v>
      </c>
      <c r="B634" s="9" t="s">
        <v>685</v>
      </c>
      <c r="C634" s="9" t="s">
        <v>55</v>
      </c>
      <c r="D634" s="9" t="s">
        <v>93</v>
      </c>
      <c r="E634" s="9" t="s">
        <v>1155</v>
      </c>
      <c r="F634" s="9" t="s">
        <v>1156</v>
      </c>
      <c r="G634" s="10">
        <v>45787</v>
      </c>
      <c r="H634" s="10">
        <v>45830</v>
      </c>
      <c r="I634">
        <v>19.8</v>
      </c>
      <c r="J634">
        <v>25</v>
      </c>
      <c r="K634" s="9" t="s">
        <v>1321</v>
      </c>
    </row>
    <row r="635" spans="1:11" x14ac:dyDescent="0.35">
      <c r="A635" s="9" t="s">
        <v>2095</v>
      </c>
      <c r="B635" s="9" t="s">
        <v>687</v>
      </c>
      <c r="C635" s="9" t="s">
        <v>62</v>
      </c>
      <c r="D635" s="9" t="s">
        <v>63</v>
      </c>
      <c r="E635" s="9" t="s">
        <v>1129</v>
      </c>
      <c r="F635" s="9" t="s">
        <v>1130</v>
      </c>
      <c r="G635" s="10">
        <v>46118</v>
      </c>
      <c r="H635" s="10">
        <v>46139</v>
      </c>
      <c r="I635">
        <v>7</v>
      </c>
      <c r="J635">
        <v>7</v>
      </c>
      <c r="K635" s="9" t="s">
        <v>1321</v>
      </c>
    </row>
    <row r="636" spans="1:11" x14ac:dyDescent="0.35">
      <c r="A636" s="9" t="s">
        <v>2096</v>
      </c>
      <c r="B636" s="9" t="s">
        <v>687</v>
      </c>
      <c r="C636" s="9" t="s">
        <v>62</v>
      </c>
      <c r="D636" s="9" t="s">
        <v>63</v>
      </c>
      <c r="E636" s="9" t="s">
        <v>1137</v>
      </c>
      <c r="F636" s="9" t="s">
        <v>1138</v>
      </c>
      <c r="G636" s="10">
        <v>46022</v>
      </c>
      <c r="H636" s="10">
        <v>46045</v>
      </c>
      <c r="I636">
        <v>27.3</v>
      </c>
      <c r="J636">
        <v>27.4</v>
      </c>
      <c r="K636" s="9" t="s">
        <v>1321</v>
      </c>
    </row>
    <row r="637" spans="1:11" x14ac:dyDescent="0.35">
      <c r="A637" s="9" t="s">
        <v>2097</v>
      </c>
      <c r="B637" s="9" t="s">
        <v>689</v>
      </c>
      <c r="C637" s="9" t="s">
        <v>46</v>
      </c>
      <c r="D637" s="9" t="s">
        <v>80</v>
      </c>
      <c r="E637" s="9" t="s">
        <v>1190</v>
      </c>
      <c r="F637" s="9" t="s">
        <v>1191</v>
      </c>
      <c r="G637" s="10">
        <v>45686</v>
      </c>
      <c r="H637" s="10">
        <v>45719</v>
      </c>
      <c r="I637">
        <v>3.8</v>
      </c>
      <c r="J637">
        <v>4.3</v>
      </c>
      <c r="K637" s="9" t="s">
        <v>1321</v>
      </c>
    </row>
    <row r="638" spans="1:11" x14ac:dyDescent="0.35">
      <c r="A638" s="9" t="s">
        <v>2098</v>
      </c>
      <c r="B638" s="9" t="s">
        <v>691</v>
      </c>
      <c r="C638" s="9" t="s">
        <v>55</v>
      </c>
      <c r="D638" s="9" t="s">
        <v>112</v>
      </c>
      <c r="E638" s="9" t="s">
        <v>1167</v>
      </c>
      <c r="F638" s="9" t="s">
        <v>1168</v>
      </c>
      <c r="G638" s="10">
        <v>46168</v>
      </c>
      <c r="H638" s="10">
        <v>46206</v>
      </c>
      <c r="I638">
        <v>22.3</v>
      </c>
      <c r="J638">
        <v>26.7</v>
      </c>
      <c r="K638" s="9" t="s">
        <v>1321</v>
      </c>
    </row>
    <row r="639" spans="1:11" x14ac:dyDescent="0.35">
      <c r="A639" s="9" t="s">
        <v>2099</v>
      </c>
      <c r="B639" s="9" t="s">
        <v>691</v>
      </c>
      <c r="C639" s="9" t="s">
        <v>55</v>
      </c>
      <c r="D639" s="9" t="s">
        <v>112</v>
      </c>
      <c r="E639" s="9" t="s">
        <v>1180</v>
      </c>
      <c r="F639" s="9" t="s">
        <v>1181</v>
      </c>
      <c r="G639" s="10">
        <v>45923</v>
      </c>
      <c r="H639" s="10">
        <v>45952</v>
      </c>
      <c r="I639">
        <v>29.5</v>
      </c>
      <c r="J639">
        <v>32.1</v>
      </c>
      <c r="K639" s="9" t="s">
        <v>1321</v>
      </c>
    </row>
    <row r="640" spans="1:11" x14ac:dyDescent="0.35">
      <c r="A640" s="9" t="s">
        <v>2100</v>
      </c>
      <c r="B640" s="9" t="s">
        <v>691</v>
      </c>
      <c r="C640" s="9" t="s">
        <v>55</v>
      </c>
      <c r="D640" s="9" t="s">
        <v>112</v>
      </c>
      <c r="E640" s="9" t="s">
        <v>1158</v>
      </c>
      <c r="F640" s="9" t="s">
        <v>1159</v>
      </c>
      <c r="G640" s="10">
        <v>45774</v>
      </c>
      <c r="H640" s="10">
        <v>45826</v>
      </c>
      <c r="I640">
        <v>32</v>
      </c>
      <c r="J640">
        <v>44.2</v>
      </c>
      <c r="K640" s="9" t="s">
        <v>1321</v>
      </c>
    </row>
    <row r="641" spans="1:11" x14ac:dyDescent="0.35">
      <c r="A641" s="9" t="s">
        <v>2101</v>
      </c>
      <c r="B641" s="9" t="s">
        <v>693</v>
      </c>
      <c r="C641" s="9" t="s">
        <v>46</v>
      </c>
      <c r="D641" s="9" t="s">
        <v>76</v>
      </c>
      <c r="E641" s="9" t="s">
        <v>1134</v>
      </c>
      <c r="F641" s="9" t="s">
        <v>1135</v>
      </c>
      <c r="G641" s="10">
        <v>45846</v>
      </c>
      <c r="H641" s="10">
        <v>45901</v>
      </c>
      <c r="I641">
        <v>18.8</v>
      </c>
      <c r="J641">
        <v>26.6</v>
      </c>
      <c r="K641" s="9" t="s">
        <v>1321</v>
      </c>
    </row>
    <row r="642" spans="1:11" x14ac:dyDescent="0.35">
      <c r="A642" s="9" t="s">
        <v>2102</v>
      </c>
      <c r="B642" s="9" t="s">
        <v>693</v>
      </c>
      <c r="C642" s="9" t="s">
        <v>46</v>
      </c>
      <c r="D642" s="9" t="s">
        <v>76</v>
      </c>
      <c r="E642" s="9" t="s">
        <v>1183</v>
      </c>
      <c r="F642" s="9" t="s">
        <v>1184</v>
      </c>
      <c r="G642" s="10">
        <v>46191</v>
      </c>
      <c r="H642" s="10">
        <v>46217</v>
      </c>
      <c r="I642">
        <v>2.6</v>
      </c>
      <c r="J642">
        <v>2.7</v>
      </c>
      <c r="K642" s="9" t="s">
        <v>1321</v>
      </c>
    </row>
    <row r="643" spans="1:11" x14ac:dyDescent="0.35">
      <c r="A643" s="9" t="s">
        <v>2103</v>
      </c>
      <c r="B643" s="9" t="s">
        <v>695</v>
      </c>
      <c r="C643" s="9" t="s">
        <v>62</v>
      </c>
      <c r="D643" s="9" t="s">
        <v>76</v>
      </c>
      <c r="E643" s="9" t="s">
        <v>1158</v>
      </c>
      <c r="F643" s="9" t="s">
        <v>1159</v>
      </c>
      <c r="G643" s="10">
        <v>45819</v>
      </c>
      <c r="H643" s="10">
        <v>45851</v>
      </c>
      <c r="I643">
        <v>2.2999999999999998</v>
      </c>
      <c r="J643">
        <v>2.5</v>
      </c>
      <c r="K643" s="9" t="s">
        <v>1321</v>
      </c>
    </row>
    <row r="644" spans="1:11" x14ac:dyDescent="0.35">
      <c r="A644" s="9" t="s">
        <v>2104</v>
      </c>
      <c r="B644" s="9" t="s">
        <v>695</v>
      </c>
      <c r="C644" s="9" t="s">
        <v>62</v>
      </c>
      <c r="D644" s="9" t="s">
        <v>76</v>
      </c>
      <c r="E644" s="9" t="s">
        <v>1211</v>
      </c>
      <c r="F644" s="9" t="s">
        <v>1212</v>
      </c>
      <c r="G644" s="10">
        <v>45757</v>
      </c>
      <c r="H644" s="10">
        <v>45806</v>
      </c>
      <c r="I644">
        <v>33.200000000000003</v>
      </c>
      <c r="J644">
        <v>44.3</v>
      </c>
      <c r="K644" s="9" t="s">
        <v>1321</v>
      </c>
    </row>
    <row r="645" spans="1:11" x14ac:dyDescent="0.35">
      <c r="A645" s="9" t="s">
        <v>2105</v>
      </c>
      <c r="B645" s="9" t="s">
        <v>695</v>
      </c>
      <c r="C645" s="9" t="s">
        <v>62</v>
      </c>
      <c r="D645" s="9" t="s">
        <v>76</v>
      </c>
      <c r="E645" s="9" t="s">
        <v>1137</v>
      </c>
      <c r="F645" s="9" t="s">
        <v>1138</v>
      </c>
      <c r="G645" s="10">
        <v>45917</v>
      </c>
      <c r="H645" s="10">
        <v>45963</v>
      </c>
      <c r="I645">
        <v>8.3000000000000007</v>
      </c>
      <c r="J645">
        <v>10.9</v>
      </c>
      <c r="K645" s="9" t="s">
        <v>1321</v>
      </c>
    </row>
    <row r="646" spans="1:11" x14ac:dyDescent="0.35">
      <c r="A646" s="9" t="s">
        <v>2106</v>
      </c>
      <c r="B646" s="9" t="s">
        <v>697</v>
      </c>
      <c r="C646" s="9" t="s">
        <v>62</v>
      </c>
      <c r="D646" s="9" t="s">
        <v>80</v>
      </c>
      <c r="E646" s="9" t="s">
        <v>1155</v>
      </c>
      <c r="F646" s="9" t="s">
        <v>1156</v>
      </c>
      <c r="G646" s="10">
        <v>46100</v>
      </c>
      <c r="H646" s="10">
        <v>46155</v>
      </c>
      <c r="I646">
        <v>14.4</v>
      </c>
      <c r="J646">
        <v>20.5</v>
      </c>
      <c r="K646" s="9" t="s">
        <v>1321</v>
      </c>
    </row>
    <row r="647" spans="1:11" x14ac:dyDescent="0.35">
      <c r="A647" s="9" t="s">
        <v>2107</v>
      </c>
      <c r="B647" s="9" t="s">
        <v>697</v>
      </c>
      <c r="C647" s="9" t="s">
        <v>62</v>
      </c>
      <c r="D647" s="9" t="s">
        <v>80</v>
      </c>
      <c r="E647" s="9" t="s">
        <v>1152</v>
      </c>
      <c r="F647" s="9" t="s">
        <v>1153</v>
      </c>
      <c r="G647" s="10">
        <v>46000</v>
      </c>
      <c r="H647" s="10">
        <v>46051</v>
      </c>
      <c r="I647">
        <v>6.3</v>
      </c>
      <c r="J647">
        <v>8.6</v>
      </c>
      <c r="K647" s="9" t="s">
        <v>1321</v>
      </c>
    </row>
    <row r="648" spans="1:11" x14ac:dyDescent="0.35">
      <c r="A648" s="9" t="s">
        <v>2108</v>
      </c>
      <c r="B648" s="9" t="s">
        <v>699</v>
      </c>
      <c r="C648" s="9" t="s">
        <v>46</v>
      </c>
      <c r="D648" s="9" t="s">
        <v>112</v>
      </c>
      <c r="E648" s="9" t="s">
        <v>1190</v>
      </c>
      <c r="F648" s="9" t="s">
        <v>1191</v>
      </c>
      <c r="G648" s="10">
        <v>46189</v>
      </c>
      <c r="H648" s="10">
        <v>46228</v>
      </c>
      <c r="I648">
        <v>34.1</v>
      </c>
      <c r="J648">
        <v>41.2</v>
      </c>
      <c r="K648" s="9" t="s">
        <v>1321</v>
      </c>
    </row>
    <row r="649" spans="1:11" x14ac:dyDescent="0.35">
      <c r="A649" s="9" t="s">
        <v>2109</v>
      </c>
      <c r="B649" s="9" t="s">
        <v>699</v>
      </c>
      <c r="C649" s="9" t="s">
        <v>46</v>
      </c>
      <c r="D649" s="9" t="s">
        <v>112</v>
      </c>
      <c r="E649" s="9" t="s">
        <v>1139</v>
      </c>
      <c r="F649" s="9" t="s">
        <v>1140</v>
      </c>
      <c r="G649" s="10">
        <v>45997</v>
      </c>
      <c r="H649" s="10">
        <v>46053</v>
      </c>
      <c r="I649">
        <v>12.7</v>
      </c>
      <c r="J649">
        <v>18.2</v>
      </c>
      <c r="K649" s="9" t="s">
        <v>1321</v>
      </c>
    </row>
    <row r="650" spans="1:11" x14ac:dyDescent="0.35">
      <c r="A650" s="9" t="s">
        <v>2110</v>
      </c>
      <c r="B650" s="9" t="s">
        <v>699</v>
      </c>
      <c r="C650" s="9" t="s">
        <v>46</v>
      </c>
      <c r="D650" s="9" t="s">
        <v>112</v>
      </c>
      <c r="E650" s="9" t="s">
        <v>1176</v>
      </c>
      <c r="F650" s="9" t="s">
        <v>1177</v>
      </c>
      <c r="G650" s="10">
        <v>46086</v>
      </c>
      <c r="H650" s="10">
        <v>46097</v>
      </c>
      <c r="I650">
        <v>3.1</v>
      </c>
      <c r="J650">
        <v>2.7</v>
      </c>
      <c r="K650" s="9" t="s">
        <v>1321</v>
      </c>
    </row>
    <row r="651" spans="1:11" x14ac:dyDescent="0.35">
      <c r="A651" s="9" t="s">
        <v>2111</v>
      </c>
      <c r="B651" s="9" t="s">
        <v>701</v>
      </c>
      <c r="C651" s="9" t="s">
        <v>46</v>
      </c>
      <c r="D651" s="9" t="s">
        <v>63</v>
      </c>
      <c r="E651" s="9" t="s">
        <v>1147</v>
      </c>
      <c r="F651" s="9" t="s">
        <v>1148</v>
      </c>
      <c r="G651" s="10">
        <v>45886</v>
      </c>
      <c r="H651" s="10">
        <v>45938</v>
      </c>
      <c r="I651">
        <v>4.7</v>
      </c>
      <c r="J651">
        <v>6.5</v>
      </c>
      <c r="K651" s="9" t="s">
        <v>1321</v>
      </c>
    </row>
    <row r="652" spans="1:11" x14ac:dyDescent="0.35">
      <c r="A652" s="9" t="s">
        <v>2112</v>
      </c>
      <c r="B652" s="9" t="s">
        <v>701</v>
      </c>
      <c r="C652" s="9" t="s">
        <v>46</v>
      </c>
      <c r="D652" s="9" t="s">
        <v>63</v>
      </c>
      <c r="E652" s="9" t="s">
        <v>1190</v>
      </c>
      <c r="F652" s="9" t="s">
        <v>1191</v>
      </c>
      <c r="G652" s="10">
        <v>46022</v>
      </c>
      <c r="H652" s="10">
        <v>46056</v>
      </c>
      <c r="I652">
        <v>13.9</v>
      </c>
      <c r="J652">
        <v>15.9</v>
      </c>
      <c r="K652" s="9" t="s">
        <v>1321</v>
      </c>
    </row>
    <row r="653" spans="1:11" x14ac:dyDescent="0.35">
      <c r="A653" s="9" t="s">
        <v>2113</v>
      </c>
      <c r="B653" s="9" t="s">
        <v>701</v>
      </c>
      <c r="C653" s="9" t="s">
        <v>46</v>
      </c>
      <c r="D653" s="9" t="s">
        <v>63</v>
      </c>
      <c r="E653" s="9" t="s">
        <v>1193</v>
      </c>
      <c r="F653" s="9" t="s">
        <v>1194</v>
      </c>
      <c r="G653" s="10">
        <v>45940</v>
      </c>
      <c r="H653" s="10">
        <v>45948</v>
      </c>
      <c r="I653">
        <v>6.9</v>
      </c>
      <c r="J653">
        <v>5.7</v>
      </c>
      <c r="K653" s="9" t="s">
        <v>1321</v>
      </c>
    </row>
    <row r="654" spans="1:11" x14ac:dyDescent="0.35">
      <c r="A654" s="9" t="s">
        <v>2114</v>
      </c>
      <c r="B654" s="9" t="s">
        <v>701</v>
      </c>
      <c r="C654" s="9" t="s">
        <v>46</v>
      </c>
      <c r="D654" s="9" t="s">
        <v>63</v>
      </c>
      <c r="E654" s="9" t="s">
        <v>1143</v>
      </c>
      <c r="F654" s="9" t="s">
        <v>1144</v>
      </c>
      <c r="G654" s="10">
        <v>45909</v>
      </c>
      <c r="H654" s="10">
        <v>45914</v>
      </c>
      <c r="I654">
        <v>35.9</v>
      </c>
      <c r="J654">
        <v>27.9</v>
      </c>
      <c r="K654" s="9" t="s">
        <v>1321</v>
      </c>
    </row>
    <row r="655" spans="1:11" x14ac:dyDescent="0.35">
      <c r="A655" s="9" t="s">
        <v>2115</v>
      </c>
      <c r="B655" s="9" t="s">
        <v>703</v>
      </c>
      <c r="C655" s="9" t="s">
        <v>55</v>
      </c>
      <c r="D655" s="9" t="s">
        <v>63</v>
      </c>
      <c r="E655" s="9" t="s">
        <v>1193</v>
      </c>
      <c r="F655" s="9" t="s">
        <v>1194</v>
      </c>
      <c r="G655" s="10">
        <v>45714</v>
      </c>
      <c r="H655" s="10">
        <v>45748</v>
      </c>
      <c r="I655">
        <v>21</v>
      </c>
      <c r="J655">
        <v>24.3</v>
      </c>
      <c r="K655" s="9" t="s">
        <v>1321</v>
      </c>
    </row>
    <row r="656" spans="1:11" x14ac:dyDescent="0.35">
      <c r="A656" s="9" t="s">
        <v>2116</v>
      </c>
      <c r="B656" s="9" t="s">
        <v>705</v>
      </c>
      <c r="C656" s="9" t="s">
        <v>55</v>
      </c>
      <c r="D656" s="9" t="s">
        <v>93</v>
      </c>
      <c r="E656" s="9" t="s">
        <v>1176</v>
      </c>
      <c r="F656" s="9" t="s">
        <v>1177</v>
      </c>
      <c r="G656" s="10">
        <v>45950</v>
      </c>
      <c r="H656" s="10"/>
      <c r="I656">
        <v>16.2</v>
      </c>
      <c r="K656" s="9" t="s">
        <v>1473</v>
      </c>
    </row>
    <row r="657" spans="1:11" x14ac:dyDescent="0.35">
      <c r="A657" s="9" t="s">
        <v>2117</v>
      </c>
      <c r="B657" s="9" t="s">
        <v>707</v>
      </c>
      <c r="C657" s="9" t="s">
        <v>62</v>
      </c>
      <c r="D657" s="9" t="s">
        <v>80</v>
      </c>
      <c r="E657" s="9" t="s">
        <v>1158</v>
      </c>
      <c r="F657" s="9" t="s">
        <v>1159</v>
      </c>
      <c r="G657" s="10">
        <v>46132</v>
      </c>
      <c r="H657" s="10">
        <v>46169</v>
      </c>
      <c r="I657">
        <v>27.9</v>
      </c>
      <c r="J657">
        <v>33.4</v>
      </c>
      <c r="K657" s="9" t="s">
        <v>1321</v>
      </c>
    </row>
    <row r="658" spans="1:11" x14ac:dyDescent="0.35">
      <c r="A658" s="9" t="s">
        <v>2118</v>
      </c>
      <c r="B658" s="9" t="s">
        <v>709</v>
      </c>
      <c r="C658" s="9" t="s">
        <v>55</v>
      </c>
      <c r="D658" s="9" t="s">
        <v>69</v>
      </c>
      <c r="E658" s="9" t="s">
        <v>1145</v>
      </c>
      <c r="F658" s="9" t="s">
        <v>1146</v>
      </c>
      <c r="G658" s="10">
        <v>46119</v>
      </c>
      <c r="H658" s="10">
        <v>46168</v>
      </c>
      <c r="I658">
        <v>12.7</v>
      </c>
      <c r="J658">
        <v>16.899999999999999</v>
      </c>
      <c r="K658" s="9" t="s">
        <v>1321</v>
      </c>
    </row>
    <row r="659" spans="1:11" x14ac:dyDescent="0.35">
      <c r="A659" s="9" t="s">
        <v>2119</v>
      </c>
      <c r="B659" s="9" t="s">
        <v>709</v>
      </c>
      <c r="C659" s="9" t="s">
        <v>55</v>
      </c>
      <c r="D659" s="9" t="s">
        <v>69</v>
      </c>
      <c r="E659" s="9" t="s">
        <v>1162</v>
      </c>
      <c r="F659" s="9" t="s">
        <v>1163</v>
      </c>
      <c r="G659" s="10">
        <v>45829</v>
      </c>
      <c r="H659" s="10"/>
      <c r="I659">
        <v>8.8000000000000007</v>
      </c>
      <c r="K659" s="9" t="s">
        <v>1473</v>
      </c>
    </row>
    <row r="660" spans="1:11" x14ac:dyDescent="0.35">
      <c r="A660" s="9" t="s">
        <v>2120</v>
      </c>
      <c r="B660" s="9" t="s">
        <v>711</v>
      </c>
      <c r="C660" s="9" t="s">
        <v>46</v>
      </c>
      <c r="D660" s="9" t="s">
        <v>80</v>
      </c>
      <c r="E660" s="9" t="s">
        <v>1155</v>
      </c>
      <c r="F660" s="9" t="s">
        <v>1156</v>
      </c>
      <c r="G660" s="10">
        <v>45824</v>
      </c>
      <c r="H660" s="10">
        <v>45845</v>
      </c>
      <c r="I660">
        <v>7.4</v>
      </c>
      <c r="J660">
        <v>7.3</v>
      </c>
      <c r="K660" s="9" t="s">
        <v>1321</v>
      </c>
    </row>
    <row r="661" spans="1:11" x14ac:dyDescent="0.35">
      <c r="A661" s="9" t="s">
        <v>2121</v>
      </c>
      <c r="B661" s="9" t="s">
        <v>713</v>
      </c>
      <c r="C661" s="9" t="s">
        <v>46</v>
      </c>
      <c r="D661" s="9" t="s">
        <v>63</v>
      </c>
      <c r="E661" s="9" t="s">
        <v>1155</v>
      </c>
      <c r="F661" s="9" t="s">
        <v>1156</v>
      </c>
      <c r="G661" s="10">
        <v>45670</v>
      </c>
      <c r="H661" s="10">
        <v>45722</v>
      </c>
      <c r="I661">
        <v>5.3</v>
      </c>
      <c r="J661">
        <v>7.4</v>
      </c>
      <c r="K661" s="9" t="s">
        <v>1321</v>
      </c>
    </row>
    <row r="662" spans="1:11" x14ac:dyDescent="0.35">
      <c r="A662" s="9" t="s">
        <v>2122</v>
      </c>
      <c r="B662" s="9" t="s">
        <v>713</v>
      </c>
      <c r="C662" s="9" t="s">
        <v>46</v>
      </c>
      <c r="D662" s="9" t="s">
        <v>63</v>
      </c>
      <c r="E662" s="9" t="s">
        <v>1134</v>
      </c>
      <c r="F662" s="9" t="s">
        <v>1135</v>
      </c>
      <c r="G662" s="10">
        <v>45919</v>
      </c>
      <c r="H662" s="10">
        <v>45932</v>
      </c>
      <c r="I662">
        <v>23.2</v>
      </c>
      <c r="J662">
        <v>20.5</v>
      </c>
      <c r="K662" s="9" t="s">
        <v>1321</v>
      </c>
    </row>
    <row r="663" spans="1:11" x14ac:dyDescent="0.35">
      <c r="A663" s="9" t="s">
        <v>2123</v>
      </c>
      <c r="B663" s="9" t="s">
        <v>715</v>
      </c>
      <c r="C663" s="9" t="s">
        <v>46</v>
      </c>
      <c r="D663" s="9" t="s">
        <v>63</v>
      </c>
      <c r="E663" s="9" t="s">
        <v>1176</v>
      </c>
      <c r="F663" s="9" t="s">
        <v>1177</v>
      </c>
      <c r="G663" s="10">
        <v>46170</v>
      </c>
      <c r="H663" s="10">
        <v>46188</v>
      </c>
      <c r="I663">
        <v>3.4</v>
      </c>
      <c r="J663">
        <v>3.2</v>
      </c>
      <c r="K663" s="9" t="s">
        <v>1321</v>
      </c>
    </row>
    <row r="664" spans="1:11" x14ac:dyDescent="0.35">
      <c r="A664" s="9" t="s">
        <v>2124</v>
      </c>
      <c r="B664" s="9" t="s">
        <v>717</v>
      </c>
      <c r="C664" s="9" t="s">
        <v>46</v>
      </c>
      <c r="D664" s="9" t="s">
        <v>93</v>
      </c>
      <c r="E664" s="9" t="s">
        <v>1180</v>
      </c>
      <c r="F664" s="9" t="s">
        <v>1181</v>
      </c>
      <c r="G664" s="10">
        <v>45935</v>
      </c>
      <c r="H664" s="10">
        <v>45978</v>
      </c>
      <c r="I664">
        <v>11.4</v>
      </c>
      <c r="J664">
        <v>14.5</v>
      </c>
      <c r="K664" s="9" t="s">
        <v>1321</v>
      </c>
    </row>
    <row r="665" spans="1:11" x14ac:dyDescent="0.35">
      <c r="A665" s="9" t="s">
        <v>2125</v>
      </c>
      <c r="B665" s="9" t="s">
        <v>717</v>
      </c>
      <c r="C665" s="9" t="s">
        <v>46</v>
      </c>
      <c r="D665" s="9" t="s">
        <v>93</v>
      </c>
      <c r="E665" s="9" t="s">
        <v>1183</v>
      </c>
      <c r="F665" s="9" t="s">
        <v>1184</v>
      </c>
      <c r="G665" s="10">
        <v>46162</v>
      </c>
      <c r="H665" s="10">
        <v>46182</v>
      </c>
      <c r="I665">
        <v>26.6</v>
      </c>
      <c r="J665">
        <v>26</v>
      </c>
      <c r="K665" s="9" t="s">
        <v>1321</v>
      </c>
    </row>
    <row r="666" spans="1:11" x14ac:dyDescent="0.35">
      <c r="A666" s="9" t="s">
        <v>2126</v>
      </c>
      <c r="B666" s="9" t="s">
        <v>717</v>
      </c>
      <c r="C666" s="9" t="s">
        <v>46</v>
      </c>
      <c r="D666" s="9" t="s">
        <v>93</v>
      </c>
      <c r="E666" s="9" t="s">
        <v>1190</v>
      </c>
      <c r="F666" s="9" t="s">
        <v>1191</v>
      </c>
      <c r="G666" s="10">
        <v>46127</v>
      </c>
      <c r="H666" s="10">
        <v>46166</v>
      </c>
      <c r="I666">
        <v>4.2</v>
      </c>
      <c r="J666">
        <v>5.0999999999999996</v>
      </c>
      <c r="K666" s="9" t="s">
        <v>1321</v>
      </c>
    </row>
    <row r="667" spans="1:11" x14ac:dyDescent="0.35">
      <c r="A667" s="9" t="s">
        <v>2127</v>
      </c>
      <c r="B667" s="9" t="s">
        <v>719</v>
      </c>
      <c r="C667" s="9" t="s">
        <v>55</v>
      </c>
      <c r="D667" s="9" t="s">
        <v>93</v>
      </c>
      <c r="E667" s="9" t="s">
        <v>1158</v>
      </c>
      <c r="F667" s="9" t="s">
        <v>1159</v>
      </c>
      <c r="G667" s="10">
        <v>46133</v>
      </c>
      <c r="H667" s="10">
        <v>46157</v>
      </c>
      <c r="I667">
        <v>4</v>
      </c>
      <c r="J667">
        <v>4.0999999999999996</v>
      </c>
      <c r="K667" s="9" t="s">
        <v>1321</v>
      </c>
    </row>
    <row r="668" spans="1:11" x14ac:dyDescent="0.35">
      <c r="A668" s="9" t="s">
        <v>2128</v>
      </c>
      <c r="B668" s="9" t="s">
        <v>719</v>
      </c>
      <c r="C668" s="9" t="s">
        <v>55</v>
      </c>
      <c r="D668" s="9" t="s">
        <v>93</v>
      </c>
      <c r="E668" s="9" t="s">
        <v>1171</v>
      </c>
      <c r="F668" s="9" t="s">
        <v>1172</v>
      </c>
      <c r="G668" s="10">
        <v>46080</v>
      </c>
      <c r="H668" s="10">
        <v>46118</v>
      </c>
      <c r="I668">
        <v>22.3</v>
      </c>
      <c r="J668">
        <v>26.7</v>
      </c>
      <c r="K668" s="9" t="s">
        <v>1321</v>
      </c>
    </row>
    <row r="669" spans="1:11" x14ac:dyDescent="0.35">
      <c r="A669" s="9" t="s">
        <v>2129</v>
      </c>
      <c r="B669" s="9" t="s">
        <v>719</v>
      </c>
      <c r="C669" s="9" t="s">
        <v>55</v>
      </c>
      <c r="D669" s="9" t="s">
        <v>93</v>
      </c>
      <c r="E669" s="9" t="s">
        <v>1158</v>
      </c>
      <c r="F669" s="9" t="s">
        <v>1159</v>
      </c>
      <c r="G669" s="10">
        <v>46041</v>
      </c>
      <c r="H669" s="10">
        <v>46060</v>
      </c>
      <c r="I669">
        <v>2.2000000000000002</v>
      </c>
      <c r="J669">
        <v>2.1</v>
      </c>
      <c r="K669" s="9" t="s">
        <v>1321</v>
      </c>
    </row>
    <row r="670" spans="1:11" x14ac:dyDescent="0.35">
      <c r="A670" s="9" t="s">
        <v>2130</v>
      </c>
      <c r="B670" s="9" t="s">
        <v>721</v>
      </c>
      <c r="C670" s="9" t="s">
        <v>46</v>
      </c>
      <c r="D670" s="9" t="s">
        <v>56</v>
      </c>
      <c r="E670" s="9" t="s">
        <v>1180</v>
      </c>
      <c r="F670" s="9" t="s">
        <v>1181</v>
      </c>
      <c r="G670" s="10">
        <v>45735</v>
      </c>
      <c r="H670" s="10">
        <v>45757</v>
      </c>
      <c r="I670">
        <v>6.2</v>
      </c>
      <c r="J670">
        <v>6.2</v>
      </c>
      <c r="K670" s="9" t="s">
        <v>1321</v>
      </c>
    </row>
    <row r="671" spans="1:11" x14ac:dyDescent="0.35">
      <c r="A671" s="9" t="s">
        <v>2131</v>
      </c>
      <c r="B671" s="9" t="s">
        <v>721</v>
      </c>
      <c r="C671" s="9" t="s">
        <v>46</v>
      </c>
      <c r="D671" s="9" t="s">
        <v>56</v>
      </c>
      <c r="E671" s="9" t="s">
        <v>1137</v>
      </c>
      <c r="F671" s="9" t="s">
        <v>1138</v>
      </c>
      <c r="G671" s="10">
        <v>45999</v>
      </c>
      <c r="H671" s="10">
        <v>46030</v>
      </c>
      <c r="I671">
        <v>18.899999999999999</v>
      </c>
      <c r="J671">
        <v>21</v>
      </c>
      <c r="K671" s="9" t="s">
        <v>1321</v>
      </c>
    </row>
    <row r="672" spans="1:11" x14ac:dyDescent="0.35">
      <c r="A672" s="9" t="s">
        <v>2132</v>
      </c>
      <c r="B672" s="9" t="s">
        <v>723</v>
      </c>
      <c r="C672" s="9" t="s">
        <v>55</v>
      </c>
      <c r="D672" s="9" t="s">
        <v>112</v>
      </c>
      <c r="E672" s="9" t="s">
        <v>1176</v>
      </c>
      <c r="F672" s="9" t="s">
        <v>1177</v>
      </c>
      <c r="G672" s="10">
        <v>45902</v>
      </c>
      <c r="H672" s="10">
        <v>45931</v>
      </c>
      <c r="I672">
        <v>13.5</v>
      </c>
      <c r="J672">
        <v>14.6</v>
      </c>
      <c r="K672" s="9" t="s">
        <v>1321</v>
      </c>
    </row>
    <row r="673" spans="1:11" x14ac:dyDescent="0.35">
      <c r="A673" s="9" t="s">
        <v>2133</v>
      </c>
      <c r="B673" s="9" t="s">
        <v>723</v>
      </c>
      <c r="C673" s="9" t="s">
        <v>55</v>
      </c>
      <c r="D673" s="9" t="s">
        <v>112</v>
      </c>
      <c r="E673" s="9" t="s">
        <v>1147</v>
      </c>
      <c r="F673" s="9" t="s">
        <v>1148</v>
      </c>
      <c r="G673" s="10">
        <v>46193</v>
      </c>
      <c r="H673" s="10">
        <v>46246</v>
      </c>
      <c r="I673">
        <v>12.2</v>
      </c>
      <c r="J673">
        <v>17</v>
      </c>
      <c r="K673" s="9" t="s">
        <v>1321</v>
      </c>
    </row>
    <row r="674" spans="1:11" x14ac:dyDescent="0.35">
      <c r="A674" s="9" t="s">
        <v>2134</v>
      </c>
      <c r="B674" s="9" t="s">
        <v>725</v>
      </c>
      <c r="C674" s="9" t="s">
        <v>46</v>
      </c>
      <c r="D674" s="9" t="s">
        <v>56</v>
      </c>
      <c r="E674" s="9" t="s">
        <v>1196</v>
      </c>
      <c r="F674" s="9" t="s">
        <v>1197</v>
      </c>
      <c r="G674" s="10">
        <v>45916</v>
      </c>
      <c r="H674" s="10">
        <v>45933</v>
      </c>
      <c r="I674">
        <v>27.5</v>
      </c>
      <c r="J674">
        <v>25.6</v>
      </c>
      <c r="K674" s="9" t="s">
        <v>1321</v>
      </c>
    </row>
    <row r="675" spans="1:11" x14ac:dyDescent="0.35">
      <c r="A675" s="9" t="s">
        <v>2135</v>
      </c>
      <c r="B675" s="9" t="s">
        <v>727</v>
      </c>
      <c r="C675" s="9" t="s">
        <v>46</v>
      </c>
      <c r="D675" s="9" t="s">
        <v>47</v>
      </c>
      <c r="E675" s="9" t="s">
        <v>1134</v>
      </c>
      <c r="F675" s="9" t="s">
        <v>1135</v>
      </c>
      <c r="G675" s="10">
        <v>45842</v>
      </c>
      <c r="H675" s="10">
        <v>45877</v>
      </c>
      <c r="I675">
        <v>33.799999999999997</v>
      </c>
      <c r="J675">
        <v>39.200000000000003</v>
      </c>
      <c r="K675" s="9" t="s">
        <v>1321</v>
      </c>
    </row>
    <row r="676" spans="1:11" x14ac:dyDescent="0.35">
      <c r="A676" s="9" t="s">
        <v>2136</v>
      </c>
      <c r="B676" s="9" t="s">
        <v>727</v>
      </c>
      <c r="C676" s="9" t="s">
        <v>46</v>
      </c>
      <c r="D676" s="9" t="s">
        <v>47</v>
      </c>
      <c r="E676" s="9" t="s">
        <v>1155</v>
      </c>
      <c r="F676" s="9" t="s">
        <v>1156</v>
      </c>
      <c r="G676" s="10">
        <v>46180</v>
      </c>
      <c r="H676" s="10">
        <v>46200</v>
      </c>
      <c r="I676">
        <v>29.3</v>
      </c>
      <c r="J676">
        <v>28.3</v>
      </c>
      <c r="K676" s="9" t="s">
        <v>1321</v>
      </c>
    </row>
    <row r="677" spans="1:11" x14ac:dyDescent="0.35">
      <c r="A677" s="9" t="s">
        <v>2137</v>
      </c>
      <c r="B677" s="9" t="s">
        <v>729</v>
      </c>
      <c r="C677" s="9" t="s">
        <v>46</v>
      </c>
      <c r="D677" s="9" t="s">
        <v>112</v>
      </c>
      <c r="E677" s="9" t="s">
        <v>1193</v>
      </c>
      <c r="F677" s="9" t="s">
        <v>1194</v>
      </c>
      <c r="G677" s="10">
        <v>46049</v>
      </c>
      <c r="H677" s="10">
        <v>46075</v>
      </c>
      <c r="I677">
        <v>27.6</v>
      </c>
      <c r="J677">
        <v>28.8</v>
      </c>
      <c r="K677" s="9" t="s">
        <v>1321</v>
      </c>
    </row>
    <row r="678" spans="1:11" x14ac:dyDescent="0.35">
      <c r="A678" s="9" t="s">
        <v>2138</v>
      </c>
      <c r="B678" s="9" t="s">
        <v>731</v>
      </c>
      <c r="C678" s="9" t="s">
        <v>46</v>
      </c>
      <c r="D678" s="9" t="s">
        <v>63</v>
      </c>
      <c r="E678" s="9" t="s">
        <v>1171</v>
      </c>
      <c r="F678" s="9" t="s">
        <v>1172</v>
      </c>
      <c r="G678" s="10">
        <v>46196</v>
      </c>
      <c r="H678" s="10">
        <v>46225</v>
      </c>
      <c r="I678">
        <v>13.5</v>
      </c>
      <c r="J678">
        <v>14.6</v>
      </c>
      <c r="K678" s="9" t="s">
        <v>1321</v>
      </c>
    </row>
    <row r="679" spans="1:11" x14ac:dyDescent="0.35">
      <c r="A679" s="9" t="s">
        <v>2139</v>
      </c>
      <c r="B679" s="9" t="s">
        <v>731</v>
      </c>
      <c r="C679" s="9" t="s">
        <v>46</v>
      </c>
      <c r="D679" s="9" t="s">
        <v>63</v>
      </c>
      <c r="E679" s="9" t="s">
        <v>1183</v>
      </c>
      <c r="F679" s="9" t="s">
        <v>1184</v>
      </c>
      <c r="G679" s="10">
        <v>46094</v>
      </c>
      <c r="H679" s="10">
        <v>46126</v>
      </c>
      <c r="I679">
        <v>13.1</v>
      </c>
      <c r="J679">
        <v>14.7</v>
      </c>
      <c r="K679" s="9" t="s">
        <v>1321</v>
      </c>
    </row>
    <row r="680" spans="1:11" x14ac:dyDescent="0.35">
      <c r="A680" s="9" t="s">
        <v>2140</v>
      </c>
      <c r="B680" s="9" t="s">
        <v>733</v>
      </c>
      <c r="C680" s="9" t="s">
        <v>55</v>
      </c>
      <c r="D680" s="9" t="s">
        <v>112</v>
      </c>
      <c r="E680" s="9" t="s">
        <v>1145</v>
      </c>
      <c r="F680" s="9" t="s">
        <v>1146</v>
      </c>
      <c r="G680" s="10">
        <v>45946</v>
      </c>
      <c r="H680" s="10">
        <v>45988</v>
      </c>
      <c r="I680">
        <v>16.399999999999999</v>
      </c>
      <c r="J680">
        <v>20.5</v>
      </c>
      <c r="K680" s="9" t="s">
        <v>1321</v>
      </c>
    </row>
    <row r="681" spans="1:11" x14ac:dyDescent="0.35">
      <c r="A681" s="9" t="s">
        <v>2141</v>
      </c>
      <c r="B681" s="9" t="s">
        <v>733</v>
      </c>
      <c r="C681" s="9" t="s">
        <v>55</v>
      </c>
      <c r="D681" s="9" t="s">
        <v>112</v>
      </c>
      <c r="E681" s="9" t="s">
        <v>1158</v>
      </c>
      <c r="F681" s="9" t="s">
        <v>1159</v>
      </c>
      <c r="G681" s="10">
        <v>45916</v>
      </c>
      <c r="H681" s="10">
        <v>45955</v>
      </c>
      <c r="I681">
        <v>32.200000000000003</v>
      </c>
      <c r="J681">
        <v>39.1</v>
      </c>
      <c r="K681" s="9" t="s">
        <v>1321</v>
      </c>
    </row>
    <row r="682" spans="1:11" x14ac:dyDescent="0.35">
      <c r="A682" s="9" t="s">
        <v>2142</v>
      </c>
      <c r="B682" s="9" t="s">
        <v>735</v>
      </c>
      <c r="C682" s="9" t="s">
        <v>46</v>
      </c>
      <c r="D682" s="9" t="s">
        <v>69</v>
      </c>
      <c r="E682" s="9" t="s">
        <v>1190</v>
      </c>
      <c r="F682" s="9" t="s">
        <v>1191</v>
      </c>
      <c r="G682" s="10">
        <v>45956</v>
      </c>
      <c r="H682" s="10">
        <v>45988</v>
      </c>
      <c r="I682">
        <v>8.3000000000000007</v>
      </c>
      <c r="J682">
        <v>9.4</v>
      </c>
      <c r="K682" s="9" t="s">
        <v>1321</v>
      </c>
    </row>
    <row r="683" spans="1:11" x14ac:dyDescent="0.35">
      <c r="A683" s="9" t="s">
        <v>2143</v>
      </c>
      <c r="B683" s="9" t="s">
        <v>735</v>
      </c>
      <c r="C683" s="9" t="s">
        <v>46</v>
      </c>
      <c r="D683" s="9" t="s">
        <v>69</v>
      </c>
      <c r="E683" s="9" t="s">
        <v>1137</v>
      </c>
      <c r="F683" s="9" t="s">
        <v>1138</v>
      </c>
      <c r="G683" s="10">
        <v>45896</v>
      </c>
      <c r="H683" s="10">
        <v>45939</v>
      </c>
      <c r="I683">
        <v>13</v>
      </c>
      <c r="J683">
        <v>16.600000000000001</v>
      </c>
      <c r="K683" s="9" t="s">
        <v>1321</v>
      </c>
    </row>
    <row r="684" spans="1:11" x14ac:dyDescent="0.35">
      <c r="A684" s="9" t="s">
        <v>2144</v>
      </c>
      <c r="B684" s="9" t="s">
        <v>737</v>
      </c>
      <c r="C684" s="9" t="s">
        <v>55</v>
      </c>
      <c r="D684" s="9" t="s">
        <v>80</v>
      </c>
      <c r="E684" s="9" t="s">
        <v>1143</v>
      </c>
      <c r="F684" s="9" t="s">
        <v>1144</v>
      </c>
      <c r="G684" s="10">
        <v>45732</v>
      </c>
      <c r="H684" s="10">
        <v>45781</v>
      </c>
      <c r="I684">
        <v>23.7</v>
      </c>
      <c r="J684">
        <v>31.9</v>
      </c>
      <c r="K684" s="9" t="s">
        <v>1321</v>
      </c>
    </row>
    <row r="685" spans="1:11" x14ac:dyDescent="0.35">
      <c r="A685" s="9" t="s">
        <v>2145</v>
      </c>
      <c r="B685" s="9" t="s">
        <v>737</v>
      </c>
      <c r="C685" s="9" t="s">
        <v>55</v>
      </c>
      <c r="D685" s="9" t="s">
        <v>80</v>
      </c>
      <c r="E685" s="9" t="s">
        <v>1211</v>
      </c>
      <c r="F685" s="9" t="s">
        <v>1212</v>
      </c>
      <c r="G685" s="10">
        <v>45745</v>
      </c>
      <c r="H685" s="10">
        <v>45765</v>
      </c>
      <c r="I685">
        <v>4.2</v>
      </c>
      <c r="J685">
        <v>4.0999999999999996</v>
      </c>
      <c r="K685" s="9" t="s">
        <v>1321</v>
      </c>
    </row>
    <row r="686" spans="1:11" x14ac:dyDescent="0.35">
      <c r="A686" s="9" t="s">
        <v>2146</v>
      </c>
      <c r="B686" s="9" t="s">
        <v>737</v>
      </c>
      <c r="C686" s="9" t="s">
        <v>55</v>
      </c>
      <c r="D686" s="9" t="s">
        <v>80</v>
      </c>
      <c r="E686" s="9" t="s">
        <v>1152</v>
      </c>
      <c r="F686" s="9" t="s">
        <v>1153</v>
      </c>
      <c r="G686" s="10">
        <v>45882</v>
      </c>
      <c r="H686" s="10">
        <v>45918</v>
      </c>
      <c r="I686">
        <v>17</v>
      </c>
      <c r="J686">
        <v>20.100000000000001</v>
      </c>
      <c r="K686" s="9" t="s">
        <v>1321</v>
      </c>
    </row>
    <row r="687" spans="1:11" x14ac:dyDescent="0.35">
      <c r="A687" s="9" t="s">
        <v>2147</v>
      </c>
      <c r="B687" s="9" t="s">
        <v>739</v>
      </c>
      <c r="C687" s="9" t="s">
        <v>55</v>
      </c>
      <c r="D687" s="9" t="s">
        <v>56</v>
      </c>
      <c r="E687" s="9" t="s">
        <v>1180</v>
      </c>
      <c r="F687" s="9" t="s">
        <v>1181</v>
      </c>
      <c r="G687" s="10">
        <v>45934</v>
      </c>
      <c r="H687" s="10">
        <v>45986</v>
      </c>
      <c r="I687">
        <v>10.4</v>
      </c>
      <c r="J687">
        <v>14.3</v>
      </c>
      <c r="K687" s="9" t="s">
        <v>1321</v>
      </c>
    </row>
    <row r="688" spans="1:11" x14ac:dyDescent="0.35">
      <c r="A688" s="9" t="s">
        <v>2148</v>
      </c>
      <c r="B688" s="9" t="s">
        <v>739</v>
      </c>
      <c r="C688" s="9" t="s">
        <v>55</v>
      </c>
      <c r="D688" s="9" t="s">
        <v>56</v>
      </c>
      <c r="E688" s="9" t="s">
        <v>1183</v>
      </c>
      <c r="F688" s="9" t="s">
        <v>1184</v>
      </c>
      <c r="G688" s="10">
        <v>45921</v>
      </c>
      <c r="H688" s="10">
        <v>45970</v>
      </c>
      <c r="I688">
        <v>9.6</v>
      </c>
      <c r="J688">
        <v>13</v>
      </c>
      <c r="K688" s="9" t="s">
        <v>1321</v>
      </c>
    </row>
    <row r="689" spans="1:11" x14ac:dyDescent="0.35">
      <c r="A689" s="9" t="s">
        <v>2149</v>
      </c>
      <c r="B689" s="9" t="s">
        <v>741</v>
      </c>
      <c r="C689" s="9" t="s">
        <v>46</v>
      </c>
      <c r="D689" s="9" t="s">
        <v>80</v>
      </c>
      <c r="E689" s="9" t="s">
        <v>1196</v>
      </c>
      <c r="F689" s="9" t="s">
        <v>1197</v>
      </c>
      <c r="G689" s="10">
        <v>45909</v>
      </c>
      <c r="H689" s="10">
        <v>45929</v>
      </c>
      <c r="I689">
        <v>25.8</v>
      </c>
      <c r="J689">
        <v>25.3</v>
      </c>
      <c r="K689" s="9" t="s">
        <v>1321</v>
      </c>
    </row>
    <row r="690" spans="1:11" x14ac:dyDescent="0.35">
      <c r="A690" s="9" t="s">
        <v>2150</v>
      </c>
      <c r="B690" s="9" t="s">
        <v>741</v>
      </c>
      <c r="C690" s="9" t="s">
        <v>46</v>
      </c>
      <c r="D690" s="9" t="s">
        <v>80</v>
      </c>
      <c r="E690" s="9" t="s">
        <v>1155</v>
      </c>
      <c r="F690" s="9" t="s">
        <v>1156</v>
      </c>
      <c r="G690" s="10">
        <v>45724</v>
      </c>
      <c r="H690" s="10">
        <v>45749</v>
      </c>
      <c r="I690">
        <v>33.1</v>
      </c>
      <c r="J690">
        <v>34.299999999999997</v>
      </c>
      <c r="K690" s="9" t="s">
        <v>1321</v>
      </c>
    </row>
    <row r="691" spans="1:11" x14ac:dyDescent="0.35">
      <c r="A691" s="9" t="s">
        <v>2151</v>
      </c>
      <c r="B691" s="9" t="s">
        <v>741</v>
      </c>
      <c r="C691" s="9" t="s">
        <v>46</v>
      </c>
      <c r="D691" s="9" t="s">
        <v>80</v>
      </c>
      <c r="E691" s="9" t="s">
        <v>1147</v>
      </c>
      <c r="F691" s="9" t="s">
        <v>1148</v>
      </c>
      <c r="G691" s="10">
        <v>45739</v>
      </c>
      <c r="H691" s="10">
        <v>45754</v>
      </c>
      <c r="I691">
        <v>3.4</v>
      </c>
      <c r="J691">
        <v>3.1</v>
      </c>
      <c r="K691" s="9" t="s">
        <v>1321</v>
      </c>
    </row>
    <row r="692" spans="1:11" x14ac:dyDescent="0.35">
      <c r="A692" s="9" t="s">
        <v>2152</v>
      </c>
      <c r="B692" s="9" t="s">
        <v>743</v>
      </c>
      <c r="C692" s="9" t="s">
        <v>62</v>
      </c>
      <c r="D692" s="9" t="s">
        <v>80</v>
      </c>
      <c r="E692" s="9" t="s">
        <v>1190</v>
      </c>
      <c r="F692" s="9" t="s">
        <v>1191</v>
      </c>
      <c r="G692" s="10">
        <v>46144</v>
      </c>
      <c r="H692" s="10">
        <v>46176</v>
      </c>
      <c r="I692">
        <v>35</v>
      </c>
      <c r="J692">
        <v>39.299999999999997</v>
      </c>
      <c r="K692" s="9" t="s">
        <v>1321</v>
      </c>
    </row>
    <row r="693" spans="1:11" x14ac:dyDescent="0.35">
      <c r="A693" s="9" t="s">
        <v>2153</v>
      </c>
      <c r="B693" s="9" t="s">
        <v>743</v>
      </c>
      <c r="C693" s="9" t="s">
        <v>62</v>
      </c>
      <c r="D693" s="9" t="s">
        <v>80</v>
      </c>
      <c r="E693" s="9" t="s">
        <v>1190</v>
      </c>
      <c r="F693" s="9" t="s">
        <v>1191</v>
      </c>
      <c r="G693" s="10">
        <v>45916</v>
      </c>
      <c r="H693" s="10">
        <v>45972</v>
      </c>
      <c r="I693">
        <v>29.8</v>
      </c>
      <c r="J693">
        <v>42.6</v>
      </c>
      <c r="K693" s="9" t="s">
        <v>1321</v>
      </c>
    </row>
    <row r="694" spans="1:11" x14ac:dyDescent="0.35">
      <c r="A694" s="9" t="s">
        <v>2154</v>
      </c>
      <c r="B694" s="9" t="s">
        <v>743</v>
      </c>
      <c r="C694" s="9" t="s">
        <v>62</v>
      </c>
      <c r="D694" s="9" t="s">
        <v>80</v>
      </c>
      <c r="E694" s="9" t="s">
        <v>1143</v>
      </c>
      <c r="F694" s="9" t="s">
        <v>1144</v>
      </c>
      <c r="G694" s="10">
        <v>45735</v>
      </c>
      <c r="H694" s="10">
        <v>45778</v>
      </c>
      <c r="I694">
        <v>4.2</v>
      </c>
      <c r="J694">
        <v>5.3</v>
      </c>
      <c r="K694" s="9" t="s">
        <v>1321</v>
      </c>
    </row>
    <row r="695" spans="1:11" x14ac:dyDescent="0.35">
      <c r="A695" s="9" t="s">
        <v>2155</v>
      </c>
      <c r="B695" s="9" t="s">
        <v>745</v>
      </c>
      <c r="C695" s="9" t="s">
        <v>55</v>
      </c>
      <c r="D695" s="9" t="s">
        <v>56</v>
      </c>
      <c r="E695" s="9" t="s">
        <v>1145</v>
      </c>
      <c r="F695" s="9" t="s">
        <v>1146</v>
      </c>
      <c r="G695" s="10">
        <v>45764</v>
      </c>
      <c r="H695" s="10"/>
      <c r="I695">
        <v>8.6</v>
      </c>
      <c r="K695" s="9" t="s">
        <v>1473</v>
      </c>
    </row>
    <row r="696" spans="1:11" x14ac:dyDescent="0.35">
      <c r="A696" s="9" t="s">
        <v>2156</v>
      </c>
      <c r="B696" s="9" t="s">
        <v>745</v>
      </c>
      <c r="C696" s="9" t="s">
        <v>55</v>
      </c>
      <c r="D696" s="9" t="s">
        <v>56</v>
      </c>
      <c r="E696" s="9" t="s">
        <v>1196</v>
      </c>
      <c r="F696" s="9" t="s">
        <v>1197</v>
      </c>
      <c r="G696" s="10">
        <v>45832</v>
      </c>
      <c r="H696" s="10">
        <v>45887</v>
      </c>
      <c r="I696">
        <v>22</v>
      </c>
      <c r="J696">
        <v>31.4</v>
      </c>
      <c r="K696" s="9" t="s">
        <v>1321</v>
      </c>
    </row>
    <row r="697" spans="1:11" x14ac:dyDescent="0.35">
      <c r="A697" s="9" t="s">
        <v>2157</v>
      </c>
      <c r="B697" s="9" t="s">
        <v>747</v>
      </c>
      <c r="C697" s="9" t="s">
        <v>46</v>
      </c>
      <c r="D697" s="9" t="s">
        <v>112</v>
      </c>
      <c r="E697" s="9" t="s">
        <v>1167</v>
      </c>
      <c r="F697" s="9" t="s">
        <v>1168</v>
      </c>
      <c r="G697" s="10">
        <v>45970</v>
      </c>
      <c r="H697" s="10">
        <v>46024</v>
      </c>
      <c r="I697">
        <v>32.9</v>
      </c>
      <c r="J697">
        <v>46.4</v>
      </c>
      <c r="K697" s="9" t="s">
        <v>1321</v>
      </c>
    </row>
    <row r="698" spans="1:11" x14ac:dyDescent="0.35">
      <c r="A698" s="9" t="s">
        <v>2158</v>
      </c>
      <c r="B698" s="9" t="s">
        <v>747</v>
      </c>
      <c r="C698" s="9" t="s">
        <v>46</v>
      </c>
      <c r="D698" s="9" t="s">
        <v>112</v>
      </c>
      <c r="E698" s="9" t="s">
        <v>1143</v>
      </c>
      <c r="F698" s="9" t="s">
        <v>1144</v>
      </c>
      <c r="G698" s="10">
        <v>45674</v>
      </c>
      <c r="H698" s="10">
        <v>45682</v>
      </c>
      <c r="I698">
        <v>32.200000000000003</v>
      </c>
      <c r="J698">
        <v>26.4</v>
      </c>
      <c r="K698" s="9" t="s">
        <v>1321</v>
      </c>
    </row>
    <row r="699" spans="1:11" x14ac:dyDescent="0.35">
      <c r="A699" s="9" t="s">
        <v>2159</v>
      </c>
      <c r="B699" s="9" t="s">
        <v>747</v>
      </c>
      <c r="C699" s="9" t="s">
        <v>46</v>
      </c>
      <c r="D699" s="9" t="s">
        <v>112</v>
      </c>
      <c r="E699" s="9" t="s">
        <v>1158</v>
      </c>
      <c r="F699" s="9" t="s">
        <v>1159</v>
      </c>
      <c r="G699" s="10">
        <v>45964</v>
      </c>
      <c r="H699" s="10">
        <v>46008</v>
      </c>
      <c r="I699">
        <v>34.299999999999997</v>
      </c>
      <c r="J699">
        <v>44</v>
      </c>
      <c r="K699" s="9" t="s">
        <v>1321</v>
      </c>
    </row>
    <row r="700" spans="1:11" x14ac:dyDescent="0.35">
      <c r="A700" s="9" t="s">
        <v>2160</v>
      </c>
      <c r="B700" s="9" t="s">
        <v>749</v>
      </c>
      <c r="C700" s="9" t="s">
        <v>46</v>
      </c>
      <c r="D700" s="9" t="s">
        <v>112</v>
      </c>
      <c r="E700" s="9" t="s">
        <v>1167</v>
      </c>
      <c r="F700" s="9" t="s">
        <v>1168</v>
      </c>
      <c r="G700" s="10">
        <v>46123</v>
      </c>
      <c r="H700" s="10">
        <v>46155</v>
      </c>
      <c r="I700">
        <v>27.1</v>
      </c>
      <c r="J700">
        <v>30.4</v>
      </c>
      <c r="K700" s="9" t="s">
        <v>1321</v>
      </c>
    </row>
    <row r="701" spans="1:11" x14ac:dyDescent="0.35">
      <c r="A701" s="9" t="s">
        <v>2161</v>
      </c>
      <c r="B701" s="9" t="s">
        <v>749</v>
      </c>
      <c r="C701" s="9" t="s">
        <v>46</v>
      </c>
      <c r="D701" s="9" t="s">
        <v>112</v>
      </c>
      <c r="E701" s="9" t="s">
        <v>1143</v>
      </c>
      <c r="F701" s="9" t="s">
        <v>1144</v>
      </c>
      <c r="G701" s="10">
        <v>46119</v>
      </c>
      <c r="H701" s="10">
        <v>46157</v>
      </c>
      <c r="I701">
        <v>33</v>
      </c>
      <c r="J701">
        <v>39.700000000000003</v>
      </c>
      <c r="K701" s="9" t="s">
        <v>1321</v>
      </c>
    </row>
    <row r="702" spans="1:11" x14ac:dyDescent="0.35">
      <c r="A702" s="9" t="s">
        <v>2162</v>
      </c>
      <c r="B702" s="9" t="s">
        <v>749</v>
      </c>
      <c r="C702" s="9" t="s">
        <v>46</v>
      </c>
      <c r="D702" s="9" t="s">
        <v>112</v>
      </c>
      <c r="E702" s="9" t="s">
        <v>1183</v>
      </c>
      <c r="F702" s="9" t="s">
        <v>1184</v>
      </c>
      <c r="G702" s="10">
        <v>45784</v>
      </c>
      <c r="H702" s="10">
        <v>45794</v>
      </c>
      <c r="I702">
        <v>13.9</v>
      </c>
      <c r="J702">
        <v>11.7</v>
      </c>
      <c r="K702" s="9" t="s">
        <v>1321</v>
      </c>
    </row>
    <row r="703" spans="1:11" x14ac:dyDescent="0.35">
      <c r="A703" s="9" t="s">
        <v>2163</v>
      </c>
      <c r="B703" s="9" t="s">
        <v>751</v>
      </c>
      <c r="C703" s="9" t="s">
        <v>46</v>
      </c>
      <c r="D703" s="9" t="s">
        <v>80</v>
      </c>
      <c r="E703" s="9" t="s">
        <v>1145</v>
      </c>
      <c r="F703" s="9" t="s">
        <v>1146</v>
      </c>
      <c r="G703" s="10">
        <v>46073</v>
      </c>
      <c r="H703" s="10">
        <v>46089</v>
      </c>
      <c r="I703">
        <v>16.2</v>
      </c>
      <c r="J703">
        <v>15</v>
      </c>
      <c r="K703" s="9" t="s">
        <v>1321</v>
      </c>
    </row>
    <row r="704" spans="1:11" x14ac:dyDescent="0.35">
      <c r="A704" s="9" t="s">
        <v>2164</v>
      </c>
      <c r="B704" s="9" t="s">
        <v>751</v>
      </c>
      <c r="C704" s="9" t="s">
        <v>46</v>
      </c>
      <c r="D704" s="9" t="s">
        <v>80</v>
      </c>
      <c r="E704" s="9" t="s">
        <v>1188</v>
      </c>
      <c r="F704" s="9" t="s">
        <v>1189</v>
      </c>
      <c r="G704" s="10">
        <v>45670</v>
      </c>
      <c r="H704" s="10">
        <v>45714</v>
      </c>
      <c r="I704">
        <v>18.8</v>
      </c>
      <c r="J704">
        <v>24.1</v>
      </c>
      <c r="K704" s="9" t="s">
        <v>1321</v>
      </c>
    </row>
    <row r="705" spans="1:11" x14ac:dyDescent="0.35">
      <c r="A705" s="9" t="s">
        <v>2165</v>
      </c>
      <c r="B705" s="9" t="s">
        <v>751</v>
      </c>
      <c r="C705" s="9" t="s">
        <v>46</v>
      </c>
      <c r="D705" s="9" t="s">
        <v>80</v>
      </c>
      <c r="E705" s="9" t="s">
        <v>1183</v>
      </c>
      <c r="F705" s="9" t="s">
        <v>1184</v>
      </c>
      <c r="G705" s="10">
        <v>45740</v>
      </c>
      <c r="H705" s="10">
        <v>45762</v>
      </c>
      <c r="I705">
        <v>27.2</v>
      </c>
      <c r="J705">
        <v>27.2</v>
      </c>
      <c r="K705" s="9" t="s">
        <v>1321</v>
      </c>
    </row>
    <row r="706" spans="1:11" x14ac:dyDescent="0.35">
      <c r="A706" s="9" t="s">
        <v>2166</v>
      </c>
      <c r="B706" s="9" t="s">
        <v>753</v>
      </c>
      <c r="C706" s="9" t="s">
        <v>46</v>
      </c>
      <c r="D706" s="9" t="s">
        <v>63</v>
      </c>
      <c r="E706" s="9" t="s">
        <v>1167</v>
      </c>
      <c r="F706" s="9" t="s">
        <v>1168</v>
      </c>
      <c r="G706" s="10">
        <v>46055</v>
      </c>
      <c r="H706" s="10">
        <v>46105</v>
      </c>
      <c r="I706">
        <v>8</v>
      </c>
      <c r="J706">
        <v>10.8</v>
      </c>
      <c r="K706" s="9" t="s">
        <v>1321</v>
      </c>
    </row>
    <row r="707" spans="1:11" x14ac:dyDescent="0.35">
      <c r="A707" s="9" t="s">
        <v>2167</v>
      </c>
      <c r="B707" s="9" t="s">
        <v>753</v>
      </c>
      <c r="C707" s="9" t="s">
        <v>46</v>
      </c>
      <c r="D707" s="9" t="s">
        <v>63</v>
      </c>
      <c r="E707" s="9" t="s">
        <v>1155</v>
      </c>
      <c r="F707" s="9" t="s">
        <v>1156</v>
      </c>
      <c r="G707" s="10">
        <v>45721</v>
      </c>
      <c r="H707" s="10">
        <v>45738</v>
      </c>
      <c r="I707">
        <v>17.8</v>
      </c>
      <c r="J707">
        <v>16.600000000000001</v>
      </c>
      <c r="K707" s="9" t="s">
        <v>1321</v>
      </c>
    </row>
    <row r="708" spans="1:11" x14ac:dyDescent="0.35">
      <c r="A708" s="9" t="s">
        <v>2168</v>
      </c>
      <c r="B708" s="9" t="s">
        <v>753</v>
      </c>
      <c r="C708" s="9" t="s">
        <v>46</v>
      </c>
      <c r="D708" s="9" t="s">
        <v>63</v>
      </c>
      <c r="E708" s="9" t="s">
        <v>1152</v>
      </c>
      <c r="F708" s="9" t="s">
        <v>1153</v>
      </c>
      <c r="G708" s="10">
        <v>45961</v>
      </c>
      <c r="H708" s="10">
        <v>45999</v>
      </c>
      <c r="I708">
        <v>19.600000000000001</v>
      </c>
      <c r="J708">
        <v>23.4</v>
      </c>
      <c r="K708" s="9" t="s">
        <v>1321</v>
      </c>
    </row>
    <row r="709" spans="1:11" x14ac:dyDescent="0.35">
      <c r="A709" s="9" t="s">
        <v>2169</v>
      </c>
      <c r="B709" s="9" t="s">
        <v>755</v>
      </c>
      <c r="C709" s="9" t="s">
        <v>55</v>
      </c>
      <c r="D709" s="9" t="s">
        <v>112</v>
      </c>
      <c r="E709" s="9" t="s">
        <v>1139</v>
      </c>
      <c r="F709" s="9" t="s">
        <v>1140</v>
      </c>
      <c r="G709" s="10">
        <v>46104</v>
      </c>
      <c r="H709" s="10">
        <v>46131</v>
      </c>
      <c r="I709">
        <v>32</v>
      </c>
      <c r="J709">
        <v>33.9</v>
      </c>
      <c r="K709" s="9" t="s">
        <v>1321</v>
      </c>
    </row>
    <row r="710" spans="1:11" x14ac:dyDescent="0.35">
      <c r="A710" s="9" t="s">
        <v>2170</v>
      </c>
      <c r="B710" s="9" t="s">
        <v>755</v>
      </c>
      <c r="C710" s="9" t="s">
        <v>55</v>
      </c>
      <c r="D710" s="9" t="s">
        <v>112</v>
      </c>
      <c r="E710" s="9" t="s">
        <v>1171</v>
      </c>
      <c r="F710" s="9" t="s">
        <v>1172</v>
      </c>
      <c r="G710" s="10">
        <v>45909</v>
      </c>
      <c r="H710" s="10">
        <v>45964</v>
      </c>
      <c r="I710">
        <v>27.7</v>
      </c>
      <c r="J710">
        <v>39.299999999999997</v>
      </c>
      <c r="K710" s="9" t="s">
        <v>1321</v>
      </c>
    </row>
    <row r="711" spans="1:11" x14ac:dyDescent="0.35">
      <c r="A711" s="9" t="s">
        <v>2171</v>
      </c>
      <c r="B711" s="9" t="s">
        <v>755</v>
      </c>
      <c r="C711" s="9" t="s">
        <v>55</v>
      </c>
      <c r="D711" s="9" t="s">
        <v>112</v>
      </c>
      <c r="E711" s="9" t="s">
        <v>1167</v>
      </c>
      <c r="F711" s="9" t="s">
        <v>1168</v>
      </c>
      <c r="G711" s="10">
        <v>45872</v>
      </c>
      <c r="H711" s="10"/>
      <c r="I711">
        <v>23.1</v>
      </c>
      <c r="K711" s="9" t="s">
        <v>1473</v>
      </c>
    </row>
    <row r="712" spans="1:11" x14ac:dyDescent="0.35">
      <c r="A712" s="9" t="s">
        <v>2172</v>
      </c>
      <c r="B712" s="9" t="s">
        <v>757</v>
      </c>
      <c r="C712" s="9" t="s">
        <v>46</v>
      </c>
      <c r="D712" s="9" t="s">
        <v>80</v>
      </c>
      <c r="E712" s="9" t="s">
        <v>1143</v>
      </c>
      <c r="F712" s="9" t="s">
        <v>1144</v>
      </c>
      <c r="G712" s="10">
        <v>46177</v>
      </c>
      <c r="H712" s="10"/>
      <c r="I712">
        <v>3.6</v>
      </c>
      <c r="K712" s="9" t="s">
        <v>1473</v>
      </c>
    </row>
    <row r="713" spans="1:11" x14ac:dyDescent="0.35">
      <c r="A713" s="9" t="s">
        <v>2173</v>
      </c>
      <c r="B713" s="9" t="s">
        <v>757</v>
      </c>
      <c r="C713" s="9" t="s">
        <v>46</v>
      </c>
      <c r="D713" s="9" t="s">
        <v>80</v>
      </c>
      <c r="E713" s="9" t="s">
        <v>1137</v>
      </c>
      <c r="F713" s="9" t="s">
        <v>1138</v>
      </c>
      <c r="G713" s="10">
        <v>45913</v>
      </c>
      <c r="H713" s="10">
        <v>45941</v>
      </c>
      <c r="I713">
        <v>34.700000000000003</v>
      </c>
      <c r="J713">
        <v>37.299999999999997</v>
      </c>
      <c r="K713" s="9" t="s">
        <v>1321</v>
      </c>
    </row>
    <row r="714" spans="1:11" x14ac:dyDescent="0.35">
      <c r="A714" s="9" t="s">
        <v>2174</v>
      </c>
      <c r="B714" s="9" t="s">
        <v>759</v>
      </c>
      <c r="C714" s="9" t="s">
        <v>55</v>
      </c>
      <c r="D714" s="9" t="s">
        <v>93</v>
      </c>
      <c r="E714" s="9" t="s">
        <v>1137</v>
      </c>
      <c r="F714" s="9" t="s">
        <v>1138</v>
      </c>
      <c r="G714" s="10">
        <v>45843</v>
      </c>
      <c r="H714" s="10">
        <v>45851</v>
      </c>
      <c r="I714">
        <v>6.1</v>
      </c>
      <c r="J714">
        <v>5</v>
      </c>
      <c r="K714" s="9" t="s">
        <v>1321</v>
      </c>
    </row>
    <row r="715" spans="1:11" x14ac:dyDescent="0.35">
      <c r="A715" s="9" t="s">
        <v>2175</v>
      </c>
      <c r="B715" s="9" t="s">
        <v>759</v>
      </c>
      <c r="C715" s="9" t="s">
        <v>55</v>
      </c>
      <c r="D715" s="9" t="s">
        <v>93</v>
      </c>
      <c r="E715" s="9" t="s">
        <v>1143</v>
      </c>
      <c r="F715" s="9" t="s">
        <v>1144</v>
      </c>
      <c r="G715" s="10">
        <v>46192</v>
      </c>
      <c r="H715" s="10">
        <v>46226</v>
      </c>
      <c r="I715">
        <v>27.8</v>
      </c>
      <c r="J715">
        <v>32.1</v>
      </c>
      <c r="K715" s="9" t="s">
        <v>1321</v>
      </c>
    </row>
    <row r="716" spans="1:11" x14ac:dyDescent="0.35">
      <c r="A716" s="9" t="s">
        <v>2176</v>
      </c>
      <c r="B716" s="9" t="s">
        <v>759</v>
      </c>
      <c r="C716" s="9" t="s">
        <v>55</v>
      </c>
      <c r="D716" s="9" t="s">
        <v>93</v>
      </c>
      <c r="E716" s="9" t="s">
        <v>1145</v>
      </c>
      <c r="F716" s="9" t="s">
        <v>1146</v>
      </c>
      <c r="G716" s="10">
        <v>45904</v>
      </c>
      <c r="H716" s="10">
        <v>45923</v>
      </c>
      <c r="I716">
        <v>2.2999999999999998</v>
      </c>
      <c r="J716">
        <v>2.2000000000000002</v>
      </c>
      <c r="K716" s="9" t="s">
        <v>1321</v>
      </c>
    </row>
    <row r="717" spans="1:11" x14ac:dyDescent="0.35">
      <c r="A717" s="9" t="s">
        <v>2177</v>
      </c>
      <c r="B717" s="9" t="s">
        <v>761</v>
      </c>
      <c r="C717" s="9" t="s">
        <v>46</v>
      </c>
      <c r="D717" s="9" t="s">
        <v>76</v>
      </c>
      <c r="E717" s="9" t="s">
        <v>1188</v>
      </c>
      <c r="F717" s="9" t="s">
        <v>1189</v>
      </c>
      <c r="G717" s="10">
        <v>45698</v>
      </c>
      <c r="H717" s="10">
        <v>45703</v>
      </c>
      <c r="I717">
        <v>32.5</v>
      </c>
      <c r="J717">
        <v>25.2</v>
      </c>
      <c r="K717" s="9" t="s">
        <v>1321</v>
      </c>
    </row>
    <row r="718" spans="1:11" x14ac:dyDescent="0.35">
      <c r="A718" s="9" t="s">
        <v>2178</v>
      </c>
      <c r="B718" s="9" t="s">
        <v>761</v>
      </c>
      <c r="C718" s="9" t="s">
        <v>46</v>
      </c>
      <c r="D718" s="9" t="s">
        <v>76</v>
      </c>
      <c r="E718" s="9" t="s">
        <v>1183</v>
      </c>
      <c r="F718" s="9" t="s">
        <v>1184</v>
      </c>
      <c r="G718" s="10">
        <v>45915</v>
      </c>
      <c r="H718" s="10">
        <v>45931</v>
      </c>
      <c r="I718">
        <v>14.9</v>
      </c>
      <c r="J718">
        <v>13.7</v>
      </c>
      <c r="K718" s="9" t="s">
        <v>1321</v>
      </c>
    </row>
    <row r="719" spans="1:11" x14ac:dyDescent="0.35">
      <c r="A719" s="9" t="s">
        <v>2179</v>
      </c>
      <c r="B719" s="9" t="s">
        <v>761</v>
      </c>
      <c r="C719" s="9" t="s">
        <v>46</v>
      </c>
      <c r="D719" s="9" t="s">
        <v>76</v>
      </c>
      <c r="E719" s="9" t="s">
        <v>1193</v>
      </c>
      <c r="F719" s="9" t="s">
        <v>1194</v>
      </c>
      <c r="G719" s="10">
        <v>46163</v>
      </c>
      <c r="H719" s="10">
        <v>46169</v>
      </c>
      <c r="I719">
        <v>17.5</v>
      </c>
      <c r="J719">
        <v>14</v>
      </c>
      <c r="K719" s="9" t="s">
        <v>1321</v>
      </c>
    </row>
    <row r="720" spans="1:11" x14ac:dyDescent="0.35">
      <c r="A720" s="9" t="s">
        <v>2180</v>
      </c>
      <c r="B720" s="9" t="s">
        <v>763</v>
      </c>
      <c r="C720" s="9" t="s">
        <v>46</v>
      </c>
      <c r="D720" s="9" t="s">
        <v>56</v>
      </c>
      <c r="E720" s="9" t="s">
        <v>1190</v>
      </c>
      <c r="F720" s="9" t="s">
        <v>1191</v>
      </c>
      <c r="G720" s="10">
        <v>45805</v>
      </c>
      <c r="H720" s="10">
        <v>45825</v>
      </c>
      <c r="I720">
        <v>32.799999999999997</v>
      </c>
      <c r="J720">
        <v>32</v>
      </c>
      <c r="K720" s="9" t="s">
        <v>1321</v>
      </c>
    </row>
    <row r="721" spans="1:11" x14ac:dyDescent="0.35">
      <c r="A721" s="9" t="s">
        <v>2181</v>
      </c>
      <c r="B721" s="9" t="s">
        <v>763</v>
      </c>
      <c r="C721" s="9" t="s">
        <v>46</v>
      </c>
      <c r="D721" s="9" t="s">
        <v>56</v>
      </c>
      <c r="E721" s="9" t="s">
        <v>1152</v>
      </c>
      <c r="F721" s="9" t="s">
        <v>1153</v>
      </c>
      <c r="G721" s="10">
        <v>46056</v>
      </c>
      <c r="H721" s="10">
        <v>46095</v>
      </c>
      <c r="I721">
        <v>5.6</v>
      </c>
      <c r="J721">
        <v>6.8</v>
      </c>
      <c r="K721" s="9" t="s">
        <v>1321</v>
      </c>
    </row>
    <row r="722" spans="1:11" x14ac:dyDescent="0.35">
      <c r="A722" s="9" t="s">
        <v>2182</v>
      </c>
      <c r="B722" s="9" t="s">
        <v>765</v>
      </c>
      <c r="C722" s="9" t="s">
        <v>62</v>
      </c>
      <c r="D722" s="9" t="s">
        <v>47</v>
      </c>
      <c r="E722" s="9" t="s">
        <v>1137</v>
      </c>
      <c r="F722" s="9" t="s">
        <v>1138</v>
      </c>
      <c r="G722" s="10">
        <v>45726</v>
      </c>
      <c r="H722" s="10">
        <v>45729</v>
      </c>
      <c r="I722">
        <v>6.2</v>
      </c>
      <c r="J722">
        <v>4.5999999999999996</v>
      </c>
      <c r="K722" s="9" t="s">
        <v>1321</v>
      </c>
    </row>
    <row r="723" spans="1:11" x14ac:dyDescent="0.35">
      <c r="A723" s="9" t="s">
        <v>2183</v>
      </c>
      <c r="B723" s="9" t="s">
        <v>767</v>
      </c>
      <c r="C723" s="9" t="s">
        <v>46</v>
      </c>
      <c r="D723" s="9" t="s">
        <v>112</v>
      </c>
      <c r="E723" s="9" t="s">
        <v>1176</v>
      </c>
      <c r="F723" s="9" t="s">
        <v>1177</v>
      </c>
      <c r="G723" s="10">
        <v>46180</v>
      </c>
      <c r="H723" s="10">
        <v>46208</v>
      </c>
      <c r="I723">
        <v>7.4</v>
      </c>
      <c r="J723">
        <v>8</v>
      </c>
      <c r="K723" s="9" t="s">
        <v>1321</v>
      </c>
    </row>
    <row r="724" spans="1:11" x14ac:dyDescent="0.35">
      <c r="A724" s="9" t="s">
        <v>2184</v>
      </c>
      <c r="B724" s="9" t="s">
        <v>767</v>
      </c>
      <c r="C724" s="9" t="s">
        <v>46</v>
      </c>
      <c r="D724" s="9" t="s">
        <v>112</v>
      </c>
      <c r="E724" s="9" t="s">
        <v>1158</v>
      </c>
      <c r="F724" s="9" t="s">
        <v>1159</v>
      </c>
      <c r="G724" s="10">
        <v>46175</v>
      </c>
      <c r="H724" s="10">
        <v>46188</v>
      </c>
      <c r="I724">
        <v>5</v>
      </c>
      <c r="J724">
        <v>4.4000000000000004</v>
      </c>
      <c r="K724" s="9" t="s">
        <v>1321</v>
      </c>
    </row>
    <row r="725" spans="1:11" x14ac:dyDescent="0.35">
      <c r="A725" s="9" t="s">
        <v>2185</v>
      </c>
      <c r="B725" s="9" t="s">
        <v>769</v>
      </c>
      <c r="C725" s="9" t="s">
        <v>46</v>
      </c>
      <c r="D725" s="9" t="s">
        <v>47</v>
      </c>
      <c r="E725" s="9" t="s">
        <v>1167</v>
      </c>
      <c r="F725" s="9" t="s">
        <v>1168</v>
      </c>
      <c r="G725" s="10">
        <v>46191</v>
      </c>
      <c r="H725" s="10"/>
      <c r="I725">
        <v>30.2</v>
      </c>
      <c r="K725" s="9" t="s">
        <v>1325</v>
      </c>
    </row>
    <row r="726" spans="1:11" x14ac:dyDescent="0.35">
      <c r="A726" s="9" t="s">
        <v>2186</v>
      </c>
      <c r="B726" s="9" t="s">
        <v>769</v>
      </c>
      <c r="C726" s="9" t="s">
        <v>46</v>
      </c>
      <c r="D726" s="9" t="s">
        <v>47</v>
      </c>
      <c r="E726" s="9" t="s">
        <v>1193</v>
      </c>
      <c r="F726" s="9" t="s">
        <v>1194</v>
      </c>
      <c r="G726" s="10">
        <v>45756</v>
      </c>
      <c r="H726" s="10">
        <v>45782</v>
      </c>
      <c r="I726">
        <v>4.3</v>
      </c>
      <c r="J726">
        <v>4.5</v>
      </c>
      <c r="K726" s="9" t="s">
        <v>1321</v>
      </c>
    </row>
    <row r="727" spans="1:11" x14ac:dyDescent="0.35">
      <c r="A727" s="9" t="s">
        <v>2187</v>
      </c>
      <c r="B727" s="9" t="s">
        <v>769</v>
      </c>
      <c r="C727" s="9" t="s">
        <v>46</v>
      </c>
      <c r="D727" s="9" t="s">
        <v>47</v>
      </c>
      <c r="E727" s="9" t="s">
        <v>1147</v>
      </c>
      <c r="F727" s="9" t="s">
        <v>1148</v>
      </c>
      <c r="G727" s="10">
        <v>46011</v>
      </c>
      <c r="H727" s="10">
        <v>46034</v>
      </c>
      <c r="I727">
        <v>11.9</v>
      </c>
      <c r="J727">
        <v>12.1</v>
      </c>
      <c r="K727" s="9" t="s">
        <v>1321</v>
      </c>
    </row>
    <row r="728" spans="1:11" x14ac:dyDescent="0.35">
      <c r="A728" s="9" t="s">
        <v>2188</v>
      </c>
      <c r="B728" s="9" t="s">
        <v>771</v>
      </c>
      <c r="C728" s="9" t="s">
        <v>62</v>
      </c>
      <c r="D728" s="9" t="s">
        <v>56</v>
      </c>
      <c r="E728" s="9" t="s">
        <v>1155</v>
      </c>
      <c r="F728" s="9" t="s">
        <v>1156</v>
      </c>
      <c r="G728" s="10">
        <v>45779</v>
      </c>
      <c r="H728" s="10">
        <v>45796</v>
      </c>
      <c r="I728">
        <v>27</v>
      </c>
      <c r="J728">
        <v>25.1</v>
      </c>
      <c r="K728" s="9" t="s">
        <v>1321</v>
      </c>
    </row>
    <row r="729" spans="1:11" x14ac:dyDescent="0.35">
      <c r="A729" s="9" t="s">
        <v>2189</v>
      </c>
      <c r="B729" s="9" t="s">
        <v>773</v>
      </c>
      <c r="C729" s="9" t="s">
        <v>55</v>
      </c>
      <c r="D729" s="9" t="s">
        <v>47</v>
      </c>
      <c r="E729" s="9" t="s">
        <v>1171</v>
      </c>
      <c r="F729" s="9" t="s">
        <v>1172</v>
      </c>
      <c r="G729" s="10">
        <v>45942</v>
      </c>
      <c r="H729" s="10"/>
      <c r="I729">
        <v>25.3</v>
      </c>
      <c r="K729" s="9" t="s">
        <v>1473</v>
      </c>
    </row>
    <row r="730" spans="1:11" x14ac:dyDescent="0.35">
      <c r="A730" s="9" t="s">
        <v>2190</v>
      </c>
      <c r="B730" s="9" t="s">
        <v>773</v>
      </c>
      <c r="C730" s="9" t="s">
        <v>55</v>
      </c>
      <c r="D730" s="9" t="s">
        <v>47</v>
      </c>
      <c r="E730" s="9" t="s">
        <v>1143</v>
      </c>
      <c r="F730" s="9" t="s">
        <v>1144</v>
      </c>
      <c r="G730" s="10">
        <v>45697</v>
      </c>
      <c r="H730" s="10">
        <v>45722</v>
      </c>
      <c r="I730">
        <v>16.8</v>
      </c>
      <c r="J730">
        <v>17.399999999999999</v>
      </c>
      <c r="K730" s="9" t="s">
        <v>1321</v>
      </c>
    </row>
    <row r="731" spans="1:11" x14ac:dyDescent="0.35">
      <c r="A731" s="9" t="s">
        <v>2191</v>
      </c>
      <c r="B731" s="9" t="s">
        <v>775</v>
      </c>
      <c r="C731" s="9" t="s">
        <v>55</v>
      </c>
      <c r="D731" s="9" t="s">
        <v>112</v>
      </c>
      <c r="E731" s="9" t="s">
        <v>1190</v>
      </c>
      <c r="F731" s="9" t="s">
        <v>1191</v>
      </c>
      <c r="G731" s="10">
        <v>45922</v>
      </c>
      <c r="H731" s="10">
        <v>45959</v>
      </c>
      <c r="I731">
        <v>25.3</v>
      </c>
      <c r="J731">
        <v>30</v>
      </c>
      <c r="K731" s="9" t="s">
        <v>1321</v>
      </c>
    </row>
    <row r="732" spans="1:11" x14ac:dyDescent="0.35">
      <c r="A732" s="9" t="s">
        <v>2192</v>
      </c>
      <c r="B732" s="9" t="s">
        <v>777</v>
      </c>
      <c r="C732" s="9" t="s">
        <v>55</v>
      </c>
      <c r="D732" s="9" t="s">
        <v>56</v>
      </c>
      <c r="E732" s="9" t="s">
        <v>1137</v>
      </c>
      <c r="F732" s="9" t="s">
        <v>1138</v>
      </c>
      <c r="G732" s="10">
        <v>45684</v>
      </c>
      <c r="H732" s="10">
        <v>45700</v>
      </c>
      <c r="I732">
        <v>17.600000000000001</v>
      </c>
      <c r="J732">
        <v>16.2</v>
      </c>
      <c r="K732" s="9" t="s">
        <v>1321</v>
      </c>
    </row>
    <row r="733" spans="1:11" x14ac:dyDescent="0.35">
      <c r="A733" s="9" t="s">
        <v>2193</v>
      </c>
      <c r="B733" s="9" t="s">
        <v>779</v>
      </c>
      <c r="C733" s="9" t="s">
        <v>62</v>
      </c>
      <c r="D733" s="9" t="s">
        <v>80</v>
      </c>
      <c r="E733" s="9" t="s">
        <v>1176</v>
      </c>
      <c r="F733" s="9" t="s">
        <v>1177</v>
      </c>
      <c r="G733" s="10">
        <v>45795</v>
      </c>
      <c r="H733" s="10">
        <v>45828</v>
      </c>
      <c r="I733">
        <v>35.9</v>
      </c>
      <c r="J733">
        <v>40.9</v>
      </c>
      <c r="K733" s="9" t="s">
        <v>1321</v>
      </c>
    </row>
    <row r="734" spans="1:11" x14ac:dyDescent="0.35">
      <c r="A734" s="9" t="s">
        <v>2194</v>
      </c>
      <c r="B734" s="9" t="s">
        <v>781</v>
      </c>
      <c r="C734" s="9" t="s">
        <v>55</v>
      </c>
      <c r="D734" s="9" t="s">
        <v>63</v>
      </c>
      <c r="E734" s="9" t="s">
        <v>1139</v>
      </c>
      <c r="F734" s="9" t="s">
        <v>1140</v>
      </c>
      <c r="G734" s="10">
        <v>45778</v>
      </c>
      <c r="H734" s="10"/>
      <c r="I734">
        <v>8.4</v>
      </c>
      <c r="K734" s="9" t="s">
        <v>1473</v>
      </c>
    </row>
    <row r="735" spans="1:11" x14ac:dyDescent="0.35">
      <c r="A735" s="9" t="s">
        <v>2195</v>
      </c>
      <c r="B735" s="9" t="s">
        <v>781</v>
      </c>
      <c r="C735" s="9" t="s">
        <v>55</v>
      </c>
      <c r="D735" s="9" t="s">
        <v>63</v>
      </c>
      <c r="E735" s="9" t="s">
        <v>1137</v>
      </c>
      <c r="F735" s="9" t="s">
        <v>1138</v>
      </c>
      <c r="G735" s="10">
        <v>46177</v>
      </c>
      <c r="H735" s="10">
        <v>46227</v>
      </c>
      <c r="I735">
        <v>2.1</v>
      </c>
      <c r="J735">
        <v>2.8</v>
      </c>
      <c r="K735" s="9" t="s">
        <v>1321</v>
      </c>
    </row>
    <row r="736" spans="1:11" x14ac:dyDescent="0.35">
      <c r="A736" s="9" t="s">
        <v>2196</v>
      </c>
      <c r="B736" s="9" t="s">
        <v>783</v>
      </c>
      <c r="C736" s="9" t="s">
        <v>46</v>
      </c>
      <c r="D736" s="9" t="s">
        <v>112</v>
      </c>
      <c r="E736" s="9" t="s">
        <v>1176</v>
      </c>
      <c r="F736" s="9" t="s">
        <v>1177</v>
      </c>
      <c r="G736" s="10">
        <v>45709</v>
      </c>
      <c r="H736" s="10">
        <v>45756</v>
      </c>
      <c r="I736">
        <v>14.6</v>
      </c>
      <c r="J736">
        <v>19.2</v>
      </c>
      <c r="K736" s="9" t="s">
        <v>1321</v>
      </c>
    </row>
    <row r="737" spans="1:11" x14ac:dyDescent="0.35">
      <c r="A737" s="9" t="s">
        <v>2197</v>
      </c>
      <c r="B737" s="9" t="s">
        <v>783</v>
      </c>
      <c r="C737" s="9" t="s">
        <v>46</v>
      </c>
      <c r="D737" s="9" t="s">
        <v>112</v>
      </c>
      <c r="E737" s="9" t="s">
        <v>1171</v>
      </c>
      <c r="F737" s="9" t="s">
        <v>1172</v>
      </c>
      <c r="G737" s="10">
        <v>45810</v>
      </c>
      <c r="H737" s="10">
        <v>45847</v>
      </c>
      <c r="I737">
        <v>19.399999999999999</v>
      </c>
      <c r="J737">
        <v>23.1</v>
      </c>
      <c r="K737" s="9" t="s">
        <v>1321</v>
      </c>
    </row>
    <row r="738" spans="1:11" x14ac:dyDescent="0.35">
      <c r="A738" s="9" t="s">
        <v>2198</v>
      </c>
      <c r="B738" s="9" t="s">
        <v>783</v>
      </c>
      <c r="C738" s="9" t="s">
        <v>46</v>
      </c>
      <c r="D738" s="9" t="s">
        <v>112</v>
      </c>
      <c r="E738" s="9" t="s">
        <v>1152</v>
      </c>
      <c r="F738" s="9" t="s">
        <v>1153</v>
      </c>
      <c r="G738" s="10">
        <v>45971</v>
      </c>
      <c r="H738" s="10">
        <v>46009</v>
      </c>
      <c r="I738">
        <v>13</v>
      </c>
      <c r="J738">
        <v>15.6</v>
      </c>
      <c r="K738" s="9" t="s">
        <v>1321</v>
      </c>
    </row>
    <row r="739" spans="1:11" x14ac:dyDescent="0.35">
      <c r="A739" s="9" t="s">
        <v>2199</v>
      </c>
      <c r="B739" s="9" t="s">
        <v>783</v>
      </c>
      <c r="C739" s="9" t="s">
        <v>46</v>
      </c>
      <c r="D739" s="9" t="s">
        <v>112</v>
      </c>
      <c r="E739" s="9" t="s">
        <v>1171</v>
      </c>
      <c r="F739" s="9" t="s">
        <v>1172</v>
      </c>
      <c r="G739" s="10">
        <v>46082</v>
      </c>
      <c r="H739" s="10">
        <v>46109</v>
      </c>
      <c r="I739">
        <v>15.1</v>
      </c>
      <c r="J739">
        <v>16</v>
      </c>
      <c r="K739" s="9" t="s">
        <v>1321</v>
      </c>
    </row>
    <row r="740" spans="1:11" x14ac:dyDescent="0.35">
      <c r="A740" s="9" t="s">
        <v>2200</v>
      </c>
      <c r="B740" s="9" t="s">
        <v>785</v>
      </c>
      <c r="C740" s="9" t="s">
        <v>46</v>
      </c>
      <c r="D740" s="9" t="s">
        <v>112</v>
      </c>
      <c r="E740" s="9" t="s">
        <v>1196</v>
      </c>
      <c r="F740" s="9" t="s">
        <v>1197</v>
      </c>
      <c r="G740" s="10">
        <v>45964</v>
      </c>
      <c r="H740" s="10">
        <v>46004</v>
      </c>
      <c r="I740">
        <v>19</v>
      </c>
      <c r="J740">
        <v>23.3</v>
      </c>
      <c r="K740" s="9" t="s">
        <v>1321</v>
      </c>
    </row>
    <row r="741" spans="1:11" x14ac:dyDescent="0.35">
      <c r="A741" s="9" t="s">
        <v>2201</v>
      </c>
      <c r="B741" s="9" t="s">
        <v>787</v>
      </c>
      <c r="C741" s="9" t="s">
        <v>46</v>
      </c>
      <c r="D741" s="9" t="s">
        <v>47</v>
      </c>
      <c r="E741" s="9" t="s">
        <v>1145</v>
      </c>
      <c r="F741" s="9" t="s">
        <v>1146</v>
      </c>
      <c r="G741" s="10">
        <v>45850</v>
      </c>
      <c r="H741" s="10">
        <v>45884</v>
      </c>
      <c r="I741">
        <v>24.7</v>
      </c>
      <c r="J741">
        <v>28.5</v>
      </c>
      <c r="K741" s="9" t="s">
        <v>1321</v>
      </c>
    </row>
    <row r="742" spans="1:11" x14ac:dyDescent="0.35">
      <c r="A742" s="9" t="s">
        <v>2202</v>
      </c>
      <c r="B742" s="9" t="s">
        <v>787</v>
      </c>
      <c r="C742" s="9" t="s">
        <v>46</v>
      </c>
      <c r="D742" s="9" t="s">
        <v>47</v>
      </c>
      <c r="E742" s="9" t="s">
        <v>1129</v>
      </c>
      <c r="F742" s="9" t="s">
        <v>1130</v>
      </c>
      <c r="G742" s="10">
        <v>45836</v>
      </c>
      <c r="H742" s="10">
        <v>45889</v>
      </c>
      <c r="I742">
        <v>15.7</v>
      </c>
      <c r="J742">
        <v>21.9</v>
      </c>
      <c r="K742" s="9" t="s">
        <v>1321</v>
      </c>
    </row>
    <row r="743" spans="1:11" x14ac:dyDescent="0.35">
      <c r="A743" s="9" t="s">
        <v>2203</v>
      </c>
      <c r="B743" s="9" t="s">
        <v>787</v>
      </c>
      <c r="C743" s="9" t="s">
        <v>46</v>
      </c>
      <c r="D743" s="9" t="s">
        <v>47</v>
      </c>
      <c r="E743" s="9" t="s">
        <v>1139</v>
      </c>
      <c r="F743" s="9" t="s">
        <v>1140</v>
      </c>
      <c r="G743" s="10">
        <v>45678</v>
      </c>
      <c r="H743" s="10">
        <v>45730</v>
      </c>
      <c r="I743">
        <v>19.8</v>
      </c>
      <c r="J743">
        <v>27.3</v>
      </c>
      <c r="K743" s="9" t="s">
        <v>1321</v>
      </c>
    </row>
    <row r="744" spans="1:11" x14ac:dyDescent="0.35">
      <c r="A744" s="9" t="s">
        <v>2204</v>
      </c>
      <c r="B744" s="9" t="s">
        <v>789</v>
      </c>
      <c r="C744" s="9" t="s">
        <v>55</v>
      </c>
      <c r="D744" s="9" t="s">
        <v>47</v>
      </c>
      <c r="E744" s="9" t="s">
        <v>1147</v>
      </c>
      <c r="F744" s="9" t="s">
        <v>1148</v>
      </c>
      <c r="G744" s="10">
        <v>46053</v>
      </c>
      <c r="H744" s="10">
        <v>46095</v>
      </c>
      <c r="I744">
        <v>34.700000000000003</v>
      </c>
      <c r="J744">
        <v>43.4</v>
      </c>
      <c r="K744" s="9" t="s">
        <v>1321</v>
      </c>
    </row>
    <row r="745" spans="1:11" x14ac:dyDescent="0.35">
      <c r="A745" s="9" t="s">
        <v>2205</v>
      </c>
      <c r="B745" s="9" t="s">
        <v>789</v>
      </c>
      <c r="C745" s="9" t="s">
        <v>55</v>
      </c>
      <c r="D745" s="9" t="s">
        <v>47</v>
      </c>
      <c r="E745" s="9" t="s">
        <v>1147</v>
      </c>
      <c r="F745" s="9" t="s">
        <v>1148</v>
      </c>
      <c r="G745" s="10">
        <v>46065</v>
      </c>
      <c r="H745" s="10">
        <v>46099</v>
      </c>
      <c r="I745">
        <v>15.5</v>
      </c>
      <c r="J745">
        <v>17.899999999999999</v>
      </c>
      <c r="K745" s="9" t="s">
        <v>1321</v>
      </c>
    </row>
    <row r="746" spans="1:11" x14ac:dyDescent="0.35">
      <c r="A746" s="9" t="s">
        <v>2206</v>
      </c>
      <c r="B746" s="9" t="s">
        <v>789</v>
      </c>
      <c r="C746" s="9" t="s">
        <v>55</v>
      </c>
      <c r="D746" s="9" t="s">
        <v>47</v>
      </c>
      <c r="E746" s="9" t="s">
        <v>1196</v>
      </c>
      <c r="F746" s="9" t="s">
        <v>1197</v>
      </c>
      <c r="G746" s="10">
        <v>45794</v>
      </c>
      <c r="H746" s="10">
        <v>45846</v>
      </c>
      <c r="I746">
        <v>17.600000000000001</v>
      </c>
      <c r="J746">
        <v>24.3</v>
      </c>
      <c r="K746" s="9" t="s">
        <v>1321</v>
      </c>
    </row>
    <row r="747" spans="1:11" x14ac:dyDescent="0.35">
      <c r="A747" s="9" t="s">
        <v>2207</v>
      </c>
      <c r="B747" s="9" t="s">
        <v>791</v>
      </c>
      <c r="C747" s="9" t="s">
        <v>46</v>
      </c>
      <c r="D747" s="9" t="s">
        <v>112</v>
      </c>
      <c r="E747" s="9" t="s">
        <v>1180</v>
      </c>
      <c r="F747" s="9" t="s">
        <v>1181</v>
      </c>
      <c r="G747" s="10">
        <v>46185</v>
      </c>
      <c r="H747" s="10">
        <v>46234</v>
      </c>
      <c r="I747">
        <v>22.8</v>
      </c>
      <c r="J747">
        <v>30.5</v>
      </c>
      <c r="K747" s="9" t="s">
        <v>1321</v>
      </c>
    </row>
    <row r="748" spans="1:11" x14ac:dyDescent="0.35">
      <c r="A748" s="9" t="s">
        <v>2208</v>
      </c>
      <c r="B748" s="9" t="s">
        <v>791</v>
      </c>
      <c r="C748" s="9" t="s">
        <v>46</v>
      </c>
      <c r="D748" s="9" t="s">
        <v>112</v>
      </c>
      <c r="E748" s="9" t="s">
        <v>1171</v>
      </c>
      <c r="F748" s="9" t="s">
        <v>1172</v>
      </c>
      <c r="G748" s="10">
        <v>45664</v>
      </c>
      <c r="H748" s="10">
        <v>45677</v>
      </c>
      <c r="I748">
        <v>4.5</v>
      </c>
      <c r="J748">
        <v>4</v>
      </c>
      <c r="K748" s="9" t="s">
        <v>1321</v>
      </c>
    </row>
    <row r="749" spans="1:11" x14ac:dyDescent="0.35">
      <c r="A749" s="9" t="s">
        <v>2209</v>
      </c>
      <c r="B749" s="9" t="s">
        <v>791</v>
      </c>
      <c r="C749" s="9" t="s">
        <v>46</v>
      </c>
      <c r="D749" s="9" t="s">
        <v>112</v>
      </c>
      <c r="E749" s="9" t="s">
        <v>1188</v>
      </c>
      <c r="F749" s="9" t="s">
        <v>1189</v>
      </c>
      <c r="G749" s="10">
        <v>45747</v>
      </c>
      <c r="H749" s="10"/>
      <c r="I749">
        <v>8.3000000000000007</v>
      </c>
      <c r="K749" s="9" t="s">
        <v>1473</v>
      </c>
    </row>
    <row r="750" spans="1:11" x14ac:dyDescent="0.35">
      <c r="A750" s="9" t="s">
        <v>2210</v>
      </c>
      <c r="B750" s="9" t="s">
        <v>793</v>
      </c>
      <c r="C750" s="9" t="s">
        <v>55</v>
      </c>
      <c r="D750" s="9" t="s">
        <v>47</v>
      </c>
      <c r="E750" s="9" t="s">
        <v>1147</v>
      </c>
      <c r="F750" s="9" t="s">
        <v>1148</v>
      </c>
      <c r="G750" s="10">
        <v>45974</v>
      </c>
      <c r="H750" s="10">
        <v>46006</v>
      </c>
      <c r="I750">
        <v>10.1</v>
      </c>
      <c r="J750">
        <v>11.3</v>
      </c>
      <c r="K750" s="9" t="s">
        <v>1321</v>
      </c>
    </row>
    <row r="751" spans="1:11" x14ac:dyDescent="0.35">
      <c r="A751" s="9" t="s">
        <v>2211</v>
      </c>
      <c r="B751" s="9" t="s">
        <v>793</v>
      </c>
      <c r="C751" s="9" t="s">
        <v>55</v>
      </c>
      <c r="D751" s="9" t="s">
        <v>47</v>
      </c>
      <c r="E751" s="9" t="s">
        <v>1134</v>
      </c>
      <c r="F751" s="9" t="s">
        <v>1135</v>
      </c>
      <c r="G751" s="10">
        <v>46040</v>
      </c>
      <c r="H751" s="10">
        <v>46051</v>
      </c>
      <c r="I751">
        <v>21.5</v>
      </c>
      <c r="J751">
        <v>18.5</v>
      </c>
      <c r="K751" s="9" t="s">
        <v>1321</v>
      </c>
    </row>
    <row r="752" spans="1:11" x14ac:dyDescent="0.35">
      <c r="A752" s="9" t="s">
        <v>2212</v>
      </c>
      <c r="B752" s="9" t="s">
        <v>793</v>
      </c>
      <c r="C752" s="9" t="s">
        <v>55</v>
      </c>
      <c r="D752" s="9" t="s">
        <v>47</v>
      </c>
      <c r="E752" s="9" t="s">
        <v>1193</v>
      </c>
      <c r="F752" s="9" t="s">
        <v>1194</v>
      </c>
      <c r="G752" s="10">
        <v>46011</v>
      </c>
      <c r="H752" s="10"/>
      <c r="I752">
        <v>20.100000000000001</v>
      </c>
      <c r="K752" s="9" t="s">
        <v>1473</v>
      </c>
    </row>
    <row r="753" spans="1:11" x14ac:dyDescent="0.35">
      <c r="A753" s="9" t="s">
        <v>2213</v>
      </c>
      <c r="B753" s="9" t="s">
        <v>795</v>
      </c>
      <c r="C753" s="9" t="s">
        <v>55</v>
      </c>
      <c r="D753" s="9" t="s">
        <v>63</v>
      </c>
      <c r="E753" s="9" t="s">
        <v>1139</v>
      </c>
      <c r="F753" s="9" t="s">
        <v>1140</v>
      </c>
      <c r="G753" s="10">
        <v>46098</v>
      </c>
      <c r="H753" s="10">
        <v>46129</v>
      </c>
      <c r="I753">
        <v>23.6</v>
      </c>
      <c r="J753">
        <v>26.3</v>
      </c>
      <c r="K753" s="9" t="s">
        <v>1321</v>
      </c>
    </row>
    <row r="754" spans="1:11" x14ac:dyDescent="0.35">
      <c r="A754" s="9" t="s">
        <v>2214</v>
      </c>
      <c r="B754" s="9" t="s">
        <v>797</v>
      </c>
      <c r="C754" s="9" t="s">
        <v>46</v>
      </c>
      <c r="D754" s="9" t="s">
        <v>112</v>
      </c>
      <c r="E754" s="9" t="s">
        <v>1143</v>
      </c>
      <c r="F754" s="9" t="s">
        <v>1144</v>
      </c>
      <c r="G754" s="10">
        <v>46046</v>
      </c>
      <c r="H754" s="10">
        <v>46094</v>
      </c>
      <c r="I754">
        <v>11.2</v>
      </c>
      <c r="J754">
        <v>15</v>
      </c>
      <c r="K754" s="9" t="s">
        <v>1321</v>
      </c>
    </row>
    <row r="755" spans="1:11" x14ac:dyDescent="0.35">
      <c r="A755" s="9" t="s">
        <v>2215</v>
      </c>
      <c r="B755" s="9" t="s">
        <v>799</v>
      </c>
      <c r="C755" s="9" t="s">
        <v>55</v>
      </c>
      <c r="D755" s="9" t="s">
        <v>56</v>
      </c>
      <c r="E755" s="9" t="s">
        <v>1180</v>
      </c>
      <c r="F755" s="9" t="s">
        <v>1181</v>
      </c>
      <c r="G755" s="10">
        <v>46094</v>
      </c>
      <c r="H755" s="10">
        <v>46117</v>
      </c>
      <c r="I755">
        <v>10.5</v>
      </c>
      <c r="J755">
        <v>10.5</v>
      </c>
      <c r="K755" s="9" t="s">
        <v>1321</v>
      </c>
    </row>
    <row r="756" spans="1:11" x14ac:dyDescent="0.35">
      <c r="A756" s="9" t="s">
        <v>2216</v>
      </c>
      <c r="B756" s="9" t="s">
        <v>799</v>
      </c>
      <c r="C756" s="9" t="s">
        <v>55</v>
      </c>
      <c r="D756" s="9" t="s">
        <v>56</v>
      </c>
      <c r="E756" s="9" t="s">
        <v>1162</v>
      </c>
      <c r="F756" s="9" t="s">
        <v>1163</v>
      </c>
      <c r="G756" s="10">
        <v>45884</v>
      </c>
      <c r="H756" s="10">
        <v>45888</v>
      </c>
      <c r="I756">
        <v>3.8</v>
      </c>
      <c r="J756">
        <v>2.9</v>
      </c>
      <c r="K756" s="9" t="s">
        <v>1321</v>
      </c>
    </row>
    <row r="757" spans="1:11" x14ac:dyDescent="0.35">
      <c r="A757" s="9" t="s">
        <v>2217</v>
      </c>
      <c r="B757" s="9" t="s">
        <v>799</v>
      </c>
      <c r="C757" s="9" t="s">
        <v>55</v>
      </c>
      <c r="D757" s="9" t="s">
        <v>56</v>
      </c>
      <c r="E757" s="9" t="s">
        <v>1193</v>
      </c>
      <c r="F757" s="9" t="s">
        <v>1194</v>
      </c>
      <c r="G757" s="10">
        <v>46187</v>
      </c>
      <c r="H757" s="10">
        <v>46217</v>
      </c>
      <c r="I757">
        <v>14</v>
      </c>
      <c r="J757">
        <v>15.3</v>
      </c>
      <c r="K757" s="9" t="s">
        <v>1321</v>
      </c>
    </row>
    <row r="758" spans="1:11" x14ac:dyDescent="0.35">
      <c r="A758" s="9" t="s">
        <v>2218</v>
      </c>
      <c r="B758" s="9" t="s">
        <v>801</v>
      </c>
      <c r="C758" s="9" t="s">
        <v>55</v>
      </c>
      <c r="D758" s="9" t="s">
        <v>112</v>
      </c>
      <c r="E758" s="9" t="s">
        <v>1196</v>
      </c>
      <c r="F758" s="9" t="s">
        <v>1197</v>
      </c>
      <c r="G758" s="10">
        <v>45665</v>
      </c>
      <c r="H758" s="10">
        <v>45713</v>
      </c>
      <c r="I758">
        <v>8.9</v>
      </c>
      <c r="J758">
        <v>11.9</v>
      </c>
      <c r="K758" s="9" t="s">
        <v>1321</v>
      </c>
    </row>
    <row r="759" spans="1:11" x14ac:dyDescent="0.35">
      <c r="A759" s="9" t="s">
        <v>2219</v>
      </c>
      <c r="B759" s="9" t="s">
        <v>801</v>
      </c>
      <c r="C759" s="9" t="s">
        <v>55</v>
      </c>
      <c r="D759" s="9" t="s">
        <v>112</v>
      </c>
      <c r="E759" s="9" t="s">
        <v>1137</v>
      </c>
      <c r="F759" s="9" t="s">
        <v>1138</v>
      </c>
      <c r="G759" s="10">
        <v>45792</v>
      </c>
      <c r="H759" s="10">
        <v>45803</v>
      </c>
      <c r="I759">
        <v>33.299999999999997</v>
      </c>
      <c r="J759">
        <v>28.6</v>
      </c>
      <c r="K759" s="9" t="s">
        <v>1321</v>
      </c>
    </row>
    <row r="760" spans="1:11" x14ac:dyDescent="0.35">
      <c r="A760" s="9" t="s">
        <v>2220</v>
      </c>
      <c r="B760" s="9" t="s">
        <v>803</v>
      </c>
      <c r="C760" s="9" t="s">
        <v>46</v>
      </c>
      <c r="D760" s="9" t="s">
        <v>69</v>
      </c>
      <c r="E760" s="9" t="s">
        <v>1180</v>
      </c>
      <c r="F760" s="9" t="s">
        <v>1181</v>
      </c>
      <c r="G760" s="10">
        <v>45928</v>
      </c>
      <c r="H760" s="10">
        <v>45958</v>
      </c>
      <c r="I760">
        <v>8.9</v>
      </c>
      <c r="J760">
        <v>9.9</v>
      </c>
      <c r="K760" s="9" t="s">
        <v>1321</v>
      </c>
    </row>
    <row r="761" spans="1:11" x14ac:dyDescent="0.35">
      <c r="A761" s="9" t="s">
        <v>2221</v>
      </c>
      <c r="B761" s="9" t="s">
        <v>803</v>
      </c>
      <c r="C761" s="9" t="s">
        <v>46</v>
      </c>
      <c r="D761" s="9" t="s">
        <v>69</v>
      </c>
      <c r="E761" s="9" t="s">
        <v>1147</v>
      </c>
      <c r="F761" s="9" t="s">
        <v>1148</v>
      </c>
      <c r="G761" s="10">
        <v>45906</v>
      </c>
      <c r="H761" s="10">
        <v>45911</v>
      </c>
      <c r="I761">
        <v>12.7</v>
      </c>
      <c r="J761">
        <v>9.9</v>
      </c>
      <c r="K761" s="9" t="s">
        <v>1321</v>
      </c>
    </row>
    <row r="762" spans="1:11" x14ac:dyDescent="0.35">
      <c r="A762" s="9" t="s">
        <v>2222</v>
      </c>
      <c r="B762" s="9" t="s">
        <v>803</v>
      </c>
      <c r="C762" s="9" t="s">
        <v>46</v>
      </c>
      <c r="D762" s="9" t="s">
        <v>69</v>
      </c>
      <c r="E762" s="9" t="s">
        <v>1162</v>
      </c>
      <c r="F762" s="9" t="s">
        <v>1163</v>
      </c>
      <c r="G762" s="10">
        <v>45966</v>
      </c>
      <c r="H762" s="10">
        <v>45971</v>
      </c>
      <c r="I762">
        <v>24</v>
      </c>
      <c r="J762">
        <v>18.8</v>
      </c>
      <c r="K762" s="9" t="s">
        <v>1321</v>
      </c>
    </row>
    <row r="763" spans="1:11" x14ac:dyDescent="0.35">
      <c r="A763" s="9" t="s">
        <v>2223</v>
      </c>
      <c r="B763" s="9" t="s">
        <v>805</v>
      </c>
      <c r="C763" s="9" t="s">
        <v>55</v>
      </c>
      <c r="D763" s="9" t="s">
        <v>76</v>
      </c>
      <c r="E763" s="9" t="s">
        <v>1134</v>
      </c>
      <c r="F763" s="9" t="s">
        <v>1135</v>
      </c>
      <c r="G763" s="10">
        <v>45721</v>
      </c>
      <c r="H763" s="10">
        <v>45742</v>
      </c>
      <c r="I763">
        <v>30.4</v>
      </c>
      <c r="J763">
        <v>30</v>
      </c>
      <c r="K763" s="9" t="s">
        <v>1321</v>
      </c>
    </row>
    <row r="764" spans="1:11" x14ac:dyDescent="0.35">
      <c r="A764" s="9" t="s">
        <v>2224</v>
      </c>
      <c r="B764" s="9" t="s">
        <v>805</v>
      </c>
      <c r="C764" s="9" t="s">
        <v>55</v>
      </c>
      <c r="D764" s="9" t="s">
        <v>76</v>
      </c>
      <c r="E764" s="9" t="s">
        <v>1139</v>
      </c>
      <c r="F764" s="9" t="s">
        <v>1140</v>
      </c>
      <c r="G764" s="10">
        <v>45800</v>
      </c>
      <c r="H764" s="10">
        <v>45809</v>
      </c>
      <c r="I764">
        <v>24.4</v>
      </c>
      <c r="J764">
        <v>20.2</v>
      </c>
      <c r="K764" s="9" t="s">
        <v>1321</v>
      </c>
    </row>
    <row r="765" spans="1:11" x14ac:dyDescent="0.35">
      <c r="A765" s="9" t="s">
        <v>2225</v>
      </c>
      <c r="B765" s="9" t="s">
        <v>807</v>
      </c>
      <c r="C765" s="9" t="s">
        <v>55</v>
      </c>
      <c r="D765" s="9" t="s">
        <v>56</v>
      </c>
      <c r="E765" s="9" t="s">
        <v>1183</v>
      </c>
      <c r="F765" s="9" t="s">
        <v>1184</v>
      </c>
      <c r="G765" s="10">
        <v>45791</v>
      </c>
      <c r="H765" s="10">
        <v>45797</v>
      </c>
      <c r="I765">
        <v>7.4</v>
      </c>
      <c r="J765">
        <v>5.9</v>
      </c>
      <c r="K765" s="9" t="s">
        <v>1321</v>
      </c>
    </row>
    <row r="766" spans="1:11" x14ac:dyDescent="0.35">
      <c r="A766" s="9" t="s">
        <v>2226</v>
      </c>
      <c r="B766" s="9" t="s">
        <v>809</v>
      </c>
      <c r="C766" s="9" t="s">
        <v>46</v>
      </c>
      <c r="D766" s="9" t="s">
        <v>112</v>
      </c>
      <c r="E766" s="9" t="s">
        <v>1158</v>
      </c>
      <c r="F766" s="9" t="s">
        <v>1159</v>
      </c>
      <c r="G766" s="10">
        <v>45665</v>
      </c>
      <c r="H766" s="10">
        <v>45719</v>
      </c>
      <c r="I766">
        <v>33.5</v>
      </c>
      <c r="J766">
        <v>47</v>
      </c>
      <c r="K766" s="9" t="s">
        <v>1321</v>
      </c>
    </row>
    <row r="767" spans="1:11" x14ac:dyDescent="0.35">
      <c r="A767" s="9" t="s">
        <v>2227</v>
      </c>
      <c r="B767" s="9" t="s">
        <v>809</v>
      </c>
      <c r="C767" s="9" t="s">
        <v>46</v>
      </c>
      <c r="D767" s="9" t="s">
        <v>112</v>
      </c>
      <c r="E767" s="9" t="s">
        <v>1190</v>
      </c>
      <c r="F767" s="9" t="s">
        <v>1191</v>
      </c>
      <c r="G767" s="10">
        <v>45988</v>
      </c>
      <c r="H767" s="10">
        <v>46023</v>
      </c>
      <c r="I767">
        <v>8.9</v>
      </c>
      <c r="J767">
        <v>10.4</v>
      </c>
      <c r="K767" s="9" t="s">
        <v>1321</v>
      </c>
    </row>
    <row r="768" spans="1:11" x14ac:dyDescent="0.35">
      <c r="A768" s="9" t="s">
        <v>2228</v>
      </c>
      <c r="B768" s="9" t="s">
        <v>809</v>
      </c>
      <c r="C768" s="9" t="s">
        <v>46</v>
      </c>
      <c r="D768" s="9" t="s">
        <v>112</v>
      </c>
      <c r="E768" s="9" t="s">
        <v>1211</v>
      </c>
      <c r="F768" s="9" t="s">
        <v>1212</v>
      </c>
      <c r="G768" s="10">
        <v>46103</v>
      </c>
      <c r="H768" s="10">
        <v>46147</v>
      </c>
      <c r="I768">
        <v>12.5</v>
      </c>
      <c r="J768">
        <v>16</v>
      </c>
      <c r="K768" s="9" t="s">
        <v>1321</v>
      </c>
    </row>
    <row r="769" spans="1:11" x14ac:dyDescent="0.35">
      <c r="A769" s="9" t="s">
        <v>2229</v>
      </c>
      <c r="B769" s="9" t="s">
        <v>811</v>
      </c>
      <c r="C769" s="9" t="s">
        <v>55</v>
      </c>
      <c r="D769" s="9" t="s">
        <v>80</v>
      </c>
      <c r="E769" s="9" t="s">
        <v>1162</v>
      </c>
      <c r="F769" s="9" t="s">
        <v>1163</v>
      </c>
      <c r="G769" s="10">
        <v>45829</v>
      </c>
      <c r="H769" s="10">
        <v>45832</v>
      </c>
      <c r="I769">
        <v>28.9</v>
      </c>
      <c r="J769">
        <v>21.8</v>
      </c>
      <c r="K769" s="9" t="s">
        <v>1321</v>
      </c>
    </row>
    <row r="770" spans="1:11" x14ac:dyDescent="0.35">
      <c r="A770" s="9" t="s">
        <v>2230</v>
      </c>
      <c r="B770" s="9" t="s">
        <v>813</v>
      </c>
      <c r="C770" s="9" t="s">
        <v>46</v>
      </c>
      <c r="D770" s="9" t="s">
        <v>47</v>
      </c>
      <c r="E770" s="9" t="s">
        <v>1139</v>
      </c>
      <c r="F770" s="9" t="s">
        <v>1140</v>
      </c>
      <c r="G770" s="10">
        <v>45710</v>
      </c>
      <c r="H770" s="10"/>
      <c r="I770">
        <v>11</v>
      </c>
      <c r="K770" s="9" t="s">
        <v>1325</v>
      </c>
    </row>
    <row r="771" spans="1:11" x14ac:dyDescent="0.35">
      <c r="A771" s="9" t="s">
        <v>2231</v>
      </c>
      <c r="B771" s="9" t="s">
        <v>813</v>
      </c>
      <c r="C771" s="9" t="s">
        <v>46</v>
      </c>
      <c r="D771" s="9" t="s">
        <v>47</v>
      </c>
      <c r="E771" s="9" t="s">
        <v>1190</v>
      </c>
      <c r="F771" s="9" t="s">
        <v>1191</v>
      </c>
      <c r="G771" s="10">
        <v>46025</v>
      </c>
      <c r="H771" s="10">
        <v>46054</v>
      </c>
      <c r="I771">
        <v>34.299999999999997</v>
      </c>
      <c r="J771">
        <v>37.200000000000003</v>
      </c>
      <c r="K771" s="9" t="s">
        <v>1321</v>
      </c>
    </row>
    <row r="772" spans="1:11" x14ac:dyDescent="0.35">
      <c r="A772" s="9" t="s">
        <v>2232</v>
      </c>
      <c r="B772" s="9" t="s">
        <v>813</v>
      </c>
      <c r="C772" s="9" t="s">
        <v>46</v>
      </c>
      <c r="D772" s="9" t="s">
        <v>47</v>
      </c>
      <c r="E772" s="9" t="s">
        <v>1129</v>
      </c>
      <c r="F772" s="9" t="s">
        <v>1130</v>
      </c>
      <c r="G772" s="10">
        <v>46150</v>
      </c>
      <c r="H772" s="10">
        <v>46162</v>
      </c>
      <c r="I772">
        <v>11</v>
      </c>
      <c r="J772">
        <v>9.6</v>
      </c>
      <c r="K772" s="9" t="s">
        <v>1321</v>
      </c>
    </row>
    <row r="773" spans="1:11" x14ac:dyDescent="0.35">
      <c r="A773" s="9" t="s">
        <v>2233</v>
      </c>
      <c r="B773" s="9" t="s">
        <v>815</v>
      </c>
      <c r="C773" s="9" t="s">
        <v>62</v>
      </c>
      <c r="D773" s="9" t="s">
        <v>63</v>
      </c>
      <c r="E773" s="9" t="s">
        <v>1183</v>
      </c>
      <c r="F773" s="9" t="s">
        <v>1184</v>
      </c>
      <c r="G773" s="10">
        <v>45727</v>
      </c>
      <c r="H773" s="10">
        <v>45769</v>
      </c>
      <c r="I773">
        <v>11.6</v>
      </c>
      <c r="J773">
        <v>14.6</v>
      </c>
      <c r="K773" s="9" t="s">
        <v>1321</v>
      </c>
    </row>
    <row r="774" spans="1:11" x14ac:dyDescent="0.35">
      <c r="A774" s="9" t="s">
        <v>2234</v>
      </c>
      <c r="B774" s="9" t="s">
        <v>817</v>
      </c>
      <c r="C774" s="9" t="s">
        <v>62</v>
      </c>
      <c r="D774" s="9" t="s">
        <v>63</v>
      </c>
      <c r="E774" s="9" t="s">
        <v>1158</v>
      </c>
      <c r="F774" s="9" t="s">
        <v>1159</v>
      </c>
      <c r="G774" s="10">
        <v>45875</v>
      </c>
      <c r="H774" s="10">
        <v>45879</v>
      </c>
      <c r="I774">
        <v>8.6</v>
      </c>
      <c r="J774">
        <v>6.6</v>
      </c>
      <c r="K774" s="9" t="s">
        <v>1321</v>
      </c>
    </row>
    <row r="775" spans="1:11" x14ac:dyDescent="0.35">
      <c r="A775" s="9" t="s">
        <v>2235</v>
      </c>
      <c r="B775" s="9" t="s">
        <v>817</v>
      </c>
      <c r="C775" s="9" t="s">
        <v>62</v>
      </c>
      <c r="D775" s="9" t="s">
        <v>63</v>
      </c>
      <c r="E775" s="9" t="s">
        <v>1137</v>
      </c>
      <c r="F775" s="9" t="s">
        <v>1138</v>
      </c>
      <c r="G775" s="10">
        <v>45886</v>
      </c>
      <c r="H775" s="10">
        <v>45930</v>
      </c>
      <c r="I775">
        <v>29.1</v>
      </c>
      <c r="J775">
        <v>37.4</v>
      </c>
      <c r="K775" s="9" t="s">
        <v>1321</v>
      </c>
    </row>
    <row r="776" spans="1:11" x14ac:dyDescent="0.35">
      <c r="A776" s="9" t="s">
        <v>2236</v>
      </c>
      <c r="B776" s="9" t="s">
        <v>817</v>
      </c>
      <c r="C776" s="9" t="s">
        <v>62</v>
      </c>
      <c r="D776" s="9" t="s">
        <v>63</v>
      </c>
      <c r="E776" s="9" t="s">
        <v>1143</v>
      </c>
      <c r="F776" s="9" t="s">
        <v>1144</v>
      </c>
      <c r="G776" s="10">
        <v>45940</v>
      </c>
      <c r="H776" s="10"/>
      <c r="I776">
        <v>35.1</v>
      </c>
      <c r="K776" s="9" t="s">
        <v>1473</v>
      </c>
    </row>
    <row r="777" spans="1:11" x14ac:dyDescent="0.35">
      <c r="A777" s="9" t="s">
        <v>2237</v>
      </c>
      <c r="B777" s="9" t="s">
        <v>819</v>
      </c>
      <c r="C777" s="9" t="s">
        <v>46</v>
      </c>
      <c r="D777" s="9" t="s">
        <v>93</v>
      </c>
      <c r="E777" s="9" t="s">
        <v>1155</v>
      </c>
      <c r="F777" s="9" t="s">
        <v>1156</v>
      </c>
      <c r="G777" s="10">
        <v>46137</v>
      </c>
      <c r="H777" s="10">
        <v>46161</v>
      </c>
      <c r="I777">
        <v>12</v>
      </c>
      <c r="J777">
        <v>12.2</v>
      </c>
      <c r="K777" s="9" t="s">
        <v>1321</v>
      </c>
    </row>
    <row r="778" spans="1:11" x14ac:dyDescent="0.35">
      <c r="A778" s="9" t="s">
        <v>2238</v>
      </c>
      <c r="B778" s="9" t="s">
        <v>821</v>
      </c>
      <c r="C778" s="9" t="s">
        <v>46</v>
      </c>
      <c r="D778" s="9" t="s">
        <v>80</v>
      </c>
      <c r="E778" s="9" t="s">
        <v>1145</v>
      </c>
      <c r="F778" s="9" t="s">
        <v>1146</v>
      </c>
      <c r="G778" s="10">
        <v>45731</v>
      </c>
      <c r="H778" s="10">
        <v>45751</v>
      </c>
      <c r="I778">
        <v>19</v>
      </c>
      <c r="J778">
        <v>18.399999999999999</v>
      </c>
      <c r="K778" s="9" t="s">
        <v>1321</v>
      </c>
    </row>
    <row r="779" spans="1:11" x14ac:dyDescent="0.35">
      <c r="A779" s="9" t="s">
        <v>2239</v>
      </c>
      <c r="B779" s="9" t="s">
        <v>823</v>
      </c>
      <c r="C779" s="9" t="s">
        <v>46</v>
      </c>
      <c r="D779" s="9" t="s">
        <v>47</v>
      </c>
      <c r="E779" s="9" t="s">
        <v>1137</v>
      </c>
      <c r="F779" s="9" t="s">
        <v>1138</v>
      </c>
      <c r="G779" s="10">
        <v>45667</v>
      </c>
      <c r="H779" s="10">
        <v>45711</v>
      </c>
      <c r="I779">
        <v>6.6</v>
      </c>
      <c r="J779">
        <v>8.5</v>
      </c>
      <c r="K779" s="9" t="s">
        <v>1321</v>
      </c>
    </row>
    <row r="780" spans="1:11" x14ac:dyDescent="0.35">
      <c r="A780" s="9" t="s">
        <v>2240</v>
      </c>
      <c r="B780" s="9" t="s">
        <v>823</v>
      </c>
      <c r="C780" s="9" t="s">
        <v>46</v>
      </c>
      <c r="D780" s="9" t="s">
        <v>47</v>
      </c>
      <c r="E780" s="9" t="s">
        <v>1171</v>
      </c>
      <c r="F780" s="9" t="s">
        <v>1172</v>
      </c>
      <c r="G780" s="10">
        <v>46033</v>
      </c>
      <c r="H780" s="10">
        <v>46060</v>
      </c>
      <c r="I780">
        <v>13.9</v>
      </c>
      <c r="J780">
        <v>14.7</v>
      </c>
      <c r="K780" s="9" t="s">
        <v>1321</v>
      </c>
    </row>
    <row r="781" spans="1:11" x14ac:dyDescent="0.35">
      <c r="A781" s="9" t="s">
        <v>2241</v>
      </c>
      <c r="B781" s="9" t="s">
        <v>825</v>
      </c>
      <c r="C781" s="9" t="s">
        <v>46</v>
      </c>
      <c r="D781" s="9" t="s">
        <v>69</v>
      </c>
      <c r="E781" s="9" t="s">
        <v>1158</v>
      </c>
      <c r="F781" s="9" t="s">
        <v>1159</v>
      </c>
      <c r="G781" s="10">
        <v>45744</v>
      </c>
      <c r="H781" s="10">
        <v>45765</v>
      </c>
      <c r="I781">
        <v>17.3</v>
      </c>
      <c r="J781">
        <v>17.100000000000001</v>
      </c>
      <c r="K781" s="9" t="s">
        <v>1321</v>
      </c>
    </row>
    <row r="782" spans="1:11" x14ac:dyDescent="0.35">
      <c r="A782" s="9" t="s">
        <v>2242</v>
      </c>
      <c r="B782" s="9" t="s">
        <v>825</v>
      </c>
      <c r="C782" s="9" t="s">
        <v>46</v>
      </c>
      <c r="D782" s="9" t="s">
        <v>69</v>
      </c>
      <c r="E782" s="9" t="s">
        <v>1171</v>
      </c>
      <c r="F782" s="9" t="s">
        <v>1172</v>
      </c>
      <c r="G782" s="10">
        <v>46116</v>
      </c>
      <c r="H782" s="10">
        <v>46151</v>
      </c>
      <c r="I782">
        <v>15.3</v>
      </c>
      <c r="J782">
        <v>17.7</v>
      </c>
      <c r="K782" s="9" t="s">
        <v>1321</v>
      </c>
    </row>
    <row r="783" spans="1:11" x14ac:dyDescent="0.35">
      <c r="A783" s="9" t="s">
        <v>2243</v>
      </c>
      <c r="B783" s="9" t="s">
        <v>827</v>
      </c>
      <c r="C783" s="9" t="s">
        <v>46</v>
      </c>
      <c r="D783" s="9" t="s">
        <v>112</v>
      </c>
      <c r="E783" s="9" t="s">
        <v>1183</v>
      </c>
      <c r="F783" s="9" t="s">
        <v>1184</v>
      </c>
      <c r="G783" s="10">
        <v>46147</v>
      </c>
      <c r="H783" s="10">
        <v>46195</v>
      </c>
      <c r="I783">
        <v>13.1</v>
      </c>
      <c r="J783">
        <v>17.399999999999999</v>
      </c>
      <c r="K783" s="9" t="s">
        <v>1321</v>
      </c>
    </row>
    <row r="784" spans="1:11" x14ac:dyDescent="0.35">
      <c r="A784" s="9" t="s">
        <v>2244</v>
      </c>
      <c r="B784" s="9" t="s">
        <v>827</v>
      </c>
      <c r="C784" s="9" t="s">
        <v>46</v>
      </c>
      <c r="D784" s="9" t="s">
        <v>112</v>
      </c>
      <c r="E784" s="9" t="s">
        <v>1211</v>
      </c>
      <c r="F784" s="9" t="s">
        <v>1212</v>
      </c>
      <c r="G784" s="10">
        <v>46123</v>
      </c>
      <c r="H784" s="10">
        <v>46154</v>
      </c>
      <c r="I784">
        <v>24.1</v>
      </c>
      <c r="J784">
        <v>26.8</v>
      </c>
      <c r="K784" s="9" t="s">
        <v>1321</v>
      </c>
    </row>
    <row r="785" spans="1:11" x14ac:dyDescent="0.35">
      <c r="A785" s="9" t="s">
        <v>2245</v>
      </c>
      <c r="B785" s="9" t="s">
        <v>829</v>
      </c>
      <c r="C785" s="9" t="s">
        <v>62</v>
      </c>
      <c r="D785" s="9" t="s">
        <v>56</v>
      </c>
      <c r="E785" s="9" t="s">
        <v>1183</v>
      </c>
      <c r="F785" s="9" t="s">
        <v>1184</v>
      </c>
      <c r="G785" s="10">
        <v>46084</v>
      </c>
      <c r="H785" s="10">
        <v>46101</v>
      </c>
      <c r="I785">
        <v>21.3</v>
      </c>
      <c r="J785">
        <v>19.8</v>
      </c>
      <c r="K785" s="9" t="s">
        <v>1321</v>
      </c>
    </row>
    <row r="786" spans="1:11" x14ac:dyDescent="0.35">
      <c r="A786" s="9" t="s">
        <v>2246</v>
      </c>
      <c r="B786" s="9" t="s">
        <v>829</v>
      </c>
      <c r="C786" s="9" t="s">
        <v>62</v>
      </c>
      <c r="D786" s="9" t="s">
        <v>56</v>
      </c>
      <c r="E786" s="9" t="s">
        <v>1152</v>
      </c>
      <c r="F786" s="9" t="s">
        <v>1153</v>
      </c>
      <c r="G786" s="10">
        <v>45704</v>
      </c>
      <c r="H786" s="10">
        <v>45707</v>
      </c>
      <c r="I786">
        <v>22.5</v>
      </c>
      <c r="J786">
        <v>16.899999999999999</v>
      </c>
      <c r="K786" s="9" t="s">
        <v>1321</v>
      </c>
    </row>
    <row r="787" spans="1:11" x14ac:dyDescent="0.35">
      <c r="A787" s="9" t="s">
        <v>2247</v>
      </c>
      <c r="B787" s="9" t="s">
        <v>831</v>
      </c>
      <c r="C787" s="9" t="s">
        <v>46</v>
      </c>
      <c r="D787" s="9" t="s">
        <v>63</v>
      </c>
      <c r="E787" s="9" t="s">
        <v>1176</v>
      </c>
      <c r="F787" s="9" t="s">
        <v>1177</v>
      </c>
      <c r="G787" s="10">
        <v>45906</v>
      </c>
      <c r="H787" s="10">
        <v>45934</v>
      </c>
      <c r="I787">
        <v>19</v>
      </c>
      <c r="J787">
        <v>20.5</v>
      </c>
      <c r="K787" s="9" t="s">
        <v>1321</v>
      </c>
    </row>
    <row r="788" spans="1:11" x14ac:dyDescent="0.35">
      <c r="A788" s="9" t="s">
        <v>2248</v>
      </c>
      <c r="B788" s="9" t="s">
        <v>831</v>
      </c>
      <c r="C788" s="9" t="s">
        <v>46</v>
      </c>
      <c r="D788" s="9" t="s">
        <v>63</v>
      </c>
      <c r="E788" s="9" t="s">
        <v>1155</v>
      </c>
      <c r="F788" s="9" t="s">
        <v>1156</v>
      </c>
      <c r="G788" s="10">
        <v>45912</v>
      </c>
      <c r="H788" s="10">
        <v>45958</v>
      </c>
      <c r="I788">
        <v>29.1</v>
      </c>
      <c r="J788">
        <v>38</v>
      </c>
      <c r="K788" s="9" t="s">
        <v>1321</v>
      </c>
    </row>
    <row r="789" spans="1:11" x14ac:dyDescent="0.35">
      <c r="A789" s="9" t="s">
        <v>2249</v>
      </c>
      <c r="B789" s="9" t="s">
        <v>833</v>
      </c>
      <c r="C789" s="9" t="s">
        <v>55</v>
      </c>
      <c r="D789" s="9" t="s">
        <v>69</v>
      </c>
      <c r="E789" s="9" t="s">
        <v>1143</v>
      </c>
      <c r="F789" s="9" t="s">
        <v>1144</v>
      </c>
      <c r="G789" s="10">
        <v>46019</v>
      </c>
      <c r="H789" s="10">
        <v>46054</v>
      </c>
      <c r="I789">
        <v>32.9</v>
      </c>
      <c r="J789">
        <v>38.200000000000003</v>
      </c>
      <c r="K789" s="9" t="s">
        <v>1321</v>
      </c>
    </row>
    <row r="790" spans="1:11" x14ac:dyDescent="0.35">
      <c r="A790" s="9" t="s">
        <v>2250</v>
      </c>
      <c r="B790" s="9" t="s">
        <v>833</v>
      </c>
      <c r="C790" s="9" t="s">
        <v>55</v>
      </c>
      <c r="D790" s="9" t="s">
        <v>69</v>
      </c>
      <c r="E790" s="9" t="s">
        <v>1155</v>
      </c>
      <c r="F790" s="9" t="s">
        <v>1156</v>
      </c>
      <c r="G790" s="10">
        <v>46186</v>
      </c>
      <c r="H790" s="10">
        <v>46216</v>
      </c>
      <c r="I790">
        <v>15.2</v>
      </c>
      <c r="J790">
        <v>16.8</v>
      </c>
      <c r="K790" s="9" t="s">
        <v>1321</v>
      </c>
    </row>
    <row r="791" spans="1:11" x14ac:dyDescent="0.35">
      <c r="A791" s="9" t="s">
        <v>2251</v>
      </c>
      <c r="B791" s="9" t="s">
        <v>833</v>
      </c>
      <c r="C791" s="9" t="s">
        <v>55</v>
      </c>
      <c r="D791" s="9" t="s">
        <v>69</v>
      </c>
      <c r="E791" s="9" t="s">
        <v>1143</v>
      </c>
      <c r="F791" s="9" t="s">
        <v>1144</v>
      </c>
      <c r="G791" s="10">
        <v>46066</v>
      </c>
      <c r="H791" s="10">
        <v>46069</v>
      </c>
      <c r="I791">
        <v>17</v>
      </c>
      <c r="J791">
        <v>12.8</v>
      </c>
      <c r="K791" s="9" t="s">
        <v>1321</v>
      </c>
    </row>
    <row r="792" spans="1:11" x14ac:dyDescent="0.35">
      <c r="A792" s="9" t="s">
        <v>2252</v>
      </c>
      <c r="B792" s="9" t="s">
        <v>835</v>
      </c>
      <c r="C792" s="9" t="s">
        <v>62</v>
      </c>
      <c r="D792" s="9" t="s">
        <v>56</v>
      </c>
      <c r="E792" s="9" t="s">
        <v>1176</v>
      </c>
      <c r="F792" s="9" t="s">
        <v>1177</v>
      </c>
      <c r="G792" s="10">
        <v>45678</v>
      </c>
      <c r="H792" s="10">
        <v>45714</v>
      </c>
      <c r="I792">
        <v>9.9</v>
      </c>
      <c r="J792">
        <v>11.6</v>
      </c>
      <c r="K792" s="9" t="s">
        <v>1321</v>
      </c>
    </row>
    <row r="793" spans="1:11" x14ac:dyDescent="0.35">
      <c r="A793" s="9" t="s">
        <v>2253</v>
      </c>
      <c r="B793" s="9" t="s">
        <v>835</v>
      </c>
      <c r="C793" s="9" t="s">
        <v>62</v>
      </c>
      <c r="D793" s="9" t="s">
        <v>56</v>
      </c>
      <c r="E793" s="9" t="s">
        <v>1188</v>
      </c>
      <c r="F793" s="9" t="s">
        <v>1189</v>
      </c>
      <c r="G793" s="10">
        <v>45854</v>
      </c>
      <c r="H793" s="10">
        <v>45891</v>
      </c>
      <c r="I793">
        <v>11.8</v>
      </c>
      <c r="J793">
        <v>14</v>
      </c>
      <c r="K793" s="9" t="s">
        <v>1321</v>
      </c>
    </row>
    <row r="794" spans="1:11" x14ac:dyDescent="0.35">
      <c r="A794" s="9" t="s">
        <v>2254</v>
      </c>
      <c r="B794" s="9" t="s">
        <v>835</v>
      </c>
      <c r="C794" s="9" t="s">
        <v>62</v>
      </c>
      <c r="D794" s="9" t="s">
        <v>56</v>
      </c>
      <c r="E794" s="9" t="s">
        <v>1155</v>
      </c>
      <c r="F794" s="9" t="s">
        <v>1156</v>
      </c>
      <c r="G794" s="10">
        <v>45943</v>
      </c>
      <c r="H794" s="10">
        <v>45957</v>
      </c>
      <c r="I794">
        <v>4.5999999999999996</v>
      </c>
      <c r="J794">
        <v>4.0999999999999996</v>
      </c>
      <c r="K794" s="9" t="s">
        <v>1321</v>
      </c>
    </row>
    <row r="795" spans="1:11" x14ac:dyDescent="0.35">
      <c r="A795" s="9" t="s">
        <v>2255</v>
      </c>
      <c r="B795" s="9" t="s">
        <v>837</v>
      </c>
      <c r="C795" s="9" t="s">
        <v>46</v>
      </c>
      <c r="D795" s="9" t="s">
        <v>56</v>
      </c>
      <c r="E795" s="9" t="s">
        <v>1196</v>
      </c>
      <c r="F795" s="9" t="s">
        <v>1197</v>
      </c>
      <c r="G795" s="10">
        <v>45919</v>
      </c>
      <c r="H795" s="10">
        <v>45955</v>
      </c>
      <c r="I795">
        <v>24.8</v>
      </c>
      <c r="J795">
        <v>29</v>
      </c>
      <c r="K795" s="9" t="s">
        <v>1321</v>
      </c>
    </row>
    <row r="796" spans="1:11" x14ac:dyDescent="0.35">
      <c r="A796" s="9" t="s">
        <v>2256</v>
      </c>
      <c r="B796" s="9" t="s">
        <v>837</v>
      </c>
      <c r="C796" s="9" t="s">
        <v>46</v>
      </c>
      <c r="D796" s="9" t="s">
        <v>56</v>
      </c>
      <c r="E796" s="9" t="s">
        <v>1176</v>
      </c>
      <c r="F796" s="9" t="s">
        <v>1177</v>
      </c>
      <c r="G796" s="10">
        <v>45912</v>
      </c>
      <c r="H796" s="10">
        <v>45920</v>
      </c>
      <c r="I796">
        <v>13.9</v>
      </c>
      <c r="J796">
        <v>11.4</v>
      </c>
      <c r="K796" s="9" t="s">
        <v>1321</v>
      </c>
    </row>
    <row r="797" spans="1:11" x14ac:dyDescent="0.35">
      <c r="A797" s="9" t="s">
        <v>2257</v>
      </c>
      <c r="B797" s="9" t="s">
        <v>839</v>
      </c>
      <c r="C797" s="9" t="s">
        <v>46</v>
      </c>
      <c r="D797" s="9" t="s">
        <v>47</v>
      </c>
      <c r="E797" s="9" t="s">
        <v>1193</v>
      </c>
      <c r="F797" s="9" t="s">
        <v>1194</v>
      </c>
      <c r="G797" s="10">
        <v>45825</v>
      </c>
      <c r="H797" s="10">
        <v>45861</v>
      </c>
      <c r="I797">
        <v>30.9</v>
      </c>
      <c r="J797">
        <v>36.5</v>
      </c>
      <c r="K797" s="9" t="s">
        <v>1321</v>
      </c>
    </row>
    <row r="798" spans="1:11" x14ac:dyDescent="0.35">
      <c r="A798" s="9" t="s">
        <v>2258</v>
      </c>
      <c r="B798" s="9" t="s">
        <v>839</v>
      </c>
      <c r="C798" s="9" t="s">
        <v>46</v>
      </c>
      <c r="D798" s="9" t="s">
        <v>47</v>
      </c>
      <c r="E798" s="9" t="s">
        <v>1143</v>
      </c>
      <c r="F798" s="9" t="s">
        <v>1144</v>
      </c>
      <c r="G798" s="10">
        <v>45755</v>
      </c>
      <c r="H798" s="10">
        <v>45798</v>
      </c>
      <c r="I798">
        <v>28.9</v>
      </c>
      <c r="J798">
        <v>36.700000000000003</v>
      </c>
      <c r="K798" s="9" t="s">
        <v>1321</v>
      </c>
    </row>
    <row r="799" spans="1:11" x14ac:dyDescent="0.35">
      <c r="A799" s="9" t="s">
        <v>2259</v>
      </c>
      <c r="B799" s="9" t="s">
        <v>839</v>
      </c>
      <c r="C799" s="9" t="s">
        <v>46</v>
      </c>
      <c r="D799" s="9" t="s">
        <v>47</v>
      </c>
      <c r="E799" s="9" t="s">
        <v>1190</v>
      </c>
      <c r="F799" s="9" t="s">
        <v>1191</v>
      </c>
      <c r="G799" s="10">
        <v>45862</v>
      </c>
      <c r="H799" s="10">
        <v>45911</v>
      </c>
      <c r="I799">
        <v>27.9</v>
      </c>
      <c r="J799">
        <v>37.200000000000003</v>
      </c>
      <c r="K799" s="9" t="s">
        <v>1321</v>
      </c>
    </row>
    <row r="800" spans="1:11" x14ac:dyDescent="0.35">
      <c r="A800" s="9" t="s">
        <v>2260</v>
      </c>
      <c r="B800" s="9" t="s">
        <v>841</v>
      </c>
      <c r="C800" s="9" t="s">
        <v>62</v>
      </c>
      <c r="D800" s="9" t="s">
        <v>93</v>
      </c>
      <c r="E800" s="9" t="s">
        <v>1147</v>
      </c>
      <c r="F800" s="9" t="s">
        <v>1148</v>
      </c>
      <c r="G800" s="10">
        <v>45748</v>
      </c>
      <c r="H800" s="10">
        <v>45781</v>
      </c>
      <c r="I800">
        <v>15.3</v>
      </c>
      <c r="J800">
        <v>17.5</v>
      </c>
      <c r="K800" s="9" t="s">
        <v>1321</v>
      </c>
    </row>
    <row r="801" spans="1:11" x14ac:dyDescent="0.35">
      <c r="A801" s="9" t="s">
        <v>2261</v>
      </c>
      <c r="B801" s="9" t="s">
        <v>841</v>
      </c>
      <c r="C801" s="9" t="s">
        <v>62</v>
      </c>
      <c r="D801" s="9" t="s">
        <v>93</v>
      </c>
      <c r="E801" s="9" t="s">
        <v>1196</v>
      </c>
      <c r="F801" s="9" t="s">
        <v>1197</v>
      </c>
      <c r="G801" s="10">
        <v>46151</v>
      </c>
      <c r="H801" s="10">
        <v>46174</v>
      </c>
      <c r="I801">
        <v>7.2</v>
      </c>
      <c r="J801">
        <v>7.4</v>
      </c>
      <c r="K801" s="9" t="s">
        <v>1321</v>
      </c>
    </row>
    <row r="802" spans="1:11" x14ac:dyDescent="0.35">
      <c r="A802" s="9" t="s">
        <v>2262</v>
      </c>
      <c r="B802" s="9" t="s">
        <v>843</v>
      </c>
      <c r="C802" s="9" t="s">
        <v>62</v>
      </c>
      <c r="D802" s="9" t="s">
        <v>69</v>
      </c>
      <c r="E802" s="9" t="s">
        <v>1145</v>
      </c>
      <c r="F802" s="9" t="s">
        <v>1146</v>
      </c>
      <c r="G802" s="10">
        <v>45835</v>
      </c>
      <c r="H802" s="10">
        <v>45887</v>
      </c>
      <c r="I802">
        <v>14</v>
      </c>
      <c r="J802">
        <v>19.3</v>
      </c>
      <c r="K802" s="9" t="s">
        <v>1321</v>
      </c>
    </row>
    <row r="803" spans="1:11" x14ac:dyDescent="0.35">
      <c r="A803" s="9" t="s">
        <v>2263</v>
      </c>
      <c r="B803" s="9" t="s">
        <v>843</v>
      </c>
      <c r="C803" s="9" t="s">
        <v>62</v>
      </c>
      <c r="D803" s="9" t="s">
        <v>69</v>
      </c>
      <c r="E803" s="9" t="s">
        <v>1152</v>
      </c>
      <c r="F803" s="9" t="s">
        <v>1153</v>
      </c>
      <c r="G803" s="10">
        <v>46175</v>
      </c>
      <c r="H803" s="10">
        <v>46210</v>
      </c>
      <c r="I803">
        <v>30.6</v>
      </c>
      <c r="J803">
        <v>35.5</v>
      </c>
      <c r="K803" s="9" t="s">
        <v>1321</v>
      </c>
    </row>
    <row r="804" spans="1:11" x14ac:dyDescent="0.35">
      <c r="A804" s="9" t="s">
        <v>2264</v>
      </c>
      <c r="B804" s="9" t="s">
        <v>843</v>
      </c>
      <c r="C804" s="9" t="s">
        <v>62</v>
      </c>
      <c r="D804" s="9" t="s">
        <v>69</v>
      </c>
      <c r="E804" s="9" t="s">
        <v>1143</v>
      </c>
      <c r="F804" s="9" t="s">
        <v>1144</v>
      </c>
      <c r="G804" s="10">
        <v>45959</v>
      </c>
      <c r="H804" s="10">
        <v>45995</v>
      </c>
      <c r="I804">
        <v>12.4</v>
      </c>
      <c r="J804">
        <v>14.7</v>
      </c>
      <c r="K804" s="9" t="s">
        <v>1321</v>
      </c>
    </row>
    <row r="805" spans="1:11" x14ac:dyDescent="0.35">
      <c r="A805" s="9" t="s">
        <v>2265</v>
      </c>
      <c r="B805" s="9" t="s">
        <v>845</v>
      </c>
      <c r="C805" s="9" t="s">
        <v>46</v>
      </c>
      <c r="D805" s="9" t="s">
        <v>56</v>
      </c>
      <c r="E805" s="9" t="s">
        <v>1176</v>
      </c>
      <c r="F805" s="9" t="s">
        <v>1177</v>
      </c>
      <c r="G805" s="10">
        <v>46162</v>
      </c>
      <c r="H805" s="10">
        <v>46198</v>
      </c>
      <c r="I805">
        <v>3.3</v>
      </c>
      <c r="J805">
        <v>3.9</v>
      </c>
      <c r="K805" s="9" t="s">
        <v>1321</v>
      </c>
    </row>
    <row r="806" spans="1:11" x14ac:dyDescent="0.35">
      <c r="A806" s="9" t="s">
        <v>2266</v>
      </c>
      <c r="B806" s="9" t="s">
        <v>845</v>
      </c>
      <c r="C806" s="9" t="s">
        <v>46</v>
      </c>
      <c r="D806" s="9" t="s">
        <v>56</v>
      </c>
      <c r="E806" s="9" t="s">
        <v>1188</v>
      </c>
      <c r="F806" s="9" t="s">
        <v>1189</v>
      </c>
      <c r="G806" s="10">
        <v>45913</v>
      </c>
      <c r="H806" s="10"/>
      <c r="I806">
        <v>19.7</v>
      </c>
      <c r="K806" s="9" t="s">
        <v>1473</v>
      </c>
    </row>
    <row r="807" spans="1:11" x14ac:dyDescent="0.35">
      <c r="A807" s="9" t="s">
        <v>2267</v>
      </c>
      <c r="B807" s="9" t="s">
        <v>845</v>
      </c>
      <c r="C807" s="9" t="s">
        <v>46</v>
      </c>
      <c r="D807" s="9" t="s">
        <v>56</v>
      </c>
      <c r="E807" s="9" t="s">
        <v>1193</v>
      </c>
      <c r="F807" s="9" t="s">
        <v>1194</v>
      </c>
      <c r="G807" s="10">
        <v>45930</v>
      </c>
      <c r="H807" s="10">
        <v>45974</v>
      </c>
      <c r="I807">
        <v>30.9</v>
      </c>
      <c r="J807">
        <v>39.4</v>
      </c>
      <c r="K807" s="9" t="s">
        <v>1321</v>
      </c>
    </row>
    <row r="808" spans="1:11" x14ac:dyDescent="0.35">
      <c r="A808" s="9" t="s">
        <v>2268</v>
      </c>
      <c r="B808" s="9" t="s">
        <v>845</v>
      </c>
      <c r="C808" s="9" t="s">
        <v>46</v>
      </c>
      <c r="D808" s="9" t="s">
        <v>56</v>
      </c>
      <c r="E808" s="9" t="s">
        <v>1180</v>
      </c>
      <c r="F808" s="9" t="s">
        <v>1181</v>
      </c>
      <c r="G808" s="10">
        <v>46162</v>
      </c>
      <c r="H808" s="10">
        <v>46215</v>
      </c>
      <c r="I808">
        <v>2.6</v>
      </c>
      <c r="J808">
        <v>3.7</v>
      </c>
      <c r="K808" s="9" t="s">
        <v>1321</v>
      </c>
    </row>
    <row r="809" spans="1:11" x14ac:dyDescent="0.35">
      <c r="A809" s="9" t="s">
        <v>2269</v>
      </c>
      <c r="B809" s="9" t="s">
        <v>847</v>
      </c>
      <c r="C809" s="9" t="s">
        <v>46</v>
      </c>
      <c r="D809" s="9" t="s">
        <v>80</v>
      </c>
      <c r="E809" s="9" t="s">
        <v>1145</v>
      </c>
      <c r="F809" s="9" t="s">
        <v>1146</v>
      </c>
      <c r="G809" s="10">
        <v>45731</v>
      </c>
      <c r="H809" s="10">
        <v>45762</v>
      </c>
      <c r="I809">
        <v>17.100000000000001</v>
      </c>
      <c r="J809">
        <v>19.100000000000001</v>
      </c>
      <c r="K809" s="9" t="s">
        <v>1321</v>
      </c>
    </row>
    <row r="810" spans="1:11" x14ac:dyDescent="0.35">
      <c r="A810" s="9" t="s">
        <v>2270</v>
      </c>
      <c r="B810" s="9" t="s">
        <v>847</v>
      </c>
      <c r="C810" s="9" t="s">
        <v>46</v>
      </c>
      <c r="D810" s="9" t="s">
        <v>80</v>
      </c>
      <c r="E810" s="9" t="s">
        <v>1171</v>
      </c>
      <c r="F810" s="9" t="s">
        <v>1172</v>
      </c>
      <c r="G810" s="10">
        <v>45991</v>
      </c>
      <c r="H810" s="10">
        <v>46013</v>
      </c>
      <c r="I810">
        <v>18.7</v>
      </c>
      <c r="J810">
        <v>18.7</v>
      </c>
      <c r="K810" s="9" t="s">
        <v>1321</v>
      </c>
    </row>
    <row r="811" spans="1:11" x14ac:dyDescent="0.35">
      <c r="A811" s="9" t="s">
        <v>2271</v>
      </c>
      <c r="B811" s="9" t="s">
        <v>849</v>
      </c>
      <c r="C811" s="9" t="s">
        <v>62</v>
      </c>
      <c r="D811" s="9" t="s">
        <v>93</v>
      </c>
      <c r="E811" s="9" t="s">
        <v>1167</v>
      </c>
      <c r="F811" s="9" t="s">
        <v>1168</v>
      </c>
      <c r="G811" s="10">
        <v>46179</v>
      </c>
      <c r="H811" s="10">
        <v>46202</v>
      </c>
      <c r="I811">
        <v>13.6</v>
      </c>
      <c r="J811">
        <v>13.7</v>
      </c>
      <c r="K811" s="9" t="s">
        <v>1321</v>
      </c>
    </row>
    <row r="812" spans="1:11" x14ac:dyDescent="0.35">
      <c r="A812" s="9" t="s">
        <v>2272</v>
      </c>
      <c r="B812" s="9" t="s">
        <v>849</v>
      </c>
      <c r="C812" s="9" t="s">
        <v>62</v>
      </c>
      <c r="D812" s="9" t="s">
        <v>93</v>
      </c>
      <c r="E812" s="9" t="s">
        <v>1193</v>
      </c>
      <c r="F812" s="9" t="s">
        <v>1194</v>
      </c>
      <c r="G812" s="10">
        <v>45804</v>
      </c>
      <c r="H812" s="10">
        <v>45821</v>
      </c>
      <c r="I812">
        <v>19.600000000000001</v>
      </c>
      <c r="J812">
        <v>18.399999999999999</v>
      </c>
      <c r="K812" s="9" t="s">
        <v>1321</v>
      </c>
    </row>
    <row r="813" spans="1:11" x14ac:dyDescent="0.35">
      <c r="A813" s="9" t="s">
        <v>2273</v>
      </c>
      <c r="B813" s="9" t="s">
        <v>851</v>
      </c>
      <c r="C813" s="9" t="s">
        <v>55</v>
      </c>
      <c r="D813" s="9" t="s">
        <v>69</v>
      </c>
      <c r="E813" s="9" t="s">
        <v>1137</v>
      </c>
      <c r="F813" s="9" t="s">
        <v>1138</v>
      </c>
      <c r="G813" s="10">
        <v>45668</v>
      </c>
      <c r="H813" s="10">
        <v>45723</v>
      </c>
      <c r="I813">
        <v>18.5</v>
      </c>
      <c r="J813">
        <v>26.3</v>
      </c>
      <c r="K813" s="9" t="s">
        <v>1321</v>
      </c>
    </row>
    <row r="814" spans="1:11" x14ac:dyDescent="0.35">
      <c r="A814" s="9" t="s">
        <v>2274</v>
      </c>
      <c r="B814" s="9" t="s">
        <v>853</v>
      </c>
      <c r="C814" s="9" t="s">
        <v>46</v>
      </c>
      <c r="D814" s="9" t="s">
        <v>93</v>
      </c>
      <c r="E814" s="9" t="s">
        <v>1137</v>
      </c>
      <c r="F814" s="9" t="s">
        <v>1138</v>
      </c>
      <c r="G814" s="10">
        <v>46125</v>
      </c>
      <c r="H814" s="10">
        <v>46163</v>
      </c>
      <c r="I814">
        <v>27</v>
      </c>
      <c r="J814">
        <v>32.4</v>
      </c>
      <c r="K814" s="9" t="s">
        <v>1321</v>
      </c>
    </row>
    <row r="815" spans="1:11" x14ac:dyDescent="0.35">
      <c r="A815" s="9" t="s">
        <v>2275</v>
      </c>
      <c r="B815" s="9" t="s">
        <v>853</v>
      </c>
      <c r="C815" s="9" t="s">
        <v>46</v>
      </c>
      <c r="D815" s="9" t="s">
        <v>93</v>
      </c>
      <c r="E815" s="9" t="s">
        <v>1196</v>
      </c>
      <c r="F815" s="9" t="s">
        <v>1197</v>
      </c>
      <c r="G815" s="10">
        <v>45684</v>
      </c>
      <c r="H815" s="10">
        <v>45739</v>
      </c>
      <c r="I815">
        <v>17.8</v>
      </c>
      <c r="J815">
        <v>25.2</v>
      </c>
      <c r="K815" s="9" t="s">
        <v>1321</v>
      </c>
    </row>
    <row r="816" spans="1:11" x14ac:dyDescent="0.35">
      <c r="A816" s="9" t="s">
        <v>2276</v>
      </c>
      <c r="B816" s="9" t="s">
        <v>853</v>
      </c>
      <c r="C816" s="9" t="s">
        <v>46</v>
      </c>
      <c r="D816" s="9" t="s">
        <v>93</v>
      </c>
      <c r="E816" s="9" t="s">
        <v>1147</v>
      </c>
      <c r="F816" s="9" t="s">
        <v>1148</v>
      </c>
      <c r="G816" s="10">
        <v>46135</v>
      </c>
      <c r="H816" s="10">
        <v>46173</v>
      </c>
      <c r="I816">
        <v>28.2</v>
      </c>
      <c r="J816">
        <v>33.700000000000003</v>
      </c>
      <c r="K816" s="9" t="s">
        <v>1321</v>
      </c>
    </row>
    <row r="817" spans="1:11" x14ac:dyDescent="0.35">
      <c r="A817" s="9" t="s">
        <v>2277</v>
      </c>
      <c r="B817" s="9" t="s">
        <v>855</v>
      </c>
      <c r="C817" s="9" t="s">
        <v>55</v>
      </c>
      <c r="D817" s="9" t="s">
        <v>56</v>
      </c>
      <c r="E817" s="9" t="s">
        <v>1129</v>
      </c>
      <c r="F817" s="9" t="s">
        <v>1130</v>
      </c>
      <c r="G817" s="10">
        <v>46202</v>
      </c>
      <c r="H817" s="10">
        <v>46258</v>
      </c>
      <c r="I817">
        <v>22.4</v>
      </c>
      <c r="J817">
        <v>32.1</v>
      </c>
      <c r="K817" s="9" t="s">
        <v>1321</v>
      </c>
    </row>
    <row r="818" spans="1:11" x14ac:dyDescent="0.35">
      <c r="A818" s="9" t="s">
        <v>2278</v>
      </c>
      <c r="B818" s="9" t="s">
        <v>855</v>
      </c>
      <c r="C818" s="9" t="s">
        <v>55</v>
      </c>
      <c r="D818" s="9" t="s">
        <v>56</v>
      </c>
      <c r="E818" s="9" t="s">
        <v>1211</v>
      </c>
      <c r="F818" s="9" t="s">
        <v>1212</v>
      </c>
      <c r="G818" s="10">
        <v>45930</v>
      </c>
      <c r="H818" s="10">
        <v>45946</v>
      </c>
      <c r="I818">
        <v>30.9</v>
      </c>
      <c r="J818">
        <v>28.5</v>
      </c>
      <c r="K818" s="9" t="s">
        <v>1321</v>
      </c>
    </row>
    <row r="819" spans="1:11" x14ac:dyDescent="0.35">
      <c r="A819" s="9" t="s">
        <v>2279</v>
      </c>
      <c r="B819" s="9" t="s">
        <v>857</v>
      </c>
      <c r="C819" s="9" t="s">
        <v>55</v>
      </c>
      <c r="D819" s="9" t="s">
        <v>112</v>
      </c>
      <c r="E819" s="9" t="s">
        <v>1145</v>
      </c>
      <c r="F819" s="9" t="s">
        <v>1146</v>
      </c>
      <c r="G819" s="10">
        <v>45778</v>
      </c>
      <c r="H819" s="10">
        <v>45796</v>
      </c>
      <c r="I819">
        <v>11.7</v>
      </c>
      <c r="J819">
        <v>11</v>
      </c>
      <c r="K819" s="9" t="s">
        <v>1321</v>
      </c>
    </row>
    <row r="820" spans="1:11" x14ac:dyDescent="0.35">
      <c r="A820" s="9" t="s">
        <v>2280</v>
      </c>
      <c r="B820" s="9" t="s">
        <v>857</v>
      </c>
      <c r="C820" s="9" t="s">
        <v>55</v>
      </c>
      <c r="D820" s="9" t="s">
        <v>112</v>
      </c>
      <c r="E820" s="9" t="s">
        <v>1129</v>
      </c>
      <c r="F820" s="9" t="s">
        <v>1130</v>
      </c>
      <c r="G820" s="10">
        <v>46039</v>
      </c>
      <c r="H820" s="10">
        <v>46051</v>
      </c>
      <c r="I820">
        <v>32</v>
      </c>
      <c r="J820">
        <v>27.6</v>
      </c>
      <c r="K820" s="9" t="s">
        <v>1321</v>
      </c>
    </row>
    <row r="821" spans="1:11" x14ac:dyDescent="0.35">
      <c r="A821" s="9" t="s">
        <v>2281</v>
      </c>
      <c r="B821" s="9" t="s">
        <v>859</v>
      </c>
      <c r="C821" s="9" t="s">
        <v>62</v>
      </c>
      <c r="D821" s="9" t="s">
        <v>63</v>
      </c>
      <c r="E821" s="9" t="s">
        <v>1190</v>
      </c>
      <c r="F821" s="9" t="s">
        <v>1191</v>
      </c>
      <c r="G821" s="10">
        <v>45925</v>
      </c>
      <c r="H821" s="10">
        <v>45979</v>
      </c>
      <c r="I821">
        <v>23.8</v>
      </c>
      <c r="J821">
        <v>33.6</v>
      </c>
      <c r="K821" s="9" t="s">
        <v>1321</v>
      </c>
    </row>
    <row r="822" spans="1:11" x14ac:dyDescent="0.35">
      <c r="A822" s="9" t="s">
        <v>2282</v>
      </c>
      <c r="B822" s="9" t="s">
        <v>859</v>
      </c>
      <c r="C822" s="9" t="s">
        <v>62</v>
      </c>
      <c r="D822" s="9" t="s">
        <v>63</v>
      </c>
      <c r="E822" s="9" t="s">
        <v>1162</v>
      </c>
      <c r="F822" s="9" t="s">
        <v>1163</v>
      </c>
      <c r="G822" s="10">
        <v>45860</v>
      </c>
      <c r="H822" s="10">
        <v>45888</v>
      </c>
      <c r="I822">
        <v>2.7</v>
      </c>
      <c r="J822">
        <v>2.9</v>
      </c>
      <c r="K822" s="9" t="s">
        <v>1321</v>
      </c>
    </row>
    <row r="823" spans="1:11" x14ac:dyDescent="0.35">
      <c r="A823" s="9" t="s">
        <v>2283</v>
      </c>
      <c r="B823" s="9" t="s">
        <v>859</v>
      </c>
      <c r="C823" s="9" t="s">
        <v>62</v>
      </c>
      <c r="D823" s="9" t="s">
        <v>63</v>
      </c>
      <c r="E823" s="9" t="s">
        <v>1190</v>
      </c>
      <c r="F823" s="9" t="s">
        <v>1191</v>
      </c>
      <c r="G823" s="10">
        <v>46181</v>
      </c>
      <c r="H823" s="10">
        <v>46216</v>
      </c>
      <c r="I823">
        <v>26.7</v>
      </c>
      <c r="J823">
        <v>31.1</v>
      </c>
      <c r="K823" s="9" t="s">
        <v>1321</v>
      </c>
    </row>
    <row r="824" spans="1:11" x14ac:dyDescent="0.35">
      <c r="A824" s="9" t="s">
        <v>2284</v>
      </c>
      <c r="B824" s="9" t="s">
        <v>861</v>
      </c>
      <c r="C824" s="9" t="s">
        <v>46</v>
      </c>
      <c r="D824" s="9" t="s">
        <v>47</v>
      </c>
      <c r="E824" s="9" t="s">
        <v>1145</v>
      </c>
      <c r="F824" s="9" t="s">
        <v>1146</v>
      </c>
      <c r="G824" s="10">
        <v>45770</v>
      </c>
      <c r="H824" s="10">
        <v>45800</v>
      </c>
      <c r="I824">
        <v>35</v>
      </c>
      <c r="J824">
        <v>38.4</v>
      </c>
      <c r="K824" s="9" t="s">
        <v>1321</v>
      </c>
    </row>
    <row r="825" spans="1:11" x14ac:dyDescent="0.35">
      <c r="A825" s="9" t="s">
        <v>2285</v>
      </c>
      <c r="B825" s="9" t="s">
        <v>861</v>
      </c>
      <c r="C825" s="9" t="s">
        <v>46</v>
      </c>
      <c r="D825" s="9" t="s">
        <v>47</v>
      </c>
      <c r="E825" s="9" t="s">
        <v>1196</v>
      </c>
      <c r="F825" s="9" t="s">
        <v>1197</v>
      </c>
      <c r="G825" s="10">
        <v>46175</v>
      </c>
      <c r="H825" s="10"/>
      <c r="I825">
        <v>9.6</v>
      </c>
      <c r="K825" s="9" t="s">
        <v>1325</v>
      </c>
    </row>
    <row r="826" spans="1:11" x14ac:dyDescent="0.35">
      <c r="A826" s="9" t="s">
        <v>2286</v>
      </c>
      <c r="B826" s="9" t="s">
        <v>863</v>
      </c>
      <c r="C826" s="9" t="s">
        <v>46</v>
      </c>
      <c r="D826" s="9" t="s">
        <v>47</v>
      </c>
      <c r="E826" s="9" t="s">
        <v>1152</v>
      </c>
      <c r="F826" s="9" t="s">
        <v>1153</v>
      </c>
      <c r="G826" s="10">
        <v>46193</v>
      </c>
      <c r="H826" s="10">
        <v>46231</v>
      </c>
      <c r="I826">
        <v>26</v>
      </c>
      <c r="J826">
        <v>31.2</v>
      </c>
      <c r="K826" s="9" t="s">
        <v>1321</v>
      </c>
    </row>
    <row r="827" spans="1:11" x14ac:dyDescent="0.35">
      <c r="A827" s="9" t="s">
        <v>2287</v>
      </c>
      <c r="B827" s="9" t="s">
        <v>865</v>
      </c>
      <c r="C827" s="9" t="s">
        <v>46</v>
      </c>
      <c r="D827" s="9" t="s">
        <v>47</v>
      </c>
      <c r="E827" s="9" t="s">
        <v>1183</v>
      </c>
      <c r="F827" s="9" t="s">
        <v>1184</v>
      </c>
      <c r="G827" s="10">
        <v>45701</v>
      </c>
      <c r="H827" s="10">
        <v>45749</v>
      </c>
      <c r="I827">
        <v>28.5</v>
      </c>
      <c r="J827">
        <v>37.799999999999997</v>
      </c>
      <c r="K827" s="9" t="s">
        <v>1321</v>
      </c>
    </row>
    <row r="828" spans="1:11" x14ac:dyDescent="0.35">
      <c r="A828" s="9" t="s">
        <v>2288</v>
      </c>
      <c r="B828" s="9" t="s">
        <v>865</v>
      </c>
      <c r="C828" s="9" t="s">
        <v>46</v>
      </c>
      <c r="D828" s="9" t="s">
        <v>47</v>
      </c>
      <c r="E828" s="9" t="s">
        <v>1152</v>
      </c>
      <c r="F828" s="9" t="s">
        <v>1153</v>
      </c>
      <c r="G828" s="10">
        <v>45727</v>
      </c>
      <c r="H828" s="10">
        <v>45774</v>
      </c>
      <c r="I828">
        <v>20.399999999999999</v>
      </c>
      <c r="J828">
        <v>26.8</v>
      </c>
      <c r="K828" s="9" t="s">
        <v>1321</v>
      </c>
    </row>
    <row r="829" spans="1:11" x14ac:dyDescent="0.35">
      <c r="A829" s="9" t="s">
        <v>2289</v>
      </c>
      <c r="B829" s="9" t="s">
        <v>865</v>
      </c>
      <c r="C829" s="9" t="s">
        <v>46</v>
      </c>
      <c r="D829" s="9" t="s">
        <v>47</v>
      </c>
      <c r="E829" s="9" t="s">
        <v>1190</v>
      </c>
      <c r="F829" s="9" t="s">
        <v>1191</v>
      </c>
      <c r="G829" s="10">
        <v>46010</v>
      </c>
      <c r="H829" s="10">
        <v>46064</v>
      </c>
      <c r="I829">
        <v>12.3</v>
      </c>
      <c r="J829">
        <v>17.3</v>
      </c>
      <c r="K829" s="9" t="s">
        <v>1321</v>
      </c>
    </row>
    <row r="830" spans="1:11" x14ac:dyDescent="0.35">
      <c r="A830" s="9" t="s">
        <v>2290</v>
      </c>
      <c r="B830" s="9" t="s">
        <v>867</v>
      </c>
      <c r="C830" s="9" t="s">
        <v>46</v>
      </c>
      <c r="D830" s="9" t="s">
        <v>56</v>
      </c>
      <c r="E830" s="9" t="s">
        <v>1190</v>
      </c>
      <c r="F830" s="9" t="s">
        <v>1191</v>
      </c>
      <c r="G830" s="10">
        <v>45679</v>
      </c>
      <c r="H830" s="10">
        <v>45695</v>
      </c>
      <c r="I830">
        <v>32.700000000000003</v>
      </c>
      <c r="J830">
        <v>30</v>
      </c>
      <c r="K830" s="9" t="s">
        <v>1321</v>
      </c>
    </row>
    <row r="831" spans="1:11" x14ac:dyDescent="0.35">
      <c r="A831" s="9" t="s">
        <v>2291</v>
      </c>
      <c r="B831" s="9" t="s">
        <v>867</v>
      </c>
      <c r="C831" s="9" t="s">
        <v>46</v>
      </c>
      <c r="D831" s="9" t="s">
        <v>56</v>
      </c>
      <c r="E831" s="9" t="s">
        <v>1171</v>
      </c>
      <c r="F831" s="9" t="s">
        <v>1172</v>
      </c>
      <c r="G831" s="10">
        <v>46196</v>
      </c>
      <c r="H831" s="10">
        <v>46244</v>
      </c>
      <c r="I831">
        <v>8.3000000000000007</v>
      </c>
      <c r="J831">
        <v>11.1</v>
      </c>
      <c r="K831" s="9" t="s">
        <v>1321</v>
      </c>
    </row>
    <row r="832" spans="1:11" x14ac:dyDescent="0.35">
      <c r="A832" s="9" t="s">
        <v>2292</v>
      </c>
      <c r="B832" s="9" t="s">
        <v>867</v>
      </c>
      <c r="C832" s="9" t="s">
        <v>46</v>
      </c>
      <c r="D832" s="9" t="s">
        <v>56</v>
      </c>
      <c r="E832" s="9" t="s">
        <v>1145</v>
      </c>
      <c r="F832" s="9" t="s">
        <v>1146</v>
      </c>
      <c r="G832" s="10">
        <v>45848</v>
      </c>
      <c r="H832" s="10">
        <v>45869</v>
      </c>
      <c r="I832">
        <v>3.4</v>
      </c>
      <c r="J832">
        <v>3.3</v>
      </c>
      <c r="K832" s="9" t="s">
        <v>1321</v>
      </c>
    </row>
    <row r="833" spans="1:11" x14ac:dyDescent="0.35">
      <c r="A833" s="9" t="s">
        <v>2293</v>
      </c>
      <c r="B833" s="9" t="s">
        <v>869</v>
      </c>
      <c r="C833" s="9" t="s">
        <v>46</v>
      </c>
      <c r="D833" s="9" t="s">
        <v>47</v>
      </c>
      <c r="E833" s="9" t="s">
        <v>1145</v>
      </c>
      <c r="F833" s="9" t="s">
        <v>1146</v>
      </c>
      <c r="G833" s="10">
        <v>45851</v>
      </c>
      <c r="H833" s="10">
        <v>45871</v>
      </c>
      <c r="I833">
        <v>22.5</v>
      </c>
      <c r="J833">
        <v>22</v>
      </c>
      <c r="K833" s="9" t="s">
        <v>1321</v>
      </c>
    </row>
    <row r="834" spans="1:11" x14ac:dyDescent="0.35">
      <c r="A834" s="9" t="s">
        <v>2294</v>
      </c>
      <c r="B834" s="9" t="s">
        <v>869</v>
      </c>
      <c r="C834" s="9" t="s">
        <v>46</v>
      </c>
      <c r="D834" s="9" t="s">
        <v>47</v>
      </c>
      <c r="E834" s="9" t="s">
        <v>1162</v>
      </c>
      <c r="F834" s="9" t="s">
        <v>1163</v>
      </c>
      <c r="G834" s="10">
        <v>45832</v>
      </c>
      <c r="H834" s="10">
        <v>45874</v>
      </c>
      <c r="I834">
        <v>12.7</v>
      </c>
      <c r="J834">
        <v>15.9</v>
      </c>
      <c r="K834" s="9" t="s">
        <v>1321</v>
      </c>
    </row>
    <row r="835" spans="1:11" x14ac:dyDescent="0.35">
      <c r="A835" s="9" t="s">
        <v>2295</v>
      </c>
      <c r="B835" s="9" t="s">
        <v>869</v>
      </c>
      <c r="C835" s="9" t="s">
        <v>46</v>
      </c>
      <c r="D835" s="9" t="s">
        <v>47</v>
      </c>
      <c r="E835" s="9" t="s">
        <v>1129</v>
      </c>
      <c r="F835" s="9" t="s">
        <v>1130</v>
      </c>
      <c r="G835" s="10">
        <v>45804</v>
      </c>
      <c r="H835" s="10">
        <v>45849</v>
      </c>
      <c r="I835">
        <v>33.9</v>
      </c>
      <c r="J835">
        <v>43.6</v>
      </c>
      <c r="K835" s="9" t="s">
        <v>1321</v>
      </c>
    </row>
    <row r="836" spans="1:11" x14ac:dyDescent="0.35">
      <c r="A836" s="9" t="s">
        <v>2296</v>
      </c>
      <c r="B836" s="9" t="s">
        <v>871</v>
      </c>
      <c r="C836" s="9" t="s">
        <v>62</v>
      </c>
      <c r="D836" s="9" t="s">
        <v>47</v>
      </c>
      <c r="E836" s="9" t="s">
        <v>1155</v>
      </c>
      <c r="F836" s="9" t="s">
        <v>1156</v>
      </c>
      <c r="G836" s="10">
        <v>45791</v>
      </c>
      <c r="H836" s="10">
        <v>45797</v>
      </c>
      <c r="I836">
        <v>35.799999999999997</v>
      </c>
      <c r="J836">
        <v>28.4</v>
      </c>
      <c r="K836" s="9" t="s">
        <v>1321</v>
      </c>
    </row>
    <row r="837" spans="1:11" x14ac:dyDescent="0.35">
      <c r="A837" s="9" t="s">
        <v>2297</v>
      </c>
      <c r="B837" s="9" t="s">
        <v>871</v>
      </c>
      <c r="C837" s="9" t="s">
        <v>62</v>
      </c>
      <c r="D837" s="9" t="s">
        <v>47</v>
      </c>
      <c r="E837" s="9" t="s">
        <v>1171</v>
      </c>
      <c r="F837" s="9" t="s">
        <v>1172</v>
      </c>
      <c r="G837" s="10">
        <v>46126</v>
      </c>
      <c r="H837" s="10">
        <v>46181</v>
      </c>
      <c r="I837">
        <v>27.7</v>
      </c>
      <c r="J837">
        <v>39.1</v>
      </c>
      <c r="K837" s="9" t="s">
        <v>1321</v>
      </c>
    </row>
    <row r="838" spans="1:11" x14ac:dyDescent="0.35">
      <c r="A838" s="9" t="s">
        <v>2298</v>
      </c>
      <c r="B838" s="9" t="s">
        <v>873</v>
      </c>
      <c r="C838" s="9" t="s">
        <v>46</v>
      </c>
      <c r="D838" s="9" t="s">
        <v>76</v>
      </c>
      <c r="E838" s="9" t="s">
        <v>1196</v>
      </c>
      <c r="F838" s="9" t="s">
        <v>1197</v>
      </c>
      <c r="G838" s="10">
        <v>46171</v>
      </c>
      <c r="H838" s="10">
        <v>46175</v>
      </c>
      <c r="I838">
        <v>4.2</v>
      </c>
      <c r="J838">
        <v>3.2</v>
      </c>
      <c r="K838" s="9" t="s">
        <v>1321</v>
      </c>
    </row>
    <row r="839" spans="1:11" x14ac:dyDescent="0.35">
      <c r="A839" s="9" t="s">
        <v>2299</v>
      </c>
      <c r="B839" s="9" t="s">
        <v>875</v>
      </c>
      <c r="C839" s="9" t="s">
        <v>46</v>
      </c>
      <c r="D839" s="9" t="s">
        <v>47</v>
      </c>
      <c r="E839" s="9" t="s">
        <v>1129</v>
      </c>
      <c r="F839" s="9" t="s">
        <v>1130</v>
      </c>
      <c r="G839" s="10">
        <v>46145</v>
      </c>
      <c r="H839" s="10">
        <v>46155</v>
      </c>
      <c r="I839">
        <v>23.3</v>
      </c>
      <c r="J839">
        <v>19.7</v>
      </c>
      <c r="K839" s="9" t="s">
        <v>1321</v>
      </c>
    </row>
    <row r="840" spans="1:11" x14ac:dyDescent="0.35">
      <c r="A840" s="9" t="s">
        <v>2300</v>
      </c>
      <c r="B840" s="9" t="s">
        <v>875</v>
      </c>
      <c r="C840" s="9" t="s">
        <v>46</v>
      </c>
      <c r="D840" s="9" t="s">
        <v>47</v>
      </c>
      <c r="E840" s="9" t="s">
        <v>1211</v>
      </c>
      <c r="F840" s="9" t="s">
        <v>1212</v>
      </c>
      <c r="G840" s="10">
        <v>46186</v>
      </c>
      <c r="H840" s="10">
        <v>46191</v>
      </c>
      <c r="I840">
        <v>26.6</v>
      </c>
      <c r="J840">
        <v>21</v>
      </c>
      <c r="K840" s="9" t="s">
        <v>1321</v>
      </c>
    </row>
    <row r="841" spans="1:11" x14ac:dyDescent="0.35">
      <c r="A841" s="9" t="s">
        <v>2301</v>
      </c>
      <c r="B841" s="9" t="s">
        <v>877</v>
      </c>
      <c r="C841" s="9" t="s">
        <v>46</v>
      </c>
      <c r="D841" s="9" t="s">
        <v>112</v>
      </c>
      <c r="E841" s="9" t="s">
        <v>1180</v>
      </c>
      <c r="F841" s="9" t="s">
        <v>1181</v>
      </c>
      <c r="G841" s="10">
        <v>45863</v>
      </c>
      <c r="H841" s="10">
        <v>45901</v>
      </c>
      <c r="I841">
        <v>8.9</v>
      </c>
      <c r="J841">
        <v>10.7</v>
      </c>
      <c r="K841" s="9" t="s">
        <v>1321</v>
      </c>
    </row>
    <row r="842" spans="1:11" x14ac:dyDescent="0.35">
      <c r="A842" s="9" t="s">
        <v>2302</v>
      </c>
      <c r="B842" s="9" t="s">
        <v>879</v>
      </c>
      <c r="C842" s="9" t="s">
        <v>55</v>
      </c>
      <c r="D842" s="9" t="s">
        <v>93</v>
      </c>
      <c r="E842" s="9" t="s">
        <v>1158</v>
      </c>
      <c r="F842" s="9" t="s">
        <v>1159</v>
      </c>
      <c r="G842" s="10">
        <v>45736</v>
      </c>
      <c r="H842" s="10">
        <v>45789</v>
      </c>
      <c r="I842">
        <v>16.7</v>
      </c>
      <c r="J842">
        <v>23.4</v>
      </c>
      <c r="K842" s="9" t="s">
        <v>1321</v>
      </c>
    </row>
    <row r="843" spans="1:11" x14ac:dyDescent="0.35">
      <c r="A843" s="9" t="s">
        <v>2303</v>
      </c>
      <c r="B843" s="9" t="s">
        <v>879</v>
      </c>
      <c r="C843" s="9" t="s">
        <v>55</v>
      </c>
      <c r="D843" s="9" t="s">
        <v>93</v>
      </c>
      <c r="E843" s="9" t="s">
        <v>1196</v>
      </c>
      <c r="F843" s="9" t="s">
        <v>1197</v>
      </c>
      <c r="G843" s="10">
        <v>45813</v>
      </c>
      <c r="H843" s="10">
        <v>45870</v>
      </c>
      <c r="I843">
        <v>29.4</v>
      </c>
      <c r="J843">
        <v>42.5</v>
      </c>
      <c r="K843" s="9" t="s">
        <v>1321</v>
      </c>
    </row>
    <row r="844" spans="1:11" x14ac:dyDescent="0.35">
      <c r="A844" s="9" t="s">
        <v>2304</v>
      </c>
      <c r="B844" s="9" t="s">
        <v>881</v>
      </c>
      <c r="C844" s="9" t="s">
        <v>46</v>
      </c>
      <c r="D844" s="9" t="s">
        <v>93</v>
      </c>
      <c r="E844" s="9" t="s">
        <v>1162</v>
      </c>
      <c r="F844" s="9" t="s">
        <v>1163</v>
      </c>
      <c r="G844" s="10">
        <v>45725</v>
      </c>
      <c r="H844" s="10">
        <v>45757</v>
      </c>
      <c r="I844">
        <v>33.4</v>
      </c>
      <c r="J844">
        <v>37.799999999999997</v>
      </c>
      <c r="K844" s="9" t="s">
        <v>1321</v>
      </c>
    </row>
    <row r="845" spans="1:11" x14ac:dyDescent="0.35">
      <c r="A845" s="9" t="s">
        <v>2305</v>
      </c>
      <c r="B845" s="9" t="s">
        <v>881</v>
      </c>
      <c r="C845" s="9" t="s">
        <v>46</v>
      </c>
      <c r="D845" s="9" t="s">
        <v>93</v>
      </c>
      <c r="E845" s="9" t="s">
        <v>1145</v>
      </c>
      <c r="F845" s="9" t="s">
        <v>1146</v>
      </c>
      <c r="G845" s="10">
        <v>45713</v>
      </c>
      <c r="H845" s="10">
        <v>45735</v>
      </c>
      <c r="I845">
        <v>19.899999999999999</v>
      </c>
      <c r="J845">
        <v>19.8</v>
      </c>
      <c r="K845" s="9" t="s">
        <v>1321</v>
      </c>
    </row>
    <row r="846" spans="1:11" x14ac:dyDescent="0.35">
      <c r="A846" s="9" t="s">
        <v>2306</v>
      </c>
      <c r="B846" s="9" t="s">
        <v>881</v>
      </c>
      <c r="C846" s="9" t="s">
        <v>46</v>
      </c>
      <c r="D846" s="9" t="s">
        <v>93</v>
      </c>
      <c r="E846" s="9" t="s">
        <v>1211</v>
      </c>
      <c r="F846" s="9" t="s">
        <v>1212</v>
      </c>
      <c r="G846" s="10">
        <v>45679</v>
      </c>
      <c r="H846" s="10">
        <v>45684</v>
      </c>
      <c r="I846">
        <v>25.6</v>
      </c>
      <c r="J846">
        <v>20.100000000000001</v>
      </c>
      <c r="K846" s="9" t="s">
        <v>1321</v>
      </c>
    </row>
    <row r="847" spans="1:11" x14ac:dyDescent="0.35">
      <c r="A847" s="9" t="s">
        <v>2307</v>
      </c>
      <c r="B847" s="9" t="s">
        <v>883</v>
      </c>
      <c r="C847" s="9" t="s">
        <v>46</v>
      </c>
      <c r="D847" s="9" t="s">
        <v>69</v>
      </c>
      <c r="E847" s="9" t="s">
        <v>1180</v>
      </c>
      <c r="F847" s="9" t="s">
        <v>1181</v>
      </c>
      <c r="G847" s="10">
        <v>45812</v>
      </c>
      <c r="H847" s="10">
        <v>45858</v>
      </c>
      <c r="I847">
        <v>9.6999999999999993</v>
      </c>
      <c r="J847">
        <v>12.7</v>
      </c>
      <c r="K847" s="9" t="s">
        <v>1321</v>
      </c>
    </row>
    <row r="848" spans="1:11" x14ac:dyDescent="0.35">
      <c r="A848" s="9" t="s">
        <v>2308</v>
      </c>
      <c r="B848" s="9" t="s">
        <v>883</v>
      </c>
      <c r="C848" s="9" t="s">
        <v>46</v>
      </c>
      <c r="D848" s="9" t="s">
        <v>69</v>
      </c>
      <c r="E848" s="9" t="s">
        <v>1183</v>
      </c>
      <c r="F848" s="9" t="s">
        <v>1184</v>
      </c>
      <c r="G848" s="10">
        <v>46048</v>
      </c>
      <c r="H848" s="10">
        <v>46072</v>
      </c>
      <c r="I848">
        <v>35.299999999999997</v>
      </c>
      <c r="J848">
        <v>36</v>
      </c>
      <c r="K848" s="9" t="s">
        <v>1321</v>
      </c>
    </row>
    <row r="849" spans="1:11" x14ac:dyDescent="0.35">
      <c r="A849" s="9" t="s">
        <v>2309</v>
      </c>
      <c r="B849" s="9" t="s">
        <v>885</v>
      </c>
      <c r="C849" s="9" t="s">
        <v>46</v>
      </c>
      <c r="D849" s="9" t="s">
        <v>63</v>
      </c>
      <c r="E849" s="9" t="s">
        <v>1152</v>
      </c>
      <c r="F849" s="9" t="s">
        <v>1153</v>
      </c>
      <c r="G849" s="10">
        <v>45941</v>
      </c>
      <c r="H849" s="10">
        <v>45945</v>
      </c>
      <c r="I849">
        <v>16.3</v>
      </c>
      <c r="J849">
        <v>12.6</v>
      </c>
      <c r="K849" s="9" t="s">
        <v>1321</v>
      </c>
    </row>
    <row r="850" spans="1:11" x14ac:dyDescent="0.35">
      <c r="A850" s="9" t="s">
        <v>2310</v>
      </c>
      <c r="B850" s="9" t="s">
        <v>887</v>
      </c>
      <c r="C850" s="9" t="s">
        <v>46</v>
      </c>
      <c r="D850" s="9" t="s">
        <v>112</v>
      </c>
      <c r="E850" s="9" t="s">
        <v>1147</v>
      </c>
      <c r="F850" s="9" t="s">
        <v>1148</v>
      </c>
      <c r="G850" s="10">
        <v>45985</v>
      </c>
      <c r="H850" s="10"/>
      <c r="I850">
        <v>4.8</v>
      </c>
      <c r="K850" s="9" t="s">
        <v>1473</v>
      </c>
    </row>
    <row r="851" spans="1:11" x14ac:dyDescent="0.35">
      <c r="A851" s="9" t="s">
        <v>2311</v>
      </c>
      <c r="B851" s="9" t="s">
        <v>887</v>
      </c>
      <c r="C851" s="9" t="s">
        <v>46</v>
      </c>
      <c r="D851" s="9" t="s">
        <v>112</v>
      </c>
      <c r="E851" s="9" t="s">
        <v>1180</v>
      </c>
      <c r="F851" s="9" t="s">
        <v>1181</v>
      </c>
      <c r="G851" s="10">
        <v>46007</v>
      </c>
      <c r="H851" s="10">
        <v>46037</v>
      </c>
      <c r="I851">
        <v>25.1</v>
      </c>
      <c r="J851">
        <v>27.5</v>
      </c>
      <c r="K851" s="9" t="s">
        <v>1321</v>
      </c>
    </row>
    <row r="852" spans="1:11" x14ac:dyDescent="0.35">
      <c r="A852" s="9" t="s">
        <v>2312</v>
      </c>
      <c r="B852" s="9" t="s">
        <v>889</v>
      </c>
      <c r="C852" s="9" t="s">
        <v>46</v>
      </c>
      <c r="D852" s="9" t="s">
        <v>76</v>
      </c>
      <c r="E852" s="9" t="s">
        <v>1211</v>
      </c>
      <c r="F852" s="9" t="s">
        <v>1212</v>
      </c>
      <c r="G852" s="10">
        <v>45898</v>
      </c>
      <c r="H852" s="10">
        <v>45907</v>
      </c>
      <c r="I852">
        <v>15.6</v>
      </c>
      <c r="J852">
        <v>13</v>
      </c>
      <c r="K852" s="9" t="s">
        <v>1321</v>
      </c>
    </row>
    <row r="853" spans="1:11" x14ac:dyDescent="0.35">
      <c r="A853" s="9" t="s">
        <v>2313</v>
      </c>
      <c r="B853" s="9" t="s">
        <v>889</v>
      </c>
      <c r="C853" s="9" t="s">
        <v>46</v>
      </c>
      <c r="D853" s="9" t="s">
        <v>76</v>
      </c>
      <c r="E853" s="9" t="s">
        <v>1171</v>
      </c>
      <c r="F853" s="9" t="s">
        <v>1172</v>
      </c>
      <c r="G853" s="10">
        <v>46067</v>
      </c>
      <c r="H853" s="10">
        <v>46083</v>
      </c>
      <c r="I853">
        <v>18</v>
      </c>
      <c r="J853">
        <v>16.600000000000001</v>
      </c>
      <c r="K853" s="9" t="s">
        <v>1321</v>
      </c>
    </row>
    <row r="854" spans="1:11" x14ac:dyDescent="0.35">
      <c r="A854" s="9" t="s">
        <v>2314</v>
      </c>
      <c r="B854" s="9" t="s">
        <v>891</v>
      </c>
      <c r="C854" s="9" t="s">
        <v>46</v>
      </c>
      <c r="D854" s="9" t="s">
        <v>47</v>
      </c>
      <c r="E854" s="9" t="s">
        <v>1211</v>
      </c>
      <c r="F854" s="9" t="s">
        <v>1212</v>
      </c>
      <c r="G854" s="10">
        <v>45771</v>
      </c>
      <c r="H854" s="10">
        <v>45795</v>
      </c>
      <c r="I854">
        <v>34.799999999999997</v>
      </c>
      <c r="J854">
        <v>35.6</v>
      </c>
      <c r="K854" s="9" t="s">
        <v>1321</v>
      </c>
    </row>
    <row r="855" spans="1:11" x14ac:dyDescent="0.35">
      <c r="A855" s="9" t="s">
        <v>2315</v>
      </c>
      <c r="B855" s="9" t="s">
        <v>891</v>
      </c>
      <c r="C855" s="9" t="s">
        <v>46</v>
      </c>
      <c r="D855" s="9" t="s">
        <v>47</v>
      </c>
      <c r="E855" s="9" t="s">
        <v>1176</v>
      </c>
      <c r="F855" s="9" t="s">
        <v>1177</v>
      </c>
      <c r="G855" s="10">
        <v>46048</v>
      </c>
      <c r="H855" s="10">
        <v>46054</v>
      </c>
      <c r="I855">
        <v>6.6</v>
      </c>
      <c r="J855">
        <v>5.3</v>
      </c>
      <c r="K855" s="9" t="s">
        <v>1321</v>
      </c>
    </row>
    <row r="856" spans="1:11" x14ac:dyDescent="0.35">
      <c r="A856" s="9" t="s">
        <v>2316</v>
      </c>
      <c r="B856" s="9" t="s">
        <v>893</v>
      </c>
      <c r="C856" s="9" t="s">
        <v>46</v>
      </c>
      <c r="D856" s="9" t="s">
        <v>76</v>
      </c>
      <c r="E856" s="9" t="s">
        <v>1147</v>
      </c>
      <c r="F856" s="9" t="s">
        <v>1148</v>
      </c>
      <c r="G856" s="10">
        <v>46196</v>
      </c>
      <c r="H856" s="10">
        <v>46243</v>
      </c>
      <c r="I856">
        <v>7.6</v>
      </c>
      <c r="J856">
        <v>10.1</v>
      </c>
      <c r="K856" s="9" t="s">
        <v>1321</v>
      </c>
    </row>
    <row r="857" spans="1:11" x14ac:dyDescent="0.35">
      <c r="A857" s="9" t="s">
        <v>2317</v>
      </c>
      <c r="B857" s="9" t="s">
        <v>895</v>
      </c>
      <c r="C857" s="9" t="s">
        <v>46</v>
      </c>
      <c r="D857" s="9" t="s">
        <v>112</v>
      </c>
      <c r="E857" s="9" t="s">
        <v>1190</v>
      </c>
      <c r="F857" s="9" t="s">
        <v>1191</v>
      </c>
      <c r="G857" s="10">
        <v>45817</v>
      </c>
      <c r="H857" s="10">
        <v>45864</v>
      </c>
      <c r="I857">
        <v>22.8</v>
      </c>
      <c r="J857">
        <v>30.1</v>
      </c>
      <c r="K857" s="9" t="s">
        <v>1321</v>
      </c>
    </row>
    <row r="858" spans="1:11" x14ac:dyDescent="0.35">
      <c r="A858" s="9" t="s">
        <v>2318</v>
      </c>
      <c r="B858" s="9" t="s">
        <v>897</v>
      </c>
      <c r="C858" s="9" t="s">
        <v>46</v>
      </c>
      <c r="D858" s="9" t="s">
        <v>80</v>
      </c>
      <c r="E858" s="9" t="s">
        <v>1176</v>
      </c>
      <c r="F858" s="9" t="s">
        <v>1177</v>
      </c>
      <c r="G858" s="10">
        <v>46042</v>
      </c>
      <c r="H858" s="10">
        <v>46090</v>
      </c>
      <c r="I858">
        <v>17.3</v>
      </c>
      <c r="J858">
        <v>23</v>
      </c>
      <c r="K858" s="9" t="s">
        <v>1321</v>
      </c>
    </row>
    <row r="859" spans="1:11" x14ac:dyDescent="0.35">
      <c r="A859" s="9" t="s">
        <v>2319</v>
      </c>
      <c r="B859" s="9" t="s">
        <v>899</v>
      </c>
      <c r="C859" s="9" t="s">
        <v>46</v>
      </c>
      <c r="D859" s="9" t="s">
        <v>56</v>
      </c>
      <c r="E859" s="9" t="s">
        <v>1190</v>
      </c>
      <c r="F859" s="9" t="s">
        <v>1191</v>
      </c>
      <c r="G859" s="10">
        <v>45994</v>
      </c>
      <c r="H859" s="10">
        <v>46009</v>
      </c>
      <c r="I859">
        <v>24.5</v>
      </c>
      <c r="J859">
        <v>22.2</v>
      </c>
      <c r="K859" s="9" t="s">
        <v>1321</v>
      </c>
    </row>
    <row r="860" spans="1:11" x14ac:dyDescent="0.35">
      <c r="A860" s="9" t="s">
        <v>2320</v>
      </c>
      <c r="B860" s="9" t="s">
        <v>899</v>
      </c>
      <c r="C860" s="9" t="s">
        <v>46</v>
      </c>
      <c r="D860" s="9" t="s">
        <v>56</v>
      </c>
      <c r="E860" s="9" t="s">
        <v>1143</v>
      </c>
      <c r="F860" s="9" t="s">
        <v>1144</v>
      </c>
      <c r="G860" s="10">
        <v>46126</v>
      </c>
      <c r="H860" s="10">
        <v>46160</v>
      </c>
      <c r="I860">
        <v>32</v>
      </c>
      <c r="J860">
        <v>36.799999999999997</v>
      </c>
      <c r="K860" s="9" t="s">
        <v>1321</v>
      </c>
    </row>
    <row r="861" spans="1:11" x14ac:dyDescent="0.35">
      <c r="A861" s="9" t="s">
        <v>2321</v>
      </c>
      <c r="B861" s="9" t="s">
        <v>899</v>
      </c>
      <c r="C861" s="9" t="s">
        <v>46</v>
      </c>
      <c r="D861" s="9" t="s">
        <v>56</v>
      </c>
      <c r="E861" s="9" t="s">
        <v>1162</v>
      </c>
      <c r="F861" s="9" t="s">
        <v>1163</v>
      </c>
      <c r="G861" s="10">
        <v>46031</v>
      </c>
      <c r="H861" s="10">
        <v>46055</v>
      </c>
      <c r="I861">
        <v>31.3</v>
      </c>
      <c r="J861">
        <v>31.9</v>
      </c>
      <c r="K861" s="9" t="s">
        <v>1321</v>
      </c>
    </row>
    <row r="862" spans="1:11" x14ac:dyDescent="0.35">
      <c r="A862" s="9" t="s">
        <v>2322</v>
      </c>
      <c r="B862" s="9" t="s">
        <v>901</v>
      </c>
      <c r="C862" s="9" t="s">
        <v>55</v>
      </c>
      <c r="D862" s="9" t="s">
        <v>47</v>
      </c>
      <c r="E862" s="9" t="s">
        <v>1171</v>
      </c>
      <c r="F862" s="9" t="s">
        <v>1172</v>
      </c>
      <c r="G862" s="10">
        <v>46102</v>
      </c>
      <c r="H862" s="10">
        <v>46107</v>
      </c>
      <c r="I862">
        <v>5.4</v>
      </c>
      <c r="J862">
        <v>4.2</v>
      </c>
      <c r="K862" s="9" t="s">
        <v>1321</v>
      </c>
    </row>
    <row r="863" spans="1:11" x14ac:dyDescent="0.35">
      <c r="A863" s="9" t="s">
        <v>2323</v>
      </c>
      <c r="B863" s="9" t="s">
        <v>903</v>
      </c>
      <c r="C863" s="9" t="s">
        <v>55</v>
      </c>
      <c r="D863" s="9" t="s">
        <v>93</v>
      </c>
      <c r="E863" s="9" t="s">
        <v>1145</v>
      </c>
      <c r="F863" s="9" t="s">
        <v>1146</v>
      </c>
      <c r="G863" s="10">
        <v>46057</v>
      </c>
      <c r="H863" s="10">
        <v>46093</v>
      </c>
      <c r="I863">
        <v>21.8</v>
      </c>
      <c r="J863">
        <v>25.6</v>
      </c>
      <c r="K863" s="9" t="s">
        <v>1321</v>
      </c>
    </row>
    <row r="864" spans="1:11" x14ac:dyDescent="0.35">
      <c r="A864" s="9" t="s">
        <v>2324</v>
      </c>
      <c r="B864" s="9" t="s">
        <v>905</v>
      </c>
      <c r="C864" s="9" t="s">
        <v>46</v>
      </c>
      <c r="D864" s="9" t="s">
        <v>69</v>
      </c>
      <c r="E864" s="9" t="s">
        <v>1167</v>
      </c>
      <c r="F864" s="9" t="s">
        <v>1168</v>
      </c>
      <c r="G864" s="10">
        <v>45940</v>
      </c>
      <c r="H864" s="10">
        <v>45945</v>
      </c>
      <c r="I864">
        <v>9.6999999999999993</v>
      </c>
      <c r="J864">
        <v>7.5</v>
      </c>
      <c r="K864" s="9" t="s">
        <v>1321</v>
      </c>
    </row>
    <row r="865" spans="1:11" x14ac:dyDescent="0.35">
      <c r="A865" s="9" t="s">
        <v>2325</v>
      </c>
      <c r="B865" s="9" t="s">
        <v>905</v>
      </c>
      <c r="C865" s="9" t="s">
        <v>46</v>
      </c>
      <c r="D865" s="9" t="s">
        <v>69</v>
      </c>
      <c r="E865" s="9" t="s">
        <v>1152</v>
      </c>
      <c r="F865" s="9" t="s">
        <v>1153</v>
      </c>
      <c r="G865" s="10">
        <v>45824</v>
      </c>
      <c r="H865" s="10">
        <v>45833</v>
      </c>
      <c r="I865">
        <v>28.9</v>
      </c>
      <c r="J865">
        <v>24.2</v>
      </c>
      <c r="K865" s="9" t="s">
        <v>1321</v>
      </c>
    </row>
    <row r="866" spans="1:11" x14ac:dyDescent="0.35">
      <c r="A866" s="9" t="s">
        <v>2326</v>
      </c>
      <c r="B866" s="9" t="s">
        <v>907</v>
      </c>
      <c r="C866" s="9" t="s">
        <v>46</v>
      </c>
      <c r="D866" s="9" t="s">
        <v>76</v>
      </c>
      <c r="E866" s="9" t="s">
        <v>1137</v>
      </c>
      <c r="F866" s="9" t="s">
        <v>1138</v>
      </c>
      <c r="G866" s="10">
        <v>46013</v>
      </c>
      <c r="H866" s="10">
        <v>46029</v>
      </c>
      <c r="I866">
        <v>16.2</v>
      </c>
      <c r="J866">
        <v>15.1</v>
      </c>
      <c r="K866" s="9" t="s">
        <v>1321</v>
      </c>
    </row>
    <row r="867" spans="1:11" x14ac:dyDescent="0.35">
      <c r="A867" s="9" t="s">
        <v>2327</v>
      </c>
      <c r="B867" s="9" t="s">
        <v>907</v>
      </c>
      <c r="C867" s="9" t="s">
        <v>46</v>
      </c>
      <c r="D867" s="9" t="s">
        <v>76</v>
      </c>
      <c r="E867" s="9" t="s">
        <v>1152</v>
      </c>
      <c r="F867" s="9" t="s">
        <v>1153</v>
      </c>
      <c r="G867" s="10">
        <v>45811</v>
      </c>
      <c r="H867" s="10">
        <v>45865</v>
      </c>
      <c r="I867">
        <v>24.8</v>
      </c>
      <c r="J867">
        <v>34.700000000000003</v>
      </c>
      <c r="K867" s="9" t="s">
        <v>1321</v>
      </c>
    </row>
    <row r="868" spans="1:11" x14ac:dyDescent="0.35">
      <c r="A868" s="9" t="s">
        <v>2328</v>
      </c>
      <c r="B868" s="9" t="s">
        <v>909</v>
      </c>
      <c r="C868" s="9" t="s">
        <v>46</v>
      </c>
      <c r="D868" s="9" t="s">
        <v>69</v>
      </c>
      <c r="E868" s="9" t="s">
        <v>1139</v>
      </c>
      <c r="F868" s="9" t="s">
        <v>1140</v>
      </c>
      <c r="G868" s="10">
        <v>46151</v>
      </c>
      <c r="H868" s="10">
        <v>46157</v>
      </c>
      <c r="I868">
        <v>28</v>
      </c>
      <c r="J868">
        <v>22.4</v>
      </c>
      <c r="K868" s="9" t="s">
        <v>1321</v>
      </c>
    </row>
    <row r="869" spans="1:11" x14ac:dyDescent="0.35">
      <c r="A869" s="9" t="s">
        <v>2329</v>
      </c>
      <c r="B869" s="9" t="s">
        <v>911</v>
      </c>
      <c r="C869" s="9" t="s">
        <v>55</v>
      </c>
      <c r="D869" s="9" t="s">
        <v>69</v>
      </c>
      <c r="E869" s="9" t="s">
        <v>1162</v>
      </c>
      <c r="F869" s="9" t="s">
        <v>1163</v>
      </c>
      <c r="G869" s="10">
        <v>45790</v>
      </c>
      <c r="H869" s="10">
        <v>45832</v>
      </c>
      <c r="I869">
        <v>25.6</v>
      </c>
      <c r="J869">
        <v>32</v>
      </c>
      <c r="K869" s="9" t="s">
        <v>1321</v>
      </c>
    </row>
    <row r="870" spans="1:11" x14ac:dyDescent="0.35">
      <c r="A870" s="9" t="s">
        <v>2330</v>
      </c>
      <c r="B870" s="9" t="s">
        <v>911</v>
      </c>
      <c r="C870" s="9" t="s">
        <v>55</v>
      </c>
      <c r="D870" s="9" t="s">
        <v>69</v>
      </c>
      <c r="E870" s="9" t="s">
        <v>1162</v>
      </c>
      <c r="F870" s="9" t="s">
        <v>1163</v>
      </c>
      <c r="G870" s="10">
        <v>46196</v>
      </c>
      <c r="H870" s="10">
        <v>46239</v>
      </c>
      <c r="I870">
        <v>34</v>
      </c>
      <c r="J870">
        <v>42.9</v>
      </c>
      <c r="K870" s="9" t="s">
        <v>1321</v>
      </c>
    </row>
    <row r="871" spans="1:11" x14ac:dyDescent="0.35">
      <c r="A871" s="9" t="s">
        <v>2331</v>
      </c>
      <c r="B871" s="9" t="s">
        <v>911</v>
      </c>
      <c r="C871" s="9" t="s">
        <v>55</v>
      </c>
      <c r="D871" s="9" t="s">
        <v>69</v>
      </c>
      <c r="E871" s="9" t="s">
        <v>1129</v>
      </c>
      <c r="F871" s="9" t="s">
        <v>1130</v>
      </c>
      <c r="G871" s="10">
        <v>46191</v>
      </c>
      <c r="H871" s="10">
        <v>46244</v>
      </c>
      <c r="I871">
        <v>10.9</v>
      </c>
      <c r="J871">
        <v>15.2</v>
      </c>
      <c r="K871" s="9" t="s">
        <v>1321</v>
      </c>
    </row>
    <row r="872" spans="1:11" x14ac:dyDescent="0.35">
      <c r="A872" s="9" t="s">
        <v>2332</v>
      </c>
      <c r="B872" s="9" t="s">
        <v>913</v>
      </c>
      <c r="C872" s="9" t="s">
        <v>55</v>
      </c>
      <c r="D872" s="9" t="s">
        <v>69</v>
      </c>
      <c r="E872" s="9" t="s">
        <v>1145</v>
      </c>
      <c r="F872" s="9" t="s">
        <v>1146</v>
      </c>
      <c r="G872" s="10">
        <v>45916</v>
      </c>
      <c r="H872" s="10">
        <v>45961</v>
      </c>
      <c r="I872">
        <v>27.6</v>
      </c>
      <c r="J872">
        <v>35.6</v>
      </c>
      <c r="K872" s="9" t="s">
        <v>1321</v>
      </c>
    </row>
    <row r="873" spans="1:11" x14ac:dyDescent="0.35">
      <c r="A873" s="9" t="s">
        <v>2333</v>
      </c>
      <c r="B873" s="9" t="s">
        <v>913</v>
      </c>
      <c r="C873" s="9" t="s">
        <v>55</v>
      </c>
      <c r="D873" s="9" t="s">
        <v>69</v>
      </c>
      <c r="E873" s="9" t="s">
        <v>1129</v>
      </c>
      <c r="F873" s="9" t="s">
        <v>1130</v>
      </c>
      <c r="G873" s="10">
        <v>45929</v>
      </c>
      <c r="H873" s="10">
        <v>45975</v>
      </c>
      <c r="I873">
        <v>33.9</v>
      </c>
      <c r="J873">
        <v>44.4</v>
      </c>
      <c r="K873" s="9" t="s">
        <v>1321</v>
      </c>
    </row>
    <row r="874" spans="1:11" x14ac:dyDescent="0.35">
      <c r="A874" s="9" t="s">
        <v>2334</v>
      </c>
      <c r="B874" s="9" t="s">
        <v>913</v>
      </c>
      <c r="C874" s="9" t="s">
        <v>55</v>
      </c>
      <c r="D874" s="9" t="s">
        <v>69</v>
      </c>
      <c r="E874" s="9" t="s">
        <v>1139</v>
      </c>
      <c r="F874" s="9" t="s">
        <v>1140</v>
      </c>
      <c r="G874" s="10">
        <v>46015</v>
      </c>
      <c r="H874" s="10">
        <v>46065</v>
      </c>
      <c r="I874">
        <v>34.4</v>
      </c>
      <c r="J874">
        <v>46.6</v>
      </c>
      <c r="K874" s="9" t="s">
        <v>1321</v>
      </c>
    </row>
    <row r="875" spans="1:11" x14ac:dyDescent="0.35">
      <c r="A875" s="9" t="s">
        <v>2335</v>
      </c>
      <c r="B875" s="9" t="s">
        <v>915</v>
      </c>
      <c r="C875" s="9" t="s">
        <v>46</v>
      </c>
      <c r="D875" s="9" t="s">
        <v>112</v>
      </c>
      <c r="E875" s="9" t="s">
        <v>1129</v>
      </c>
      <c r="F875" s="9" t="s">
        <v>1130</v>
      </c>
      <c r="G875" s="10">
        <v>45911</v>
      </c>
      <c r="H875" s="10">
        <v>45948</v>
      </c>
      <c r="I875">
        <v>29.5</v>
      </c>
      <c r="J875">
        <v>35.1</v>
      </c>
      <c r="K875" s="9" t="s">
        <v>1321</v>
      </c>
    </row>
    <row r="876" spans="1:11" x14ac:dyDescent="0.35">
      <c r="A876" s="9" t="s">
        <v>2336</v>
      </c>
      <c r="B876" s="9" t="s">
        <v>915</v>
      </c>
      <c r="C876" s="9" t="s">
        <v>46</v>
      </c>
      <c r="D876" s="9" t="s">
        <v>112</v>
      </c>
      <c r="E876" s="9" t="s">
        <v>1139</v>
      </c>
      <c r="F876" s="9" t="s">
        <v>1140</v>
      </c>
      <c r="G876" s="10">
        <v>46178</v>
      </c>
      <c r="H876" s="10">
        <v>46225</v>
      </c>
      <c r="I876">
        <v>11.8</v>
      </c>
      <c r="J876">
        <v>15.5</v>
      </c>
      <c r="K876" s="9" t="s">
        <v>1321</v>
      </c>
    </row>
    <row r="877" spans="1:11" x14ac:dyDescent="0.35">
      <c r="A877" s="9" t="s">
        <v>2337</v>
      </c>
      <c r="B877" s="9" t="s">
        <v>915</v>
      </c>
      <c r="C877" s="9" t="s">
        <v>46</v>
      </c>
      <c r="D877" s="9" t="s">
        <v>112</v>
      </c>
      <c r="E877" s="9" t="s">
        <v>1167</v>
      </c>
      <c r="F877" s="9" t="s">
        <v>1168</v>
      </c>
      <c r="G877" s="10">
        <v>45854</v>
      </c>
      <c r="H877" s="10">
        <v>45886</v>
      </c>
      <c r="I877">
        <v>3.8</v>
      </c>
      <c r="J877">
        <v>4.3</v>
      </c>
      <c r="K877" s="9" t="s">
        <v>1321</v>
      </c>
    </row>
    <row r="878" spans="1:11" x14ac:dyDescent="0.35">
      <c r="A878" s="9" t="s">
        <v>2338</v>
      </c>
      <c r="B878" s="9" t="s">
        <v>917</v>
      </c>
      <c r="C878" s="9" t="s">
        <v>46</v>
      </c>
      <c r="D878" s="9" t="s">
        <v>56</v>
      </c>
      <c r="E878" s="9" t="s">
        <v>1152</v>
      </c>
      <c r="F878" s="9" t="s">
        <v>1153</v>
      </c>
      <c r="G878" s="10">
        <v>45785</v>
      </c>
      <c r="H878" s="10">
        <v>45821</v>
      </c>
      <c r="I878">
        <v>16.3</v>
      </c>
      <c r="J878">
        <v>19.100000000000001</v>
      </c>
      <c r="K878" s="9" t="s">
        <v>1321</v>
      </c>
    </row>
    <row r="879" spans="1:11" x14ac:dyDescent="0.35">
      <c r="A879" s="9" t="s">
        <v>2339</v>
      </c>
      <c r="B879" s="9" t="s">
        <v>917</v>
      </c>
      <c r="C879" s="9" t="s">
        <v>46</v>
      </c>
      <c r="D879" s="9" t="s">
        <v>56</v>
      </c>
      <c r="E879" s="9" t="s">
        <v>1171</v>
      </c>
      <c r="F879" s="9" t="s">
        <v>1172</v>
      </c>
      <c r="G879" s="10">
        <v>46031</v>
      </c>
      <c r="H879" s="10">
        <v>46061</v>
      </c>
      <c r="I879">
        <v>24.3</v>
      </c>
      <c r="J879">
        <v>26.8</v>
      </c>
      <c r="K879" s="9" t="s">
        <v>1321</v>
      </c>
    </row>
    <row r="880" spans="1:11" x14ac:dyDescent="0.35">
      <c r="A880" s="9" t="s">
        <v>2340</v>
      </c>
      <c r="B880" s="9" t="s">
        <v>919</v>
      </c>
      <c r="C880" s="9" t="s">
        <v>46</v>
      </c>
      <c r="D880" s="9" t="s">
        <v>63</v>
      </c>
      <c r="E880" s="9" t="s">
        <v>1129</v>
      </c>
      <c r="F880" s="9" t="s">
        <v>1130</v>
      </c>
      <c r="G880" s="10">
        <v>45705</v>
      </c>
      <c r="H880" s="10">
        <v>45711</v>
      </c>
      <c r="I880">
        <v>16.8</v>
      </c>
      <c r="J880">
        <v>13.3</v>
      </c>
      <c r="K880" s="9" t="s">
        <v>1321</v>
      </c>
    </row>
    <row r="881" spans="1:11" x14ac:dyDescent="0.35">
      <c r="A881" s="9" t="s">
        <v>2341</v>
      </c>
      <c r="B881" s="9" t="s">
        <v>919</v>
      </c>
      <c r="C881" s="9" t="s">
        <v>46</v>
      </c>
      <c r="D881" s="9" t="s">
        <v>63</v>
      </c>
      <c r="E881" s="9" t="s">
        <v>1196</v>
      </c>
      <c r="F881" s="9" t="s">
        <v>1197</v>
      </c>
      <c r="G881" s="10">
        <v>45892</v>
      </c>
      <c r="H881" s="10">
        <v>45931</v>
      </c>
      <c r="I881">
        <v>10.1</v>
      </c>
      <c r="J881">
        <v>12.3</v>
      </c>
      <c r="K881" s="9" t="s">
        <v>1321</v>
      </c>
    </row>
    <row r="882" spans="1:11" x14ac:dyDescent="0.35">
      <c r="A882" s="9" t="s">
        <v>2342</v>
      </c>
      <c r="B882" s="9" t="s">
        <v>921</v>
      </c>
      <c r="C882" s="9" t="s">
        <v>46</v>
      </c>
      <c r="D882" s="9" t="s">
        <v>69</v>
      </c>
      <c r="E882" s="9" t="s">
        <v>1145</v>
      </c>
      <c r="F882" s="9" t="s">
        <v>1146</v>
      </c>
      <c r="G882" s="10">
        <v>45824</v>
      </c>
      <c r="H882" s="10">
        <v>45834</v>
      </c>
      <c r="I882">
        <v>27.2</v>
      </c>
      <c r="J882">
        <v>23.1</v>
      </c>
      <c r="K882" s="9" t="s">
        <v>1321</v>
      </c>
    </row>
    <row r="883" spans="1:11" x14ac:dyDescent="0.35">
      <c r="A883" s="9" t="s">
        <v>2343</v>
      </c>
      <c r="B883" s="9" t="s">
        <v>921</v>
      </c>
      <c r="C883" s="9" t="s">
        <v>46</v>
      </c>
      <c r="D883" s="9" t="s">
        <v>69</v>
      </c>
      <c r="E883" s="9" t="s">
        <v>1193</v>
      </c>
      <c r="F883" s="9" t="s">
        <v>1194</v>
      </c>
      <c r="G883" s="10">
        <v>45907</v>
      </c>
      <c r="H883" s="10">
        <v>45915</v>
      </c>
      <c r="I883">
        <v>15.8</v>
      </c>
      <c r="J883">
        <v>12.9</v>
      </c>
      <c r="K883" s="9" t="s">
        <v>1321</v>
      </c>
    </row>
    <row r="884" spans="1:11" x14ac:dyDescent="0.35">
      <c r="A884" s="9" t="s">
        <v>2344</v>
      </c>
      <c r="B884" s="9" t="s">
        <v>921</v>
      </c>
      <c r="C884" s="9" t="s">
        <v>46</v>
      </c>
      <c r="D884" s="9" t="s">
        <v>69</v>
      </c>
      <c r="E884" s="9" t="s">
        <v>1147</v>
      </c>
      <c r="F884" s="9" t="s">
        <v>1148</v>
      </c>
      <c r="G884" s="10">
        <v>45781</v>
      </c>
      <c r="H884" s="10">
        <v>45775</v>
      </c>
      <c r="I884">
        <v>13.2</v>
      </c>
      <c r="J884">
        <v>12.8</v>
      </c>
      <c r="K884" s="9" t="s">
        <v>1321</v>
      </c>
    </row>
    <row r="885" spans="1:11" x14ac:dyDescent="0.35">
      <c r="A885" s="9" t="s">
        <v>2345</v>
      </c>
      <c r="B885" s="9" t="s">
        <v>923</v>
      </c>
      <c r="C885" s="9" t="s">
        <v>55</v>
      </c>
      <c r="D885" s="9" t="s">
        <v>56</v>
      </c>
      <c r="E885" s="9" t="s">
        <v>1152</v>
      </c>
      <c r="F885" s="9" t="s">
        <v>1153</v>
      </c>
      <c r="G885" s="10">
        <v>46121</v>
      </c>
      <c r="H885" s="10">
        <v>46174</v>
      </c>
      <c r="I885">
        <v>23.4</v>
      </c>
      <c r="J885">
        <v>32.6</v>
      </c>
      <c r="K885" s="9" t="s">
        <v>1321</v>
      </c>
    </row>
    <row r="886" spans="1:11" x14ac:dyDescent="0.35">
      <c r="A886" s="9" t="s">
        <v>2346</v>
      </c>
      <c r="B886" s="9" t="s">
        <v>923</v>
      </c>
      <c r="C886" s="9" t="s">
        <v>55</v>
      </c>
      <c r="D886" s="9" t="s">
        <v>56</v>
      </c>
      <c r="E886" s="9" t="s">
        <v>1171</v>
      </c>
      <c r="F886" s="9" t="s">
        <v>1172</v>
      </c>
      <c r="G886" s="10">
        <v>46071</v>
      </c>
      <c r="H886" s="10">
        <v>46075</v>
      </c>
      <c r="I886">
        <v>21.6</v>
      </c>
      <c r="J886">
        <v>16.7</v>
      </c>
      <c r="K886" s="9" t="s">
        <v>1321</v>
      </c>
    </row>
    <row r="887" spans="1:11" x14ac:dyDescent="0.35">
      <c r="A887" s="9" t="s">
        <v>2347</v>
      </c>
      <c r="B887" s="9" t="s">
        <v>925</v>
      </c>
      <c r="C887" s="9" t="s">
        <v>46</v>
      </c>
      <c r="D887" s="9" t="s">
        <v>47</v>
      </c>
      <c r="E887" s="9" t="s">
        <v>1176</v>
      </c>
      <c r="F887" s="9" t="s">
        <v>1177</v>
      </c>
      <c r="G887" s="10">
        <v>46096</v>
      </c>
      <c r="H887" s="10">
        <v>46108</v>
      </c>
      <c r="I887">
        <v>10.1</v>
      </c>
      <c r="J887">
        <v>8.8000000000000007</v>
      </c>
      <c r="K887" s="9" t="s">
        <v>1321</v>
      </c>
    </row>
    <row r="888" spans="1:11" x14ac:dyDescent="0.35">
      <c r="A888" s="9" t="s">
        <v>2348</v>
      </c>
      <c r="B888" s="9" t="s">
        <v>925</v>
      </c>
      <c r="C888" s="9" t="s">
        <v>46</v>
      </c>
      <c r="D888" s="9" t="s">
        <v>47</v>
      </c>
      <c r="E888" s="9" t="s">
        <v>1158</v>
      </c>
      <c r="F888" s="9" t="s">
        <v>1159</v>
      </c>
      <c r="G888" s="10">
        <v>45807</v>
      </c>
      <c r="H888" s="10">
        <v>45850</v>
      </c>
      <c r="I888">
        <v>21.2</v>
      </c>
      <c r="J888">
        <v>26.7</v>
      </c>
      <c r="K888" s="9" t="s">
        <v>1321</v>
      </c>
    </row>
    <row r="889" spans="1:11" x14ac:dyDescent="0.35">
      <c r="A889" s="9" t="s">
        <v>2349</v>
      </c>
      <c r="B889" s="9" t="s">
        <v>925</v>
      </c>
      <c r="C889" s="9" t="s">
        <v>46</v>
      </c>
      <c r="D889" s="9" t="s">
        <v>47</v>
      </c>
      <c r="E889" s="9" t="s">
        <v>1188</v>
      </c>
      <c r="F889" s="9" t="s">
        <v>1189</v>
      </c>
      <c r="G889" s="10">
        <v>46038</v>
      </c>
      <c r="H889" s="10">
        <v>46092</v>
      </c>
      <c r="I889">
        <v>23.5</v>
      </c>
      <c r="J889">
        <v>33</v>
      </c>
      <c r="K889" s="9" t="s">
        <v>1321</v>
      </c>
    </row>
    <row r="890" spans="1:11" x14ac:dyDescent="0.35">
      <c r="A890" s="9" t="s">
        <v>2350</v>
      </c>
      <c r="B890" s="9" t="s">
        <v>927</v>
      </c>
      <c r="C890" s="9" t="s">
        <v>46</v>
      </c>
      <c r="D890" s="9" t="s">
        <v>63</v>
      </c>
      <c r="E890" s="9" t="s">
        <v>1162</v>
      </c>
      <c r="F890" s="9" t="s">
        <v>1163</v>
      </c>
      <c r="G890" s="10">
        <v>46163</v>
      </c>
      <c r="H890" s="10">
        <v>46204</v>
      </c>
      <c r="I890">
        <v>13.5</v>
      </c>
      <c r="J890">
        <v>16.8</v>
      </c>
      <c r="K890" s="9" t="s">
        <v>1321</v>
      </c>
    </row>
    <row r="891" spans="1:11" x14ac:dyDescent="0.35">
      <c r="A891" s="9" t="s">
        <v>2351</v>
      </c>
      <c r="B891" s="9" t="s">
        <v>927</v>
      </c>
      <c r="C891" s="9" t="s">
        <v>46</v>
      </c>
      <c r="D891" s="9" t="s">
        <v>63</v>
      </c>
      <c r="E891" s="9" t="s">
        <v>1167</v>
      </c>
      <c r="F891" s="9" t="s">
        <v>1168</v>
      </c>
      <c r="G891" s="10">
        <v>46183</v>
      </c>
      <c r="H891" s="10">
        <v>46190</v>
      </c>
      <c r="I891">
        <v>31.3</v>
      </c>
      <c r="J891">
        <v>25.3</v>
      </c>
      <c r="K891" s="9" t="s">
        <v>1321</v>
      </c>
    </row>
    <row r="892" spans="1:11" x14ac:dyDescent="0.35">
      <c r="A892" s="9" t="s">
        <v>2352</v>
      </c>
      <c r="B892" s="9" t="s">
        <v>929</v>
      </c>
      <c r="C892" s="9" t="s">
        <v>46</v>
      </c>
      <c r="D892" s="9" t="s">
        <v>69</v>
      </c>
      <c r="E892" s="9" t="s">
        <v>1167</v>
      </c>
      <c r="F892" s="9" t="s">
        <v>1168</v>
      </c>
      <c r="G892" s="10">
        <v>45851</v>
      </c>
      <c r="H892" s="10">
        <v>45894</v>
      </c>
      <c r="I892">
        <v>6.4</v>
      </c>
      <c r="J892">
        <v>8</v>
      </c>
      <c r="K892" s="9" t="s">
        <v>1321</v>
      </c>
    </row>
    <row r="893" spans="1:11" x14ac:dyDescent="0.35">
      <c r="A893" s="9" t="s">
        <v>2353</v>
      </c>
      <c r="B893" s="9" t="s">
        <v>929</v>
      </c>
      <c r="C893" s="9" t="s">
        <v>46</v>
      </c>
      <c r="D893" s="9" t="s">
        <v>69</v>
      </c>
      <c r="E893" s="9" t="s">
        <v>1139</v>
      </c>
      <c r="F893" s="9" t="s">
        <v>1140</v>
      </c>
      <c r="G893" s="10">
        <v>45797</v>
      </c>
      <c r="H893" s="10">
        <v>45812</v>
      </c>
      <c r="I893">
        <v>26.5</v>
      </c>
      <c r="J893">
        <v>24.2</v>
      </c>
      <c r="K893" s="9" t="s">
        <v>1321</v>
      </c>
    </row>
    <row r="894" spans="1:11" x14ac:dyDescent="0.35">
      <c r="A894" s="9" t="s">
        <v>2354</v>
      </c>
      <c r="B894" s="9" t="s">
        <v>929</v>
      </c>
      <c r="C894" s="9" t="s">
        <v>46</v>
      </c>
      <c r="D894" s="9" t="s">
        <v>69</v>
      </c>
      <c r="E894" s="9" t="s">
        <v>1188</v>
      </c>
      <c r="F894" s="9" t="s">
        <v>1189</v>
      </c>
      <c r="G894" s="10">
        <v>46100</v>
      </c>
      <c r="H894" s="10">
        <v>46153</v>
      </c>
      <c r="I894">
        <v>27.9</v>
      </c>
      <c r="J894">
        <v>39</v>
      </c>
      <c r="K894" s="9" t="s">
        <v>1321</v>
      </c>
    </row>
    <row r="895" spans="1:11" x14ac:dyDescent="0.35">
      <c r="A895" s="9" t="s">
        <v>2355</v>
      </c>
      <c r="B895" s="9" t="s">
        <v>931</v>
      </c>
      <c r="C895" s="9" t="s">
        <v>55</v>
      </c>
      <c r="D895" s="9" t="s">
        <v>56</v>
      </c>
      <c r="E895" s="9" t="s">
        <v>1155</v>
      </c>
      <c r="F895" s="9" t="s">
        <v>1156</v>
      </c>
      <c r="G895" s="10">
        <v>45889</v>
      </c>
      <c r="H895" s="10">
        <v>45908</v>
      </c>
      <c r="I895">
        <v>20.2</v>
      </c>
      <c r="J895">
        <v>19.5</v>
      </c>
      <c r="K895" s="9" t="s">
        <v>1321</v>
      </c>
    </row>
    <row r="896" spans="1:11" x14ac:dyDescent="0.35">
      <c r="A896" s="9" t="s">
        <v>2356</v>
      </c>
      <c r="B896" s="9" t="s">
        <v>931</v>
      </c>
      <c r="C896" s="9" t="s">
        <v>55</v>
      </c>
      <c r="D896" s="9" t="s">
        <v>56</v>
      </c>
      <c r="E896" s="9" t="s">
        <v>1183</v>
      </c>
      <c r="F896" s="9" t="s">
        <v>1184</v>
      </c>
      <c r="G896" s="10">
        <v>45721</v>
      </c>
      <c r="H896" s="10"/>
      <c r="I896">
        <v>22.1</v>
      </c>
      <c r="K896" s="9" t="s">
        <v>1473</v>
      </c>
    </row>
    <row r="897" spans="1:11" x14ac:dyDescent="0.35">
      <c r="A897" s="9" t="s">
        <v>2357</v>
      </c>
      <c r="B897" s="9" t="s">
        <v>933</v>
      </c>
      <c r="C897" s="9" t="s">
        <v>55</v>
      </c>
      <c r="D897" s="9" t="s">
        <v>63</v>
      </c>
      <c r="E897" s="9" t="s">
        <v>1147</v>
      </c>
      <c r="F897" s="9" t="s">
        <v>1148</v>
      </c>
      <c r="G897" s="10">
        <v>45933</v>
      </c>
      <c r="H897" s="10">
        <v>45936</v>
      </c>
      <c r="I897">
        <v>30.5</v>
      </c>
      <c r="J897">
        <v>23.1</v>
      </c>
      <c r="K897" s="9" t="s">
        <v>1321</v>
      </c>
    </row>
    <row r="898" spans="1:11" x14ac:dyDescent="0.35">
      <c r="A898" s="9" t="s">
        <v>2358</v>
      </c>
      <c r="B898" s="9" t="s">
        <v>933</v>
      </c>
      <c r="C898" s="9" t="s">
        <v>55</v>
      </c>
      <c r="D898" s="9" t="s">
        <v>63</v>
      </c>
      <c r="E898" s="9" t="s">
        <v>1129</v>
      </c>
      <c r="F898" s="9" t="s">
        <v>1130</v>
      </c>
      <c r="G898" s="10">
        <v>46169</v>
      </c>
      <c r="H898" s="10">
        <v>46185</v>
      </c>
      <c r="I898">
        <v>31.3</v>
      </c>
      <c r="J898">
        <v>28.9</v>
      </c>
      <c r="K898" s="9" t="s">
        <v>1321</v>
      </c>
    </row>
    <row r="899" spans="1:11" x14ac:dyDescent="0.35">
      <c r="A899" s="9" t="s">
        <v>2359</v>
      </c>
      <c r="B899" s="9" t="s">
        <v>935</v>
      </c>
      <c r="C899" s="9" t="s">
        <v>62</v>
      </c>
      <c r="D899" s="9" t="s">
        <v>69</v>
      </c>
      <c r="E899" s="9" t="s">
        <v>1139</v>
      </c>
      <c r="F899" s="9" t="s">
        <v>1140</v>
      </c>
      <c r="G899" s="10">
        <v>45907</v>
      </c>
      <c r="H899" s="10">
        <v>45961</v>
      </c>
      <c r="I899">
        <v>24.2</v>
      </c>
      <c r="J899">
        <v>34</v>
      </c>
      <c r="K899" s="9" t="s">
        <v>1321</v>
      </c>
    </row>
    <row r="900" spans="1:11" x14ac:dyDescent="0.35">
      <c r="A900" s="9" t="s">
        <v>2360</v>
      </c>
      <c r="B900" s="9" t="s">
        <v>935</v>
      </c>
      <c r="C900" s="9" t="s">
        <v>62</v>
      </c>
      <c r="D900" s="9" t="s">
        <v>69</v>
      </c>
      <c r="E900" s="9" t="s">
        <v>1155</v>
      </c>
      <c r="F900" s="9" t="s">
        <v>1156</v>
      </c>
      <c r="G900" s="10">
        <v>45778</v>
      </c>
      <c r="H900" s="10">
        <v>45814</v>
      </c>
      <c r="I900">
        <v>22.7</v>
      </c>
      <c r="J900">
        <v>26.6</v>
      </c>
      <c r="K900" s="9" t="s">
        <v>1321</v>
      </c>
    </row>
    <row r="901" spans="1:11" x14ac:dyDescent="0.35">
      <c r="A901" s="9" t="s">
        <v>2361</v>
      </c>
      <c r="B901" s="9" t="s">
        <v>937</v>
      </c>
      <c r="C901" s="9" t="s">
        <v>46</v>
      </c>
      <c r="D901" s="9" t="s">
        <v>56</v>
      </c>
      <c r="E901" s="9" t="s">
        <v>1158</v>
      </c>
      <c r="F901" s="9" t="s">
        <v>1159</v>
      </c>
      <c r="G901" s="10">
        <v>46121</v>
      </c>
      <c r="H901" s="10">
        <v>46152</v>
      </c>
      <c r="I901">
        <v>24.5</v>
      </c>
      <c r="J901">
        <v>27.3</v>
      </c>
      <c r="K901" s="9" t="s">
        <v>1321</v>
      </c>
    </row>
    <row r="902" spans="1:11" x14ac:dyDescent="0.35">
      <c r="A902" s="9" t="s">
        <v>2362</v>
      </c>
      <c r="B902" s="9" t="s">
        <v>937</v>
      </c>
      <c r="C902" s="9" t="s">
        <v>46</v>
      </c>
      <c r="D902" s="9" t="s">
        <v>56</v>
      </c>
      <c r="E902" s="9" t="s">
        <v>1162</v>
      </c>
      <c r="F902" s="9" t="s">
        <v>1163</v>
      </c>
      <c r="G902" s="10">
        <v>46114</v>
      </c>
      <c r="H902" s="10">
        <v>46150</v>
      </c>
      <c r="I902">
        <v>29.6</v>
      </c>
      <c r="J902">
        <v>34.799999999999997</v>
      </c>
      <c r="K902" s="9" t="s">
        <v>1321</v>
      </c>
    </row>
    <row r="903" spans="1:11" x14ac:dyDescent="0.35">
      <c r="A903" s="9" t="s">
        <v>2363</v>
      </c>
      <c r="B903" s="9" t="s">
        <v>939</v>
      </c>
      <c r="C903" s="9" t="s">
        <v>62</v>
      </c>
      <c r="D903" s="9" t="s">
        <v>93</v>
      </c>
      <c r="E903" s="9" t="s">
        <v>1143</v>
      </c>
      <c r="F903" s="9" t="s">
        <v>1144</v>
      </c>
      <c r="G903" s="10">
        <v>46051</v>
      </c>
      <c r="H903" s="10">
        <v>46066</v>
      </c>
      <c r="I903">
        <v>5.0999999999999996</v>
      </c>
      <c r="J903">
        <v>4.5999999999999996</v>
      </c>
      <c r="K903" s="9" t="s">
        <v>1321</v>
      </c>
    </row>
    <row r="904" spans="1:11" x14ac:dyDescent="0.35">
      <c r="A904" s="9" t="s">
        <v>2364</v>
      </c>
      <c r="B904" s="9" t="s">
        <v>939</v>
      </c>
      <c r="C904" s="9" t="s">
        <v>62</v>
      </c>
      <c r="D904" s="9" t="s">
        <v>93</v>
      </c>
      <c r="E904" s="9" t="s">
        <v>1139</v>
      </c>
      <c r="F904" s="9" t="s">
        <v>1140</v>
      </c>
      <c r="G904" s="10">
        <v>45923</v>
      </c>
      <c r="H904" s="10">
        <v>45961</v>
      </c>
      <c r="I904">
        <v>19.3</v>
      </c>
      <c r="J904">
        <v>23.2</v>
      </c>
      <c r="K904" s="9" t="s">
        <v>1321</v>
      </c>
    </row>
    <row r="905" spans="1:11" x14ac:dyDescent="0.35">
      <c r="A905" s="9" t="s">
        <v>2365</v>
      </c>
      <c r="B905" s="9" t="s">
        <v>939</v>
      </c>
      <c r="C905" s="9" t="s">
        <v>62</v>
      </c>
      <c r="D905" s="9" t="s">
        <v>93</v>
      </c>
      <c r="E905" s="9" t="s">
        <v>1129</v>
      </c>
      <c r="F905" s="9" t="s">
        <v>1130</v>
      </c>
      <c r="G905" s="10">
        <v>46132</v>
      </c>
      <c r="H905" s="10">
        <v>46162</v>
      </c>
      <c r="I905">
        <v>23.1</v>
      </c>
      <c r="J905">
        <v>25.4</v>
      </c>
      <c r="K905" s="9" t="s">
        <v>1321</v>
      </c>
    </row>
    <row r="906" spans="1:11" x14ac:dyDescent="0.35">
      <c r="A906" s="9" t="s">
        <v>2366</v>
      </c>
      <c r="B906" s="9" t="s">
        <v>939</v>
      </c>
      <c r="C906" s="9" t="s">
        <v>62</v>
      </c>
      <c r="D906" s="9" t="s">
        <v>93</v>
      </c>
      <c r="E906" s="9" t="s">
        <v>1139</v>
      </c>
      <c r="F906" s="9" t="s">
        <v>1140</v>
      </c>
      <c r="G906" s="10">
        <v>46065</v>
      </c>
      <c r="H906" s="10"/>
      <c r="I906">
        <v>14.3</v>
      </c>
      <c r="K906" s="9" t="s">
        <v>1473</v>
      </c>
    </row>
    <row r="907" spans="1:11" x14ac:dyDescent="0.35">
      <c r="A907" s="9" t="s">
        <v>2367</v>
      </c>
      <c r="B907" s="9" t="s">
        <v>941</v>
      </c>
      <c r="C907" s="9" t="s">
        <v>46</v>
      </c>
      <c r="D907" s="9" t="s">
        <v>93</v>
      </c>
      <c r="E907" s="9" t="s">
        <v>1145</v>
      </c>
      <c r="F907" s="9" t="s">
        <v>1146</v>
      </c>
      <c r="G907" s="10">
        <v>45986</v>
      </c>
      <c r="H907" s="10">
        <v>46026</v>
      </c>
      <c r="I907">
        <v>14.8</v>
      </c>
      <c r="J907">
        <v>18.100000000000001</v>
      </c>
      <c r="K907" s="9" t="s">
        <v>1321</v>
      </c>
    </row>
    <row r="908" spans="1:11" x14ac:dyDescent="0.35">
      <c r="A908" s="9" t="s">
        <v>2368</v>
      </c>
      <c r="B908" s="9" t="s">
        <v>941</v>
      </c>
      <c r="C908" s="9" t="s">
        <v>46</v>
      </c>
      <c r="D908" s="9" t="s">
        <v>93</v>
      </c>
      <c r="E908" s="9" t="s">
        <v>1188</v>
      </c>
      <c r="F908" s="9" t="s">
        <v>1189</v>
      </c>
      <c r="G908" s="10">
        <v>45721</v>
      </c>
      <c r="H908" s="10">
        <v>45726</v>
      </c>
      <c r="I908">
        <v>16.7</v>
      </c>
      <c r="J908">
        <v>13.1</v>
      </c>
      <c r="K908" s="9" t="s">
        <v>1321</v>
      </c>
    </row>
    <row r="909" spans="1:11" x14ac:dyDescent="0.35">
      <c r="A909" s="9" t="s">
        <v>2369</v>
      </c>
      <c r="B909" s="9" t="s">
        <v>941</v>
      </c>
      <c r="C909" s="9" t="s">
        <v>46</v>
      </c>
      <c r="D909" s="9" t="s">
        <v>93</v>
      </c>
      <c r="E909" s="9" t="s">
        <v>1152</v>
      </c>
      <c r="F909" s="9" t="s">
        <v>1153</v>
      </c>
      <c r="G909" s="10">
        <v>45785</v>
      </c>
      <c r="H909" s="10">
        <v>45796</v>
      </c>
      <c r="I909">
        <v>12.6</v>
      </c>
      <c r="J909">
        <v>10.8</v>
      </c>
      <c r="K909" s="9" t="s">
        <v>1321</v>
      </c>
    </row>
    <row r="910" spans="1:11" x14ac:dyDescent="0.35">
      <c r="A910" s="9" t="s">
        <v>2370</v>
      </c>
      <c r="B910" s="9" t="s">
        <v>943</v>
      </c>
      <c r="C910" s="9" t="s">
        <v>46</v>
      </c>
      <c r="D910" s="9" t="s">
        <v>69</v>
      </c>
      <c r="E910" s="9" t="s">
        <v>1190</v>
      </c>
      <c r="F910" s="9" t="s">
        <v>1191</v>
      </c>
      <c r="G910" s="10">
        <v>45931</v>
      </c>
      <c r="H910" s="10">
        <v>45978</v>
      </c>
      <c r="I910">
        <v>19</v>
      </c>
      <c r="J910">
        <v>25.1</v>
      </c>
      <c r="K910" s="9" t="s">
        <v>1321</v>
      </c>
    </row>
    <row r="911" spans="1:11" x14ac:dyDescent="0.35">
      <c r="A911" s="9" t="s">
        <v>2371</v>
      </c>
      <c r="B911" s="9" t="s">
        <v>943</v>
      </c>
      <c r="C911" s="9" t="s">
        <v>46</v>
      </c>
      <c r="D911" s="9" t="s">
        <v>69</v>
      </c>
      <c r="E911" s="9" t="s">
        <v>1137</v>
      </c>
      <c r="F911" s="9" t="s">
        <v>1138</v>
      </c>
      <c r="G911" s="10">
        <v>45871</v>
      </c>
      <c r="H911" s="10">
        <v>45920</v>
      </c>
      <c r="I911">
        <v>16.100000000000001</v>
      </c>
      <c r="J911">
        <v>21.6</v>
      </c>
      <c r="K911" s="9" t="s">
        <v>1321</v>
      </c>
    </row>
    <row r="912" spans="1:11" x14ac:dyDescent="0.35">
      <c r="A912" s="9" t="s">
        <v>2372</v>
      </c>
      <c r="B912" s="9" t="s">
        <v>943</v>
      </c>
      <c r="C912" s="9" t="s">
        <v>46</v>
      </c>
      <c r="D912" s="9" t="s">
        <v>69</v>
      </c>
      <c r="E912" s="9" t="s">
        <v>1145</v>
      </c>
      <c r="F912" s="9" t="s">
        <v>1146</v>
      </c>
      <c r="G912" s="10">
        <v>45952</v>
      </c>
      <c r="H912" s="10">
        <v>46001</v>
      </c>
      <c r="I912">
        <v>35.4</v>
      </c>
      <c r="J912">
        <v>47.5</v>
      </c>
      <c r="K912" s="9" t="s">
        <v>1321</v>
      </c>
    </row>
    <row r="913" spans="1:11" x14ac:dyDescent="0.35">
      <c r="A913" s="9" t="s">
        <v>2373</v>
      </c>
      <c r="B913" s="9" t="s">
        <v>945</v>
      </c>
      <c r="C913" s="9" t="s">
        <v>55</v>
      </c>
      <c r="D913" s="9" t="s">
        <v>69</v>
      </c>
      <c r="E913" s="9" t="s">
        <v>1139</v>
      </c>
      <c r="F913" s="9" t="s">
        <v>1140</v>
      </c>
      <c r="G913" s="10">
        <v>45889</v>
      </c>
      <c r="H913" s="10">
        <v>45943</v>
      </c>
      <c r="I913">
        <v>19.899999999999999</v>
      </c>
      <c r="J913">
        <v>27.9</v>
      </c>
      <c r="K913" s="9" t="s">
        <v>1321</v>
      </c>
    </row>
    <row r="914" spans="1:11" x14ac:dyDescent="0.35">
      <c r="A914" s="9" t="s">
        <v>2374</v>
      </c>
      <c r="B914" s="9" t="s">
        <v>945</v>
      </c>
      <c r="C914" s="9" t="s">
        <v>55</v>
      </c>
      <c r="D914" s="9" t="s">
        <v>69</v>
      </c>
      <c r="E914" s="9" t="s">
        <v>1139</v>
      </c>
      <c r="F914" s="9" t="s">
        <v>1140</v>
      </c>
      <c r="G914" s="10">
        <v>45894</v>
      </c>
      <c r="H914" s="10">
        <v>45925</v>
      </c>
      <c r="I914">
        <v>8.9</v>
      </c>
      <c r="J914">
        <v>9.9</v>
      </c>
      <c r="K914" s="9" t="s">
        <v>1321</v>
      </c>
    </row>
    <row r="915" spans="1:11" x14ac:dyDescent="0.35">
      <c r="A915" s="9" t="s">
        <v>2375</v>
      </c>
      <c r="B915" s="9" t="s">
        <v>945</v>
      </c>
      <c r="C915" s="9" t="s">
        <v>55</v>
      </c>
      <c r="D915" s="9" t="s">
        <v>69</v>
      </c>
      <c r="E915" s="9" t="s">
        <v>1188</v>
      </c>
      <c r="F915" s="9" t="s">
        <v>1189</v>
      </c>
      <c r="G915" s="10">
        <v>45697</v>
      </c>
      <c r="H915" s="10">
        <v>45752</v>
      </c>
      <c r="I915">
        <v>10.5</v>
      </c>
      <c r="J915">
        <v>14.8</v>
      </c>
      <c r="K915" s="9" t="s">
        <v>1321</v>
      </c>
    </row>
    <row r="916" spans="1:11" x14ac:dyDescent="0.35">
      <c r="A916" s="9" t="s">
        <v>2376</v>
      </c>
      <c r="B916" s="9" t="s">
        <v>947</v>
      </c>
      <c r="C916" s="9" t="s">
        <v>62</v>
      </c>
      <c r="D916" s="9" t="s">
        <v>56</v>
      </c>
      <c r="E916" s="9" t="s">
        <v>1180</v>
      </c>
      <c r="F916" s="9" t="s">
        <v>1181</v>
      </c>
      <c r="G916" s="10">
        <v>46046</v>
      </c>
      <c r="H916" s="10">
        <v>46088</v>
      </c>
      <c r="I916">
        <v>30.2</v>
      </c>
      <c r="J916">
        <v>38</v>
      </c>
      <c r="K916" s="9" t="s">
        <v>1321</v>
      </c>
    </row>
    <row r="917" spans="1:11" x14ac:dyDescent="0.35">
      <c r="A917" s="9" t="s">
        <v>2377</v>
      </c>
      <c r="B917" s="9" t="s">
        <v>949</v>
      </c>
      <c r="C917" s="9" t="s">
        <v>46</v>
      </c>
      <c r="D917" s="9" t="s">
        <v>47</v>
      </c>
      <c r="E917" s="9" t="s">
        <v>1176</v>
      </c>
      <c r="F917" s="9" t="s">
        <v>1177</v>
      </c>
      <c r="G917" s="10">
        <v>45855</v>
      </c>
      <c r="H917" s="10">
        <v>45893</v>
      </c>
      <c r="I917">
        <v>17.600000000000001</v>
      </c>
      <c r="J917">
        <v>21.3</v>
      </c>
      <c r="K917" s="9" t="s">
        <v>1321</v>
      </c>
    </row>
    <row r="918" spans="1:11" x14ac:dyDescent="0.35">
      <c r="A918" s="9" t="s">
        <v>2378</v>
      </c>
      <c r="B918" s="9" t="s">
        <v>949</v>
      </c>
      <c r="C918" s="9" t="s">
        <v>46</v>
      </c>
      <c r="D918" s="9" t="s">
        <v>47</v>
      </c>
      <c r="E918" s="9" t="s">
        <v>1193</v>
      </c>
      <c r="F918" s="9" t="s">
        <v>1194</v>
      </c>
      <c r="G918" s="10">
        <v>45995</v>
      </c>
      <c r="H918" s="10">
        <v>46043</v>
      </c>
      <c r="I918">
        <v>24.3</v>
      </c>
      <c r="J918">
        <v>32.299999999999997</v>
      </c>
      <c r="K918" s="9" t="s">
        <v>1321</v>
      </c>
    </row>
    <row r="919" spans="1:11" x14ac:dyDescent="0.35">
      <c r="A919" s="9" t="s">
        <v>2379</v>
      </c>
      <c r="B919" s="9" t="s">
        <v>949</v>
      </c>
      <c r="C919" s="9" t="s">
        <v>46</v>
      </c>
      <c r="D919" s="9" t="s">
        <v>47</v>
      </c>
      <c r="E919" s="9" t="s">
        <v>1162</v>
      </c>
      <c r="F919" s="9" t="s">
        <v>1163</v>
      </c>
      <c r="G919" s="10">
        <v>46173</v>
      </c>
      <c r="H919" s="10">
        <v>46208</v>
      </c>
      <c r="I919">
        <v>13.1</v>
      </c>
      <c r="J919">
        <v>15.2</v>
      </c>
      <c r="K919" s="9" t="s">
        <v>1321</v>
      </c>
    </row>
    <row r="920" spans="1:11" x14ac:dyDescent="0.35">
      <c r="A920" s="9" t="s">
        <v>2380</v>
      </c>
      <c r="B920" s="9" t="s">
        <v>951</v>
      </c>
      <c r="C920" s="9" t="s">
        <v>46</v>
      </c>
      <c r="D920" s="9" t="s">
        <v>47</v>
      </c>
      <c r="E920" s="9" t="s">
        <v>1145</v>
      </c>
      <c r="F920" s="9" t="s">
        <v>1146</v>
      </c>
      <c r="G920" s="10">
        <v>45665</v>
      </c>
      <c r="H920" s="10">
        <v>45679</v>
      </c>
      <c r="I920">
        <v>23.6</v>
      </c>
      <c r="J920">
        <v>21.2</v>
      </c>
      <c r="K920" s="9" t="s">
        <v>1321</v>
      </c>
    </row>
    <row r="921" spans="1:11" x14ac:dyDescent="0.35">
      <c r="A921" s="9" t="s">
        <v>2381</v>
      </c>
      <c r="B921" s="9" t="s">
        <v>951</v>
      </c>
      <c r="C921" s="9" t="s">
        <v>46</v>
      </c>
      <c r="D921" s="9" t="s">
        <v>47</v>
      </c>
      <c r="E921" s="9" t="s">
        <v>1147</v>
      </c>
      <c r="F921" s="9" t="s">
        <v>1148</v>
      </c>
      <c r="G921" s="10">
        <v>45871</v>
      </c>
      <c r="H921" s="10">
        <v>45880</v>
      </c>
      <c r="I921">
        <v>16.899999999999999</v>
      </c>
      <c r="J921">
        <v>14.1</v>
      </c>
      <c r="K921" s="9" t="s">
        <v>1321</v>
      </c>
    </row>
    <row r="922" spans="1:11" x14ac:dyDescent="0.35">
      <c r="A922" s="9" t="s">
        <v>2382</v>
      </c>
      <c r="B922" s="9" t="s">
        <v>953</v>
      </c>
      <c r="C922" s="9" t="s">
        <v>46</v>
      </c>
      <c r="D922" s="9" t="s">
        <v>69</v>
      </c>
      <c r="E922" s="9" t="s">
        <v>1139</v>
      </c>
      <c r="F922" s="9" t="s">
        <v>1140</v>
      </c>
      <c r="G922" s="10">
        <v>46061</v>
      </c>
      <c r="H922" s="10">
        <v>46084</v>
      </c>
      <c r="I922">
        <v>9.6999999999999993</v>
      </c>
      <c r="J922">
        <v>9.8000000000000007</v>
      </c>
      <c r="K922" s="9" t="s">
        <v>1321</v>
      </c>
    </row>
    <row r="923" spans="1:11" x14ac:dyDescent="0.35">
      <c r="A923" s="9" t="s">
        <v>2383</v>
      </c>
      <c r="B923" s="9" t="s">
        <v>955</v>
      </c>
      <c r="C923" s="9" t="s">
        <v>46</v>
      </c>
      <c r="D923" s="9" t="s">
        <v>63</v>
      </c>
      <c r="E923" s="9" t="s">
        <v>1143</v>
      </c>
      <c r="F923" s="9" t="s">
        <v>1144</v>
      </c>
      <c r="G923" s="10">
        <v>45933</v>
      </c>
      <c r="H923" s="10">
        <v>45974</v>
      </c>
      <c r="I923">
        <v>18.600000000000001</v>
      </c>
      <c r="J923">
        <v>23.2</v>
      </c>
      <c r="K923" s="9" t="s">
        <v>1321</v>
      </c>
    </row>
    <row r="924" spans="1:11" x14ac:dyDescent="0.35">
      <c r="A924" s="9" t="s">
        <v>2384</v>
      </c>
      <c r="B924" s="9" t="s">
        <v>955</v>
      </c>
      <c r="C924" s="9" t="s">
        <v>46</v>
      </c>
      <c r="D924" s="9" t="s">
        <v>63</v>
      </c>
      <c r="E924" s="9" t="s">
        <v>1129</v>
      </c>
      <c r="F924" s="9" t="s">
        <v>1130</v>
      </c>
      <c r="G924" s="10">
        <v>45730</v>
      </c>
      <c r="H924" s="10">
        <v>45755</v>
      </c>
      <c r="I924">
        <v>29.6</v>
      </c>
      <c r="J924">
        <v>30.8</v>
      </c>
      <c r="K924" s="9" t="s">
        <v>1321</v>
      </c>
    </row>
    <row r="925" spans="1:11" x14ac:dyDescent="0.35">
      <c r="A925" s="9" t="s">
        <v>2385</v>
      </c>
      <c r="B925" s="9" t="s">
        <v>955</v>
      </c>
      <c r="C925" s="9" t="s">
        <v>46</v>
      </c>
      <c r="D925" s="9" t="s">
        <v>63</v>
      </c>
      <c r="E925" s="9" t="s">
        <v>1167</v>
      </c>
      <c r="F925" s="9" t="s">
        <v>1168</v>
      </c>
      <c r="G925" s="10">
        <v>45753</v>
      </c>
      <c r="H925" s="10">
        <v>45776</v>
      </c>
      <c r="I925">
        <v>12.3</v>
      </c>
      <c r="J925">
        <v>12.4</v>
      </c>
      <c r="K925" s="9" t="s">
        <v>1321</v>
      </c>
    </row>
    <row r="926" spans="1:11" x14ac:dyDescent="0.35">
      <c r="A926" s="9" t="s">
        <v>2386</v>
      </c>
      <c r="B926" s="9" t="s">
        <v>957</v>
      </c>
      <c r="C926" s="9" t="s">
        <v>46</v>
      </c>
      <c r="D926" s="9" t="s">
        <v>69</v>
      </c>
      <c r="E926" s="9" t="s">
        <v>1176</v>
      </c>
      <c r="F926" s="9" t="s">
        <v>1177</v>
      </c>
      <c r="G926" s="10">
        <v>45902</v>
      </c>
      <c r="H926" s="10">
        <v>45906</v>
      </c>
      <c r="I926">
        <v>20</v>
      </c>
      <c r="J926">
        <v>15.4</v>
      </c>
      <c r="K926" s="9" t="s">
        <v>1321</v>
      </c>
    </row>
    <row r="927" spans="1:11" x14ac:dyDescent="0.35">
      <c r="A927" s="9" t="s">
        <v>2387</v>
      </c>
      <c r="B927" s="9" t="s">
        <v>957</v>
      </c>
      <c r="C927" s="9" t="s">
        <v>46</v>
      </c>
      <c r="D927" s="9" t="s">
        <v>69</v>
      </c>
      <c r="E927" s="9" t="s">
        <v>1190</v>
      </c>
      <c r="F927" s="9" t="s">
        <v>1191</v>
      </c>
      <c r="G927" s="10">
        <v>45718</v>
      </c>
      <c r="H927" s="10">
        <v>45726</v>
      </c>
      <c r="I927">
        <v>3</v>
      </c>
      <c r="J927">
        <v>2.4</v>
      </c>
      <c r="K927" s="9" t="s">
        <v>1321</v>
      </c>
    </row>
    <row r="928" spans="1:11" x14ac:dyDescent="0.35">
      <c r="A928" s="9" t="s">
        <v>2388</v>
      </c>
      <c r="B928" s="9" t="s">
        <v>959</v>
      </c>
      <c r="C928" s="9" t="s">
        <v>46</v>
      </c>
      <c r="D928" s="9" t="s">
        <v>63</v>
      </c>
      <c r="E928" s="9" t="s">
        <v>1137</v>
      </c>
      <c r="F928" s="9" t="s">
        <v>1138</v>
      </c>
      <c r="G928" s="10">
        <v>46194</v>
      </c>
      <c r="H928" s="10"/>
      <c r="I928">
        <v>32.700000000000003</v>
      </c>
      <c r="K928" s="9" t="s">
        <v>1325</v>
      </c>
    </row>
    <row r="929" spans="1:11" x14ac:dyDescent="0.35">
      <c r="A929" s="9" t="s">
        <v>2389</v>
      </c>
      <c r="B929" s="9" t="s">
        <v>961</v>
      </c>
      <c r="C929" s="9" t="s">
        <v>55</v>
      </c>
      <c r="D929" s="9" t="s">
        <v>69</v>
      </c>
      <c r="E929" s="9" t="s">
        <v>1145</v>
      </c>
      <c r="F929" s="9" t="s">
        <v>1146</v>
      </c>
      <c r="G929" s="10">
        <v>45719</v>
      </c>
      <c r="H929" s="10">
        <v>45724</v>
      </c>
      <c r="I929">
        <v>12.7</v>
      </c>
      <c r="J929">
        <v>10</v>
      </c>
      <c r="K929" s="9" t="s">
        <v>1321</v>
      </c>
    </row>
    <row r="930" spans="1:11" x14ac:dyDescent="0.35">
      <c r="A930" s="9" t="s">
        <v>2390</v>
      </c>
      <c r="B930" s="9" t="s">
        <v>961</v>
      </c>
      <c r="C930" s="9" t="s">
        <v>55</v>
      </c>
      <c r="D930" s="9" t="s">
        <v>69</v>
      </c>
      <c r="E930" s="9" t="s">
        <v>1193</v>
      </c>
      <c r="F930" s="9" t="s">
        <v>1194</v>
      </c>
      <c r="G930" s="10">
        <v>45709</v>
      </c>
      <c r="H930" s="10">
        <v>45741</v>
      </c>
      <c r="I930">
        <v>18.600000000000001</v>
      </c>
      <c r="J930">
        <v>20.8</v>
      </c>
      <c r="K930" s="9" t="s">
        <v>1321</v>
      </c>
    </row>
    <row r="931" spans="1:11" x14ac:dyDescent="0.35">
      <c r="A931" s="9" t="s">
        <v>2391</v>
      </c>
      <c r="B931" s="9" t="s">
        <v>961</v>
      </c>
      <c r="C931" s="9" t="s">
        <v>55</v>
      </c>
      <c r="D931" s="9" t="s">
        <v>69</v>
      </c>
      <c r="E931" s="9" t="s">
        <v>1183</v>
      </c>
      <c r="F931" s="9" t="s">
        <v>1184</v>
      </c>
      <c r="G931" s="10">
        <v>45766</v>
      </c>
      <c r="H931" s="10">
        <v>45823</v>
      </c>
      <c r="I931">
        <v>29.3</v>
      </c>
      <c r="J931">
        <v>42.2</v>
      </c>
      <c r="K931" s="9" t="s">
        <v>1321</v>
      </c>
    </row>
    <row r="932" spans="1:11" x14ac:dyDescent="0.35">
      <c r="A932" s="9" t="s">
        <v>2392</v>
      </c>
      <c r="B932" s="9" t="s">
        <v>963</v>
      </c>
      <c r="C932" s="9" t="s">
        <v>62</v>
      </c>
      <c r="D932" s="9" t="s">
        <v>47</v>
      </c>
      <c r="E932" s="9" t="s">
        <v>1162</v>
      </c>
      <c r="F932" s="9" t="s">
        <v>1163</v>
      </c>
      <c r="G932" s="10">
        <v>46129</v>
      </c>
      <c r="H932" s="10">
        <v>46142</v>
      </c>
      <c r="I932">
        <v>14.2</v>
      </c>
      <c r="J932">
        <v>12.5</v>
      </c>
      <c r="K932" s="9" t="s">
        <v>1321</v>
      </c>
    </row>
    <row r="933" spans="1:11" x14ac:dyDescent="0.35">
      <c r="A933" s="9" t="s">
        <v>2393</v>
      </c>
      <c r="B933" s="9" t="s">
        <v>965</v>
      </c>
      <c r="C933" s="9" t="s">
        <v>55</v>
      </c>
      <c r="D933" s="9" t="s">
        <v>112</v>
      </c>
      <c r="E933" s="9" t="s">
        <v>1188</v>
      </c>
      <c r="F933" s="9" t="s">
        <v>1189</v>
      </c>
      <c r="G933" s="10">
        <v>45708</v>
      </c>
      <c r="H933" s="10">
        <v>45727</v>
      </c>
      <c r="I933">
        <v>25.9</v>
      </c>
      <c r="J933">
        <v>25</v>
      </c>
      <c r="K933" s="9" t="s">
        <v>1321</v>
      </c>
    </row>
    <row r="934" spans="1:11" x14ac:dyDescent="0.35">
      <c r="A934" s="9" t="s">
        <v>2394</v>
      </c>
      <c r="B934" s="9" t="s">
        <v>965</v>
      </c>
      <c r="C934" s="9" t="s">
        <v>55</v>
      </c>
      <c r="D934" s="9" t="s">
        <v>112</v>
      </c>
      <c r="E934" s="9" t="s">
        <v>1139</v>
      </c>
      <c r="F934" s="9" t="s">
        <v>1140</v>
      </c>
      <c r="G934" s="10">
        <v>45835</v>
      </c>
      <c r="H934" s="10">
        <v>45868</v>
      </c>
      <c r="I934">
        <v>13.8</v>
      </c>
      <c r="J934">
        <v>15.7</v>
      </c>
      <c r="K934" s="9" t="s">
        <v>1321</v>
      </c>
    </row>
    <row r="935" spans="1:11" x14ac:dyDescent="0.35">
      <c r="A935" s="9" t="s">
        <v>2395</v>
      </c>
      <c r="B935" s="9" t="s">
        <v>967</v>
      </c>
      <c r="C935" s="9" t="s">
        <v>46</v>
      </c>
      <c r="D935" s="9" t="s">
        <v>69</v>
      </c>
      <c r="E935" s="9" t="s">
        <v>1211</v>
      </c>
      <c r="F935" s="9" t="s">
        <v>1212</v>
      </c>
      <c r="G935" s="10">
        <v>46181</v>
      </c>
      <c r="H935" s="10">
        <v>46232</v>
      </c>
      <c r="I935">
        <v>6.3</v>
      </c>
      <c r="J935">
        <v>8.6</v>
      </c>
      <c r="K935" s="9" t="s">
        <v>1321</v>
      </c>
    </row>
    <row r="936" spans="1:11" x14ac:dyDescent="0.35">
      <c r="A936" s="9" t="s">
        <v>2396</v>
      </c>
      <c r="B936" s="9" t="s">
        <v>969</v>
      </c>
      <c r="C936" s="9" t="s">
        <v>46</v>
      </c>
      <c r="D936" s="9" t="s">
        <v>63</v>
      </c>
      <c r="E936" s="9" t="s">
        <v>1158</v>
      </c>
      <c r="F936" s="9" t="s">
        <v>1159</v>
      </c>
      <c r="G936" s="10">
        <v>46117</v>
      </c>
      <c r="H936" s="10">
        <v>46154</v>
      </c>
      <c r="I936">
        <v>14.1</v>
      </c>
      <c r="J936">
        <v>16.7</v>
      </c>
      <c r="K936" s="9" t="s">
        <v>1321</v>
      </c>
    </row>
    <row r="937" spans="1:11" x14ac:dyDescent="0.35">
      <c r="A937" s="9" t="s">
        <v>2397</v>
      </c>
      <c r="B937" s="9" t="s">
        <v>969</v>
      </c>
      <c r="C937" s="9" t="s">
        <v>46</v>
      </c>
      <c r="D937" s="9" t="s">
        <v>63</v>
      </c>
      <c r="E937" s="9" t="s">
        <v>1211</v>
      </c>
      <c r="F937" s="9" t="s">
        <v>1212</v>
      </c>
      <c r="G937" s="10">
        <v>46095</v>
      </c>
      <c r="H937" s="10">
        <v>46133</v>
      </c>
      <c r="I937">
        <v>16.399999999999999</v>
      </c>
      <c r="J937">
        <v>19.8</v>
      </c>
      <c r="K937" s="9" t="s">
        <v>1321</v>
      </c>
    </row>
    <row r="938" spans="1:11" x14ac:dyDescent="0.35">
      <c r="A938" s="9" t="s">
        <v>2398</v>
      </c>
      <c r="B938" s="9" t="s">
        <v>969</v>
      </c>
      <c r="C938" s="9" t="s">
        <v>46</v>
      </c>
      <c r="D938" s="9" t="s">
        <v>63</v>
      </c>
      <c r="E938" s="9" t="s">
        <v>1134</v>
      </c>
      <c r="F938" s="9" t="s">
        <v>1135</v>
      </c>
      <c r="G938" s="10">
        <v>46045</v>
      </c>
      <c r="H938" s="10">
        <v>46068</v>
      </c>
      <c r="I938">
        <v>23.7</v>
      </c>
      <c r="J938">
        <v>23.9</v>
      </c>
      <c r="K938" s="9" t="s">
        <v>1321</v>
      </c>
    </row>
    <row r="939" spans="1:11" x14ac:dyDescent="0.35">
      <c r="A939" s="9" t="s">
        <v>2399</v>
      </c>
      <c r="B939" s="9" t="s">
        <v>971</v>
      </c>
      <c r="C939" s="9" t="s">
        <v>55</v>
      </c>
      <c r="D939" s="9" t="s">
        <v>56</v>
      </c>
      <c r="E939" s="9" t="s">
        <v>1162</v>
      </c>
      <c r="F939" s="9" t="s">
        <v>1163</v>
      </c>
      <c r="G939" s="10">
        <v>45874</v>
      </c>
      <c r="H939" s="10">
        <v>45892</v>
      </c>
      <c r="I939">
        <v>21.7</v>
      </c>
      <c r="J939">
        <v>20.5</v>
      </c>
      <c r="K939" s="9" t="s">
        <v>1321</v>
      </c>
    </row>
    <row r="940" spans="1:11" x14ac:dyDescent="0.35">
      <c r="A940" s="9" t="s">
        <v>2400</v>
      </c>
      <c r="B940" s="9" t="s">
        <v>971</v>
      </c>
      <c r="C940" s="9" t="s">
        <v>55</v>
      </c>
      <c r="D940" s="9" t="s">
        <v>56</v>
      </c>
      <c r="E940" s="9" t="s">
        <v>1143</v>
      </c>
      <c r="F940" s="9" t="s">
        <v>1144</v>
      </c>
      <c r="G940" s="10">
        <v>45800</v>
      </c>
      <c r="H940" s="10">
        <v>45831</v>
      </c>
      <c r="I940">
        <v>31.6</v>
      </c>
      <c r="J940">
        <v>35.299999999999997</v>
      </c>
      <c r="K940" s="9" t="s">
        <v>1321</v>
      </c>
    </row>
    <row r="941" spans="1:11" x14ac:dyDescent="0.35">
      <c r="A941" s="9" t="s">
        <v>2401</v>
      </c>
      <c r="B941" s="9" t="s">
        <v>971</v>
      </c>
      <c r="C941" s="9" t="s">
        <v>55</v>
      </c>
      <c r="D941" s="9" t="s">
        <v>56</v>
      </c>
      <c r="E941" s="9" t="s">
        <v>1180</v>
      </c>
      <c r="F941" s="9" t="s">
        <v>1181</v>
      </c>
      <c r="G941" s="10">
        <v>46133</v>
      </c>
      <c r="H941" s="10"/>
      <c r="I941">
        <v>2.1</v>
      </c>
      <c r="K941" s="9" t="s">
        <v>1473</v>
      </c>
    </row>
    <row r="942" spans="1:11" x14ac:dyDescent="0.35">
      <c r="A942" s="9" t="s">
        <v>2402</v>
      </c>
      <c r="B942" s="9" t="s">
        <v>973</v>
      </c>
      <c r="C942" s="9" t="s">
        <v>46</v>
      </c>
      <c r="D942" s="9" t="s">
        <v>112</v>
      </c>
      <c r="E942" s="9" t="s">
        <v>1183</v>
      </c>
      <c r="F942" s="9" t="s">
        <v>1184</v>
      </c>
      <c r="G942" s="10">
        <v>46043</v>
      </c>
      <c r="H942" s="10">
        <v>46088</v>
      </c>
      <c r="I942">
        <v>28.3</v>
      </c>
      <c r="J942">
        <v>36.799999999999997</v>
      </c>
      <c r="K942" s="9" t="s">
        <v>1321</v>
      </c>
    </row>
    <row r="943" spans="1:11" x14ac:dyDescent="0.35">
      <c r="A943" s="9" t="s">
        <v>2403</v>
      </c>
      <c r="B943" s="9" t="s">
        <v>973</v>
      </c>
      <c r="C943" s="9" t="s">
        <v>46</v>
      </c>
      <c r="D943" s="9" t="s">
        <v>112</v>
      </c>
      <c r="E943" s="9" t="s">
        <v>1147</v>
      </c>
      <c r="F943" s="9" t="s">
        <v>1148</v>
      </c>
      <c r="G943" s="10">
        <v>46133</v>
      </c>
      <c r="H943" s="10">
        <v>46183</v>
      </c>
      <c r="I943">
        <v>6.3</v>
      </c>
      <c r="J943">
        <v>8.5</v>
      </c>
      <c r="K943" s="9" t="s">
        <v>1321</v>
      </c>
    </row>
    <row r="944" spans="1:11" x14ac:dyDescent="0.35">
      <c r="A944" s="9" t="s">
        <v>2404</v>
      </c>
      <c r="B944" s="9" t="s">
        <v>973</v>
      </c>
      <c r="C944" s="9" t="s">
        <v>46</v>
      </c>
      <c r="D944" s="9" t="s">
        <v>112</v>
      </c>
      <c r="E944" s="9" t="s">
        <v>1190</v>
      </c>
      <c r="F944" s="9" t="s">
        <v>1191</v>
      </c>
      <c r="G944" s="10">
        <v>46075</v>
      </c>
      <c r="H944" s="10">
        <v>46117</v>
      </c>
      <c r="I944">
        <v>35.4</v>
      </c>
      <c r="J944">
        <v>44.3</v>
      </c>
      <c r="K944" s="9" t="s">
        <v>1321</v>
      </c>
    </row>
    <row r="945" spans="1:11" x14ac:dyDescent="0.35">
      <c r="A945" s="9" t="s">
        <v>2405</v>
      </c>
      <c r="B945" s="9" t="s">
        <v>975</v>
      </c>
      <c r="C945" s="9" t="s">
        <v>46</v>
      </c>
      <c r="D945" s="9" t="s">
        <v>80</v>
      </c>
      <c r="E945" s="9" t="s">
        <v>1190</v>
      </c>
      <c r="F945" s="9" t="s">
        <v>1191</v>
      </c>
      <c r="G945" s="10">
        <v>45966</v>
      </c>
      <c r="H945" s="10">
        <v>45986</v>
      </c>
      <c r="I945">
        <v>21.6</v>
      </c>
      <c r="J945">
        <v>21.1</v>
      </c>
      <c r="K945" s="9" t="s">
        <v>1321</v>
      </c>
    </row>
    <row r="946" spans="1:11" x14ac:dyDescent="0.35">
      <c r="A946" s="9" t="s">
        <v>2406</v>
      </c>
      <c r="B946" s="9" t="s">
        <v>975</v>
      </c>
      <c r="C946" s="9" t="s">
        <v>46</v>
      </c>
      <c r="D946" s="9" t="s">
        <v>80</v>
      </c>
      <c r="E946" s="9" t="s">
        <v>1188</v>
      </c>
      <c r="F946" s="9" t="s">
        <v>1189</v>
      </c>
      <c r="G946" s="10">
        <v>45832</v>
      </c>
      <c r="H946" s="10">
        <v>45880</v>
      </c>
      <c r="I946">
        <v>14.1</v>
      </c>
      <c r="J946">
        <v>18.600000000000001</v>
      </c>
      <c r="K946" s="9" t="s">
        <v>1321</v>
      </c>
    </row>
    <row r="947" spans="1:11" x14ac:dyDescent="0.35">
      <c r="A947" s="9" t="s">
        <v>2407</v>
      </c>
      <c r="B947" s="9" t="s">
        <v>977</v>
      </c>
      <c r="C947" s="9" t="s">
        <v>46</v>
      </c>
      <c r="D947" s="9" t="s">
        <v>56</v>
      </c>
      <c r="E947" s="9" t="s">
        <v>1143</v>
      </c>
      <c r="F947" s="9" t="s">
        <v>1144</v>
      </c>
      <c r="G947" s="10">
        <v>46191</v>
      </c>
      <c r="H947" s="10">
        <v>46213</v>
      </c>
      <c r="I947">
        <v>34.5</v>
      </c>
      <c r="J947">
        <v>34.4</v>
      </c>
      <c r="K947" s="9" t="s">
        <v>1321</v>
      </c>
    </row>
    <row r="948" spans="1:11" x14ac:dyDescent="0.35">
      <c r="A948" s="9" t="s">
        <v>2408</v>
      </c>
      <c r="B948" s="9" t="s">
        <v>977</v>
      </c>
      <c r="C948" s="9" t="s">
        <v>46</v>
      </c>
      <c r="D948" s="9" t="s">
        <v>56</v>
      </c>
      <c r="E948" s="9" t="s">
        <v>1155</v>
      </c>
      <c r="F948" s="9" t="s">
        <v>1156</v>
      </c>
      <c r="G948" s="10">
        <v>45970</v>
      </c>
      <c r="H948" s="10">
        <v>45991</v>
      </c>
      <c r="I948">
        <v>3</v>
      </c>
      <c r="J948">
        <v>3</v>
      </c>
      <c r="K948" s="9" t="s">
        <v>1321</v>
      </c>
    </row>
    <row r="949" spans="1:11" x14ac:dyDescent="0.35">
      <c r="A949" s="9" t="s">
        <v>2409</v>
      </c>
      <c r="B949" s="9" t="s">
        <v>977</v>
      </c>
      <c r="C949" s="9" t="s">
        <v>46</v>
      </c>
      <c r="D949" s="9" t="s">
        <v>56</v>
      </c>
      <c r="E949" s="9" t="s">
        <v>1155</v>
      </c>
      <c r="F949" s="9" t="s">
        <v>1156</v>
      </c>
      <c r="G949" s="10">
        <v>46129</v>
      </c>
      <c r="H949" s="10">
        <v>46178</v>
      </c>
      <c r="I949">
        <v>30.5</v>
      </c>
      <c r="J949">
        <v>41</v>
      </c>
      <c r="K949" s="9" t="s">
        <v>1321</v>
      </c>
    </row>
    <row r="950" spans="1:11" x14ac:dyDescent="0.35">
      <c r="A950" s="9" t="s">
        <v>2410</v>
      </c>
      <c r="B950" s="9" t="s">
        <v>979</v>
      </c>
      <c r="C950" s="9" t="s">
        <v>62</v>
      </c>
      <c r="D950" s="9" t="s">
        <v>69</v>
      </c>
      <c r="E950" s="9" t="s">
        <v>1152</v>
      </c>
      <c r="F950" s="9" t="s">
        <v>1153</v>
      </c>
      <c r="G950" s="10">
        <v>45703</v>
      </c>
      <c r="H950" s="10">
        <v>45710</v>
      </c>
      <c r="I950">
        <v>11.8</v>
      </c>
      <c r="J950">
        <v>9.5</v>
      </c>
      <c r="K950" s="9" t="s">
        <v>1321</v>
      </c>
    </row>
    <row r="951" spans="1:11" x14ac:dyDescent="0.35">
      <c r="A951" s="9" t="s">
        <v>2411</v>
      </c>
      <c r="B951" s="9" t="s">
        <v>981</v>
      </c>
      <c r="C951" s="9" t="s">
        <v>46</v>
      </c>
      <c r="D951" s="9" t="s">
        <v>47</v>
      </c>
      <c r="E951" s="9" t="s">
        <v>1134</v>
      </c>
      <c r="F951" s="9" t="s">
        <v>1135</v>
      </c>
      <c r="G951" s="10">
        <v>45849</v>
      </c>
      <c r="H951" s="10">
        <v>45906</v>
      </c>
      <c r="I951">
        <v>23.1</v>
      </c>
      <c r="J951">
        <v>33.299999999999997</v>
      </c>
      <c r="K951" s="9" t="s">
        <v>1321</v>
      </c>
    </row>
    <row r="952" spans="1:11" x14ac:dyDescent="0.35">
      <c r="A952" s="9" t="s">
        <v>2412</v>
      </c>
      <c r="B952" s="9" t="s">
        <v>983</v>
      </c>
      <c r="C952" s="9" t="s">
        <v>46</v>
      </c>
      <c r="D952" s="9" t="s">
        <v>112</v>
      </c>
      <c r="E952" s="9" t="s">
        <v>1162</v>
      </c>
      <c r="F952" s="9" t="s">
        <v>1163</v>
      </c>
      <c r="G952" s="10">
        <v>46119</v>
      </c>
      <c r="H952" s="10">
        <v>46168</v>
      </c>
      <c r="I952">
        <v>20.6</v>
      </c>
      <c r="J952">
        <v>27.5</v>
      </c>
      <c r="K952" s="9" t="s">
        <v>1321</v>
      </c>
    </row>
    <row r="953" spans="1:11" x14ac:dyDescent="0.35">
      <c r="A953" s="9" t="s">
        <v>2413</v>
      </c>
      <c r="B953" s="9" t="s">
        <v>983</v>
      </c>
      <c r="C953" s="9" t="s">
        <v>46</v>
      </c>
      <c r="D953" s="9" t="s">
        <v>112</v>
      </c>
      <c r="E953" s="9" t="s">
        <v>1171</v>
      </c>
      <c r="F953" s="9" t="s">
        <v>1172</v>
      </c>
      <c r="G953" s="10">
        <v>46033</v>
      </c>
      <c r="H953" s="10">
        <v>46046</v>
      </c>
      <c r="I953">
        <v>29.2</v>
      </c>
      <c r="J953">
        <v>25.7</v>
      </c>
      <c r="K953" s="9" t="s">
        <v>1321</v>
      </c>
    </row>
    <row r="954" spans="1:11" x14ac:dyDescent="0.35">
      <c r="A954" s="9" t="s">
        <v>2414</v>
      </c>
      <c r="B954" s="9" t="s">
        <v>983</v>
      </c>
      <c r="C954" s="9" t="s">
        <v>46</v>
      </c>
      <c r="D954" s="9" t="s">
        <v>112</v>
      </c>
      <c r="E954" s="9" t="s">
        <v>1171</v>
      </c>
      <c r="F954" s="9" t="s">
        <v>1172</v>
      </c>
      <c r="G954" s="10">
        <v>45932</v>
      </c>
      <c r="H954" s="10">
        <v>45938</v>
      </c>
      <c r="I954">
        <v>27.1</v>
      </c>
      <c r="J954">
        <v>21.6</v>
      </c>
      <c r="K954" s="9" t="s">
        <v>1321</v>
      </c>
    </row>
    <row r="955" spans="1:11" x14ac:dyDescent="0.35">
      <c r="A955" s="9" t="s">
        <v>2415</v>
      </c>
      <c r="B955" s="9" t="s">
        <v>985</v>
      </c>
      <c r="C955" s="9" t="s">
        <v>46</v>
      </c>
      <c r="D955" s="9" t="s">
        <v>56</v>
      </c>
      <c r="E955" s="9" t="s">
        <v>1190</v>
      </c>
      <c r="F955" s="9" t="s">
        <v>1191</v>
      </c>
      <c r="G955" s="10">
        <v>46148</v>
      </c>
      <c r="H955" s="10">
        <v>46156</v>
      </c>
      <c r="I955">
        <v>26.6</v>
      </c>
      <c r="J955">
        <v>21.8</v>
      </c>
      <c r="K955" s="9" t="s">
        <v>1321</v>
      </c>
    </row>
    <row r="956" spans="1:11" x14ac:dyDescent="0.35">
      <c r="A956" s="9" t="s">
        <v>2416</v>
      </c>
      <c r="B956" s="9" t="s">
        <v>985</v>
      </c>
      <c r="C956" s="9" t="s">
        <v>46</v>
      </c>
      <c r="D956" s="9" t="s">
        <v>56</v>
      </c>
      <c r="E956" s="9" t="s">
        <v>1143</v>
      </c>
      <c r="F956" s="9" t="s">
        <v>1144</v>
      </c>
      <c r="G956" s="10">
        <v>45966</v>
      </c>
      <c r="H956" s="10">
        <v>45979</v>
      </c>
      <c r="I956">
        <v>13.2</v>
      </c>
      <c r="J956">
        <v>11.7</v>
      </c>
      <c r="K956" s="9" t="s">
        <v>1321</v>
      </c>
    </row>
    <row r="957" spans="1:11" x14ac:dyDescent="0.35">
      <c r="A957" s="9" t="s">
        <v>2417</v>
      </c>
      <c r="B957" s="9" t="s">
        <v>985</v>
      </c>
      <c r="C957" s="9" t="s">
        <v>46</v>
      </c>
      <c r="D957" s="9" t="s">
        <v>56</v>
      </c>
      <c r="E957" s="9" t="s">
        <v>1139</v>
      </c>
      <c r="F957" s="9" t="s">
        <v>1140</v>
      </c>
      <c r="G957" s="10">
        <v>45876</v>
      </c>
      <c r="H957" s="10">
        <v>45909</v>
      </c>
      <c r="I957">
        <v>31</v>
      </c>
      <c r="J957">
        <v>35.299999999999997</v>
      </c>
      <c r="K957" s="9" t="s">
        <v>1321</v>
      </c>
    </row>
    <row r="958" spans="1:11" x14ac:dyDescent="0.35">
      <c r="A958" s="9" t="s">
        <v>2418</v>
      </c>
      <c r="B958" s="9" t="s">
        <v>987</v>
      </c>
      <c r="C958" s="9" t="s">
        <v>46</v>
      </c>
      <c r="D958" s="9" t="s">
        <v>93</v>
      </c>
      <c r="E958" s="9" t="s">
        <v>1167</v>
      </c>
      <c r="F958" s="9" t="s">
        <v>1168</v>
      </c>
      <c r="G958" s="10">
        <v>46190</v>
      </c>
      <c r="H958" s="10">
        <v>46214</v>
      </c>
      <c r="I958">
        <v>35</v>
      </c>
      <c r="J958">
        <v>36</v>
      </c>
      <c r="K958" s="9" t="s">
        <v>1321</v>
      </c>
    </row>
    <row r="959" spans="1:11" x14ac:dyDescent="0.35">
      <c r="A959" s="9" t="s">
        <v>2419</v>
      </c>
      <c r="B959" s="9" t="s">
        <v>987</v>
      </c>
      <c r="C959" s="9" t="s">
        <v>46</v>
      </c>
      <c r="D959" s="9" t="s">
        <v>93</v>
      </c>
      <c r="E959" s="9" t="s">
        <v>1196</v>
      </c>
      <c r="F959" s="9" t="s">
        <v>1197</v>
      </c>
      <c r="G959" s="10">
        <v>45994</v>
      </c>
      <c r="H959" s="10">
        <v>46041</v>
      </c>
      <c r="I959">
        <v>22.6</v>
      </c>
      <c r="J959">
        <v>29.7</v>
      </c>
      <c r="K959" s="9" t="s">
        <v>1321</v>
      </c>
    </row>
    <row r="960" spans="1:11" x14ac:dyDescent="0.35">
      <c r="A960" s="9" t="s">
        <v>2420</v>
      </c>
      <c r="B960" s="9" t="s">
        <v>989</v>
      </c>
      <c r="C960" s="9" t="s">
        <v>46</v>
      </c>
      <c r="D960" s="9" t="s">
        <v>56</v>
      </c>
      <c r="E960" s="9" t="s">
        <v>1167</v>
      </c>
      <c r="F960" s="9" t="s">
        <v>1168</v>
      </c>
      <c r="G960" s="10">
        <v>45970</v>
      </c>
      <c r="H960" s="10">
        <v>46023</v>
      </c>
      <c r="I960">
        <v>2.5</v>
      </c>
      <c r="J960">
        <v>3.5</v>
      </c>
      <c r="K960" s="9" t="s">
        <v>1321</v>
      </c>
    </row>
    <row r="961" spans="1:11" x14ac:dyDescent="0.35">
      <c r="A961" s="9" t="s">
        <v>2421</v>
      </c>
      <c r="B961" s="9" t="s">
        <v>989</v>
      </c>
      <c r="C961" s="9" t="s">
        <v>46</v>
      </c>
      <c r="D961" s="9" t="s">
        <v>56</v>
      </c>
      <c r="E961" s="9" t="s">
        <v>1196</v>
      </c>
      <c r="F961" s="9" t="s">
        <v>1197</v>
      </c>
      <c r="G961" s="10">
        <v>45888</v>
      </c>
      <c r="H961" s="10">
        <v>45911</v>
      </c>
      <c r="I961">
        <v>26.2</v>
      </c>
      <c r="J961">
        <v>26.3</v>
      </c>
      <c r="K961" s="9" t="s">
        <v>1321</v>
      </c>
    </row>
    <row r="962" spans="1:11" x14ac:dyDescent="0.35">
      <c r="A962" s="9" t="s">
        <v>2422</v>
      </c>
      <c r="B962" s="9" t="s">
        <v>989</v>
      </c>
      <c r="C962" s="9" t="s">
        <v>46</v>
      </c>
      <c r="D962" s="9" t="s">
        <v>56</v>
      </c>
      <c r="E962" s="9" t="s">
        <v>1167</v>
      </c>
      <c r="F962" s="9" t="s">
        <v>1168</v>
      </c>
      <c r="G962" s="10">
        <v>45836</v>
      </c>
      <c r="H962" s="10">
        <v>45865</v>
      </c>
      <c r="I962">
        <v>6.8</v>
      </c>
      <c r="J962">
        <v>7.4</v>
      </c>
      <c r="K962" s="9" t="s">
        <v>1321</v>
      </c>
    </row>
    <row r="963" spans="1:11" x14ac:dyDescent="0.35">
      <c r="A963" s="9" t="s">
        <v>2423</v>
      </c>
      <c r="B963" s="9" t="s">
        <v>991</v>
      </c>
      <c r="C963" s="9" t="s">
        <v>55</v>
      </c>
      <c r="D963" s="9" t="s">
        <v>69</v>
      </c>
      <c r="E963" s="9" t="s">
        <v>1196</v>
      </c>
      <c r="F963" s="9" t="s">
        <v>1197</v>
      </c>
      <c r="G963" s="10">
        <v>45985</v>
      </c>
      <c r="H963" s="10">
        <v>45998</v>
      </c>
      <c r="I963">
        <v>8.1999999999999993</v>
      </c>
      <c r="J963">
        <v>7.2</v>
      </c>
      <c r="K963" s="9" t="s">
        <v>1321</v>
      </c>
    </row>
    <row r="964" spans="1:11" x14ac:dyDescent="0.35">
      <c r="A964" s="9" t="s">
        <v>2424</v>
      </c>
      <c r="B964" s="9" t="s">
        <v>991</v>
      </c>
      <c r="C964" s="9" t="s">
        <v>55</v>
      </c>
      <c r="D964" s="9" t="s">
        <v>69</v>
      </c>
      <c r="E964" s="9" t="s">
        <v>1147</v>
      </c>
      <c r="F964" s="9" t="s">
        <v>1148</v>
      </c>
      <c r="G964" s="10">
        <v>46094</v>
      </c>
      <c r="H964" s="10">
        <v>46107</v>
      </c>
      <c r="I964">
        <v>18.8</v>
      </c>
      <c r="J964">
        <v>16.7</v>
      </c>
      <c r="K964" s="9" t="s">
        <v>1321</v>
      </c>
    </row>
    <row r="965" spans="1:11" x14ac:dyDescent="0.35">
      <c r="A965" s="9" t="s">
        <v>2425</v>
      </c>
      <c r="B965" s="9" t="s">
        <v>991</v>
      </c>
      <c r="C965" s="9" t="s">
        <v>55</v>
      </c>
      <c r="D965" s="9" t="s">
        <v>69</v>
      </c>
      <c r="E965" s="9" t="s">
        <v>1143</v>
      </c>
      <c r="F965" s="9" t="s">
        <v>1144</v>
      </c>
      <c r="G965" s="10">
        <v>45705</v>
      </c>
      <c r="H965" s="10">
        <v>45722</v>
      </c>
      <c r="I965">
        <v>3.8</v>
      </c>
      <c r="J965">
        <v>3.5</v>
      </c>
      <c r="K965" s="9" t="s">
        <v>1321</v>
      </c>
    </row>
    <row r="966" spans="1:11" x14ac:dyDescent="0.35">
      <c r="A966" s="9" t="s">
        <v>2426</v>
      </c>
      <c r="B966" s="9" t="s">
        <v>993</v>
      </c>
      <c r="C966" s="9" t="s">
        <v>62</v>
      </c>
      <c r="D966" s="9" t="s">
        <v>80</v>
      </c>
      <c r="E966" s="9" t="s">
        <v>1183</v>
      </c>
      <c r="F966" s="9" t="s">
        <v>1184</v>
      </c>
      <c r="G966" s="10">
        <v>45822</v>
      </c>
      <c r="H966" s="10">
        <v>45871</v>
      </c>
      <c r="I966">
        <v>23.2</v>
      </c>
      <c r="J966">
        <v>31.1</v>
      </c>
      <c r="K966" s="9" t="s">
        <v>1321</v>
      </c>
    </row>
    <row r="967" spans="1:11" x14ac:dyDescent="0.35">
      <c r="A967" s="9" t="s">
        <v>2427</v>
      </c>
      <c r="B967" s="9" t="s">
        <v>993</v>
      </c>
      <c r="C967" s="9" t="s">
        <v>62</v>
      </c>
      <c r="D967" s="9" t="s">
        <v>80</v>
      </c>
      <c r="E967" s="9" t="s">
        <v>1152</v>
      </c>
      <c r="F967" s="9" t="s">
        <v>1153</v>
      </c>
      <c r="G967" s="10">
        <v>45896</v>
      </c>
      <c r="H967" s="10">
        <v>45940</v>
      </c>
      <c r="I967">
        <v>6.5</v>
      </c>
      <c r="J967">
        <v>8.3000000000000007</v>
      </c>
      <c r="K967" s="9" t="s">
        <v>1321</v>
      </c>
    </row>
    <row r="968" spans="1:11" x14ac:dyDescent="0.35">
      <c r="A968" s="9" t="s">
        <v>2428</v>
      </c>
      <c r="B968" s="9" t="s">
        <v>993</v>
      </c>
      <c r="C968" s="9" t="s">
        <v>62</v>
      </c>
      <c r="D968" s="9" t="s">
        <v>80</v>
      </c>
      <c r="E968" s="9" t="s">
        <v>1188</v>
      </c>
      <c r="F968" s="9" t="s">
        <v>1189</v>
      </c>
      <c r="G968" s="10">
        <v>45974</v>
      </c>
      <c r="H968" s="10">
        <v>46018</v>
      </c>
      <c r="I968">
        <v>34.700000000000003</v>
      </c>
      <c r="J968">
        <v>44.1</v>
      </c>
      <c r="K968" s="9" t="s">
        <v>1321</v>
      </c>
    </row>
    <row r="969" spans="1:11" x14ac:dyDescent="0.35">
      <c r="A969" s="9" t="s">
        <v>2429</v>
      </c>
      <c r="B969" s="9" t="s">
        <v>995</v>
      </c>
      <c r="C969" s="9" t="s">
        <v>46</v>
      </c>
      <c r="D969" s="9" t="s">
        <v>112</v>
      </c>
      <c r="E969" s="9" t="s">
        <v>1171</v>
      </c>
      <c r="F969" s="9" t="s">
        <v>1172</v>
      </c>
      <c r="G969" s="10">
        <v>46058</v>
      </c>
      <c r="H969" s="10">
        <v>46092</v>
      </c>
      <c r="I969">
        <v>34.299999999999997</v>
      </c>
      <c r="J969">
        <v>39.700000000000003</v>
      </c>
      <c r="K969" s="9" t="s">
        <v>1321</v>
      </c>
    </row>
    <row r="970" spans="1:11" x14ac:dyDescent="0.35">
      <c r="A970" s="9" t="s">
        <v>2430</v>
      </c>
      <c r="B970" s="9" t="s">
        <v>995</v>
      </c>
      <c r="C970" s="9" t="s">
        <v>46</v>
      </c>
      <c r="D970" s="9" t="s">
        <v>112</v>
      </c>
      <c r="E970" s="9" t="s">
        <v>1196</v>
      </c>
      <c r="F970" s="9" t="s">
        <v>1197</v>
      </c>
      <c r="G970" s="10">
        <v>45816</v>
      </c>
      <c r="H970" s="10">
        <v>45848</v>
      </c>
      <c r="I970">
        <v>28.1</v>
      </c>
      <c r="J970">
        <v>31.8</v>
      </c>
      <c r="K970" s="9" t="s">
        <v>1321</v>
      </c>
    </row>
    <row r="971" spans="1:11" x14ac:dyDescent="0.35">
      <c r="A971" s="9" t="s">
        <v>2431</v>
      </c>
      <c r="B971" s="9" t="s">
        <v>995</v>
      </c>
      <c r="C971" s="9" t="s">
        <v>46</v>
      </c>
      <c r="D971" s="9" t="s">
        <v>112</v>
      </c>
      <c r="E971" s="9" t="s">
        <v>1211</v>
      </c>
      <c r="F971" s="9" t="s">
        <v>1212</v>
      </c>
      <c r="G971" s="10">
        <v>45832</v>
      </c>
      <c r="H971" s="10">
        <v>45837</v>
      </c>
      <c r="I971">
        <v>16.3</v>
      </c>
      <c r="J971">
        <v>12.8</v>
      </c>
      <c r="K971" s="9" t="s">
        <v>1321</v>
      </c>
    </row>
    <row r="972" spans="1:11" x14ac:dyDescent="0.35">
      <c r="A972" s="9" t="s">
        <v>2432</v>
      </c>
      <c r="B972" s="9" t="s">
        <v>997</v>
      </c>
      <c r="C972" s="9" t="s">
        <v>46</v>
      </c>
      <c r="D972" s="9" t="s">
        <v>47</v>
      </c>
      <c r="E972" s="9" t="s">
        <v>1196</v>
      </c>
      <c r="F972" s="9" t="s">
        <v>1197</v>
      </c>
      <c r="G972" s="10">
        <v>45664</v>
      </c>
      <c r="H972" s="10">
        <v>45673</v>
      </c>
      <c r="I972">
        <v>14</v>
      </c>
      <c r="J972">
        <v>11.6</v>
      </c>
      <c r="K972" s="9" t="s">
        <v>1321</v>
      </c>
    </row>
    <row r="973" spans="1:11" x14ac:dyDescent="0.35">
      <c r="A973" s="9" t="s">
        <v>2433</v>
      </c>
      <c r="B973" s="9" t="s">
        <v>999</v>
      </c>
      <c r="C973" s="9" t="s">
        <v>55</v>
      </c>
      <c r="D973" s="9" t="s">
        <v>69</v>
      </c>
      <c r="E973" s="9" t="s">
        <v>1152</v>
      </c>
      <c r="F973" s="9" t="s">
        <v>1153</v>
      </c>
      <c r="G973" s="10">
        <v>46077</v>
      </c>
      <c r="H973" s="10">
        <v>46109</v>
      </c>
      <c r="I973">
        <v>21.4</v>
      </c>
      <c r="J973">
        <v>24.1</v>
      </c>
      <c r="K973" s="9" t="s">
        <v>1321</v>
      </c>
    </row>
    <row r="974" spans="1:11" x14ac:dyDescent="0.35">
      <c r="A974" s="9" t="s">
        <v>2434</v>
      </c>
      <c r="B974" s="9" t="s">
        <v>999</v>
      </c>
      <c r="C974" s="9" t="s">
        <v>55</v>
      </c>
      <c r="D974" s="9" t="s">
        <v>69</v>
      </c>
      <c r="E974" s="9" t="s">
        <v>1180</v>
      </c>
      <c r="F974" s="9" t="s">
        <v>1181</v>
      </c>
      <c r="G974" s="10">
        <v>46128</v>
      </c>
      <c r="H974" s="10">
        <v>46166</v>
      </c>
      <c r="I974">
        <v>34.5</v>
      </c>
      <c r="J974">
        <v>41.7</v>
      </c>
      <c r="K974" s="9" t="s">
        <v>1321</v>
      </c>
    </row>
    <row r="975" spans="1:11" x14ac:dyDescent="0.35">
      <c r="A975" s="9" t="s">
        <v>2435</v>
      </c>
      <c r="B975" s="9" t="s">
        <v>999</v>
      </c>
      <c r="C975" s="9" t="s">
        <v>55</v>
      </c>
      <c r="D975" s="9" t="s">
        <v>69</v>
      </c>
      <c r="E975" s="9" t="s">
        <v>1188</v>
      </c>
      <c r="F975" s="9" t="s">
        <v>1189</v>
      </c>
      <c r="G975" s="10">
        <v>45940</v>
      </c>
      <c r="H975" s="10">
        <v>45963</v>
      </c>
      <c r="I975">
        <v>29.8</v>
      </c>
      <c r="J975">
        <v>30.2</v>
      </c>
      <c r="K975" s="9" t="s">
        <v>1321</v>
      </c>
    </row>
    <row r="976" spans="1:11" x14ac:dyDescent="0.35">
      <c r="A976" s="9" t="s">
        <v>2436</v>
      </c>
      <c r="B976" s="9" t="s">
        <v>1001</v>
      </c>
      <c r="C976" s="9" t="s">
        <v>46</v>
      </c>
      <c r="D976" s="9" t="s">
        <v>56</v>
      </c>
      <c r="E976" s="9" t="s">
        <v>1139</v>
      </c>
      <c r="F976" s="9" t="s">
        <v>1140</v>
      </c>
      <c r="G976" s="10">
        <v>46017</v>
      </c>
      <c r="H976" s="10">
        <v>46042</v>
      </c>
      <c r="I976">
        <v>32.4</v>
      </c>
      <c r="J976">
        <v>33.5</v>
      </c>
      <c r="K976" s="9" t="s">
        <v>1321</v>
      </c>
    </row>
    <row r="977" spans="1:11" x14ac:dyDescent="0.35">
      <c r="A977" s="9" t="s">
        <v>2437</v>
      </c>
      <c r="B977" s="9" t="s">
        <v>1001</v>
      </c>
      <c r="C977" s="9" t="s">
        <v>46</v>
      </c>
      <c r="D977" s="9" t="s">
        <v>56</v>
      </c>
      <c r="E977" s="9" t="s">
        <v>1167</v>
      </c>
      <c r="F977" s="9" t="s">
        <v>1168</v>
      </c>
      <c r="G977" s="10">
        <v>45794</v>
      </c>
      <c r="H977" s="10">
        <v>45823</v>
      </c>
      <c r="I977">
        <v>24.4</v>
      </c>
      <c r="J977">
        <v>26.5</v>
      </c>
      <c r="K977" s="9" t="s">
        <v>1321</v>
      </c>
    </row>
    <row r="978" spans="1:11" x14ac:dyDescent="0.35">
      <c r="A978" s="9" t="s">
        <v>2438</v>
      </c>
      <c r="B978" s="9" t="s">
        <v>1003</v>
      </c>
      <c r="C978" s="9" t="s">
        <v>46</v>
      </c>
      <c r="D978" s="9" t="s">
        <v>80</v>
      </c>
      <c r="E978" s="9" t="s">
        <v>1167</v>
      </c>
      <c r="F978" s="9" t="s">
        <v>1168</v>
      </c>
      <c r="G978" s="10">
        <v>46009</v>
      </c>
      <c r="H978" s="10">
        <v>46021</v>
      </c>
      <c r="I978">
        <v>17.8</v>
      </c>
      <c r="J978">
        <v>15.4</v>
      </c>
      <c r="K978" s="9" t="s">
        <v>1321</v>
      </c>
    </row>
    <row r="979" spans="1:11" x14ac:dyDescent="0.35">
      <c r="A979" s="9" t="s">
        <v>2439</v>
      </c>
      <c r="B979" s="9" t="s">
        <v>1005</v>
      </c>
      <c r="C979" s="9" t="s">
        <v>55</v>
      </c>
      <c r="D979" s="9" t="s">
        <v>47</v>
      </c>
      <c r="E979" s="9" t="s">
        <v>1155</v>
      </c>
      <c r="F979" s="9" t="s">
        <v>1156</v>
      </c>
      <c r="G979" s="10">
        <v>45952</v>
      </c>
      <c r="H979" s="10">
        <v>46004</v>
      </c>
      <c r="I979">
        <v>28.6</v>
      </c>
      <c r="J979">
        <v>39.5</v>
      </c>
      <c r="K979" s="9" t="s">
        <v>1321</v>
      </c>
    </row>
    <row r="980" spans="1:11" x14ac:dyDescent="0.35">
      <c r="A980" s="9" t="s">
        <v>2440</v>
      </c>
      <c r="B980" s="9" t="s">
        <v>1005</v>
      </c>
      <c r="C980" s="9" t="s">
        <v>55</v>
      </c>
      <c r="D980" s="9" t="s">
        <v>47</v>
      </c>
      <c r="E980" s="9" t="s">
        <v>1129</v>
      </c>
      <c r="F980" s="9" t="s">
        <v>1130</v>
      </c>
      <c r="G980" s="10">
        <v>46065</v>
      </c>
      <c r="H980" s="10">
        <v>46078</v>
      </c>
      <c r="I980">
        <v>29.7</v>
      </c>
      <c r="J980">
        <v>26.3</v>
      </c>
      <c r="K980" s="9" t="s">
        <v>1321</v>
      </c>
    </row>
    <row r="981" spans="1:11" x14ac:dyDescent="0.35">
      <c r="A981" s="9" t="s">
        <v>2441</v>
      </c>
      <c r="B981" s="9" t="s">
        <v>1007</v>
      </c>
      <c r="C981" s="9" t="s">
        <v>62</v>
      </c>
      <c r="D981" s="9" t="s">
        <v>93</v>
      </c>
      <c r="E981" s="9" t="s">
        <v>1176</v>
      </c>
      <c r="F981" s="9" t="s">
        <v>1177</v>
      </c>
      <c r="G981" s="10">
        <v>46144</v>
      </c>
      <c r="H981" s="10">
        <v>46163</v>
      </c>
      <c r="I981">
        <v>8.1</v>
      </c>
      <c r="J981">
        <v>7.8</v>
      </c>
      <c r="K981" s="9" t="s">
        <v>1321</v>
      </c>
    </row>
    <row r="982" spans="1:11" x14ac:dyDescent="0.35">
      <c r="A982" s="9" t="s">
        <v>2442</v>
      </c>
      <c r="B982" s="9" t="s">
        <v>1009</v>
      </c>
      <c r="C982" s="9" t="s">
        <v>55</v>
      </c>
      <c r="D982" s="9" t="s">
        <v>112</v>
      </c>
      <c r="E982" s="9" t="s">
        <v>1211</v>
      </c>
      <c r="F982" s="9" t="s">
        <v>1212</v>
      </c>
      <c r="G982" s="10">
        <v>46033</v>
      </c>
      <c r="H982" s="10">
        <v>46037</v>
      </c>
      <c r="I982">
        <v>29.9</v>
      </c>
      <c r="J982">
        <v>23.1</v>
      </c>
      <c r="K982" s="9" t="s">
        <v>1321</v>
      </c>
    </row>
    <row r="983" spans="1:11" x14ac:dyDescent="0.35">
      <c r="A983" s="9" t="s">
        <v>2443</v>
      </c>
      <c r="B983" s="9" t="s">
        <v>1009</v>
      </c>
      <c r="C983" s="9" t="s">
        <v>55</v>
      </c>
      <c r="D983" s="9" t="s">
        <v>112</v>
      </c>
      <c r="E983" s="9" t="s">
        <v>1145</v>
      </c>
      <c r="F983" s="9" t="s">
        <v>1146</v>
      </c>
      <c r="G983" s="10">
        <v>45673</v>
      </c>
      <c r="H983" s="10">
        <v>45726</v>
      </c>
      <c r="I983">
        <v>29.2</v>
      </c>
      <c r="J983">
        <v>40.799999999999997</v>
      </c>
      <c r="K983" s="9" t="s">
        <v>1321</v>
      </c>
    </row>
    <row r="984" spans="1:11" x14ac:dyDescent="0.35">
      <c r="A984" s="9" t="s">
        <v>2444</v>
      </c>
      <c r="B984" s="9" t="s">
        <v>1011</v>
      </c>
      <c r="C984" s="9" t="s">
        <v>46</v>
      </c>
      <c r="D984" s="9" t="s">
        <v>69</v>
      </c>
      <c r="E984" s="9" t="s">
        <v>1211</v>
      </c>
      <c r="F984" s="9" t="s">
        <v>1212</v>
      </c>
      <c r="G984" s="10">
        <v>45840</v>
      </c>
      <c r="H984" s="10">
        <v>45890</v>
      </c>
      <c r="I984">
        <v>20.8</v>
      </c>
      <c r="J984">
        <v>28.2</v>
      </c>
      <c r="K984" s="9" t="s">
        <v>1321</v>
      </c>
    </row>
    <row r="985" spans="1:11" x14ac:dyDescent="0.35">
      <c r="A985" s="9" t="s">
        <v>2445</v>
      </c>
      <c r="B985" s="9" t="s">
        <v>1013</v>
      </c>
      <c r="C985" s="9" t="s">
        <v>55</v>
      </c>
      <c r="D985" s="9" t="s">
        <v>80</v>
      </c>
      <c r="E985" s="9" t="s">
        <v>1180</v>
      </c>
      <c r="F985" s="9" t="s">
        <v>1181</v>
      </c>
      <c r="G985" s="10">
        <v>45955</v>
      </c>
      <c r="H985" s="10">
        <v>45962</v>
      </c>
      <c r="I985">
        <v>29.5</v>
      </c>
      <c r="J985">
        <v>23.9</v>
      </c>
      <c r="K985" s="9" t="s">
        <v>1321</v>
      </c>
    </row>
    <row r="986" spans="1:11" x14ac:dyDescent="0.35">
      <c r="A986" s="9" t="s">
        <v>2446</v>
      </c>
      <c r="B986" s="9" t="s">
        <v>1015</v>
      </c>
      <c r="C986" s="9" t="s">
        <v>46</v>
      </c>
      <c r="D986" s="9" t="s">
        <v>56</v>
      </c>
      <c r="E986" s="9" t="s">
        <v>1193</v>
      </c>
      <c r="F986" s="9" t="s">
        <v>1194</v>
      </c>
      <c r="G986" s="10">
        <v>46012</v>
      </c>
      <c r="H986" s="10">
        <v>46020</v>
      </c>
      <c r="I986">
        <v>15</v>
      </c>
      <c r="J986">
        <v>12.4</v>
      </c>
      <c r="K986" s="9" t="s">
        <v>1321</v>
      </c>
    </row>
    <row r="987" spans="1:11" x14ac:dyDescent="0.35">
      <c r="A987" s="9" t="s">
        <v>2447</v>
      </c>
      <c r="B987" s="9" t="s">
        <v>1017</v>
      </c>
      <c r="C987" s="9" t="s">
        <v>55</v>
      </c>
      <c r="D987" s="9" t="s">
        <v>63</v>
      </c>
      <c r="E987" s="9" t="s">
        <v>1134</v>
      </c>
      <c r="F987" s="9" t="s">
        <v>1135</v>
      </c>
      <c r="G987" s="10">
        <v>45744</v>
      </c>
      <c r="H987" s="10">
        <v>45794</v>
      </c>
      <c r="I987">
        <v>29.5</v>
      </c>
      <c r="J987">
        <v>39.9</v>
      </c>
      <c r="K987" s="9" t="s">
        <v>1321</v>
      </c>
    </row>
    <row r="988" spans="1:11" x14ac:dyDescent="0.35">
      <c r="A988" s="9" t="s">
        <v>2448</v>
      </c>
      <c r="B988" s="9" t="s">
        <v>1017</v>
      </c>
      <c r="C988" s="9" t="s">
        <v>55</v>
      </c>
      <c r="D988" s="9" t="s">
        <v>63</v>
      </c>
      <c r="E988" s="9" t="s">
        <v>1196</v>
      </c>
      <c r="F988" s="9" t="s">
        <v>1197</v>
      </c>
      <c r="G988" s="10">
        <v>45929</v>
      </c>
      <c r="H988" s="10">
        <v>45948</v>
      </c>
      <c r="I988">
        <v>11.1</v>
      </c>
      <c r="J988">
        <v>10.7</v>
      </c>
      <c r="K988" s="9" t="s">
        <v>1321</v>
      </c>
    </row>
    <row r="989" spans="1:11" x14ac:dyDescent="0.35">
      <c r="A989" s="9" t="s">
        <v>2449</v>
      </c>
      <c r="B989" s="9" t="s">
        <v>1017</v>
      </c>
      <c r="C989" s="9" t="s">
        <v>55</v>
      </c>
      <c r="D989" s="9" t="s">
        <v>63</v>
      </c>
      <c r="E989" s="9" t="s">
        <v>1196</v>
      </c>
      <c r="F989" s="9" t="s">
        <v>1197</v>
      </c>
      <c r="G989" s="10">
        <v>45761</v>
      </c>
      <c r="H989" s="10">
        <v>45791</v>
      </c>
      <c r="I989">
        <v>3.5</v>
      </c>
      <c r="J989">
        <v>3.8</v>
      </c>
      <c r="K989" s="9" t="s">
        <v>1321</v>
      </c>
    </row>
    <row r="990" spans="1:11" x14ac:dyDescent="0.35">
      <c r="A990" s="9" t="s">
        <v>2450</v>
      </c>
      <c r="B990" s="9" t="s">
        <v>1017</v>
      </c>
      <c r="C990" s="9" t="s">
        <v>55</v>
      </c>
      <c r="D990" s="9" t="s">
        <v>63</v>
      </c>
      <c r="E990" s="9" t="s">
        <v>1137</v>
      </c>
      <c r="F990" s="9" t="s">
        <v>1138</v>
      </c>
      <c r="G990" s="10">
        <v>46056</v>
      </c>
      <c r="H990" s="10">
        <v>46101</v>
      </c>
      <c r="I990">
        <v>11.6</v>
      </c>
      <c r="J990">
        <v>15</v>
      </c>
      <c r="K990" s="9" t="s">
        <v>1321</v>
      </c>
    </row>
    <row r="991" spans="1:11" x14ac:dyDescent="0.35">
      <c r="A991" s="9" t="s">
        <v>2451</v>
      </c>
      <c r="B991" s="9" t="s">
        <v>1019</v>
      </c>
      <c r="C991" s="9" t="s">
        <v>55</v>
      </c>
      <c r="D991" s="9" t="s">
        <v>63</v>
      </c>
      <c r="E991" s="9" t="s">
        <v>1145</v>
      </c>
      <c r="F991" s="9" t="s">
        <v>1146</v>
      </c>
      <c r="G991" s="10">
        <v>46058</v>
      </c>
      <c r="H991" s="10">
        <v>46091</v>
      </c>
      <c r="I991">
        <v>32</v>
      </c>
      <c r="J991">
        <v>36.4</v>
      </c>
      <c r="K991" s="9" t="s">
        <v>1321</v>
      </c>
    </row>
    <row r="992" spans="1:11" x14ac:dyDescent="0.35">
      <c r="A992" s="9" t="s">
        <v>2452</v>
      </c>
      <c r="B992" s="9" t="s">
        <v>1019</v>
      </c>
      <c r="C992" s="9" t="s">
        <v>55</v>
      </c>
      <c r="D992" s="9" t="s">
        <v>63</v>
      </c>
      <c r="E992" s="9" t="s">
        <v>1158</v>
      </c>
      <c r="F992" s="9" t="s">
        <v>1159</v>
      </c>
      <c r="G992" s="10">
        <v>46062</v>
      </c>
      <c r="H992" s="10">
        <v>46079</v>
      </c>
      <c r="I992">
        <v>14.9</v>
      </c>
      <c r="J992">
        <v>14</v>
      </c>
      <c r="K992" s="9" t="s">
        <v>1321</v>
      </c>
    </row>
    <row r="993" spans="1:11" x14ac:dyDescent="0.35">
      <c r="A993" s="9" t="s">
        <v>2453</v>
      </c>
      <c r="B993" s="9" t="s">
        <v>1021</v>
      </c>
      <c r="C993" s="9" t="s">
        <v>55</v>
      </c>
      <c r="D993" s="9" t="s">
        <v>93</v>
      </c>
      <c r="E993" s="9" t="s">
        <v>1162</v>
      </c>
      <c r="F993" s="9" t="s">
        <v>1163</v>
      </c>
      <c r="G993" s="10">
        <v>45841</v>
      </c>
      <c r="H993" s="10">
        <v>45835</v>
      </c>
      <c r="I993">
        <v>6.7</v>
      </c>
      <c r="J993">
        <v>5.5</v>
      </c>
      <c r="K993" s="9" t="s">
        <v>1321</v>
      </c>
    </row>
    <row r="994" spans="1:11" x14ac:dyDescent="0.35">
      <c r="A994" s="9" t="s">
        <v>2454</v>
      </c>
      <c r="B994" s="9" t="s">
        <v>1023</v>
      </c>
      <c r="C994" s="9" t="s">
        <v>55</v>
      </c>
      <c r="D994" s="9" t="s">
        <v>80</v>
      </c>
      <c r="E994" s="9" t="s">
        <v>1134</v>
      </c>
      <c r="F994" s="9" t="s">
        <v>1135</v>
      </c>
      <c r="G994" s="10">
        <v>45839</v>
      </c>
      <c r="H994" s="10">
        <v>45853</v>
      </c>
      <c r="I994">
        <v>2.2000000000000002</v>
      </c>
      <c r="J994">
        <v>2</v>
      </c>
      <c r="K994" s="9" t="s">
        <v>1321</v>
      </c>
    </row>
    <row r="995" spans="1:11" x14ac:dyDescent="0.35">
      <c r="A995" s="9" t="s">
        <v>2455</v>
      </c>
      <c r="B995" s="9" t="s">
        <v>1025</v>
      </c>
      <c r="C995" s="9" t="s">
        <v>46</v>
      </c>
      <c r="D995" s="9" t="s">
        <v>56</v>
      </c>
      <c r="E995" s="9" t="s">
        <v>1162</v>
      </c>
      <c r="F995" s="9" t="s">
        <v>1163</v>
      </c>
      <c r="G995" s="10">
        <v>45819</v>
      </c>
      <c r="H995" s="10">
        <v>45856</v>
      </c>
      <c r="I995">
        <v>18.100000000000001</v>
      </c>
      <c r="J995">
        <v>21.6</v>
      </c>
      <c r="K995" s="9" t="s">
        <v>1321</v>
      </c>
    </row>
    <row r="996" spans="1:11" x14ac:dyDescent="0.35">
      <c r="A996" s="9" t="s">
        <v>2456</v>
      </c>
      <c r="B996" s="9" t="s">
        <v>1025</v>
      </c>
      <c r="C996" s="9" t="s">
        <v>46</v>
      </c>
      <c r="D996" s="9" t="s">
        <v>56</v>
      </c>
      <c r="E996" s="9" t="s">
        <v>1134</v>
      </c>
      <c r="F996" s="9" t="s">
        <v>1135</v>
      </c>
      <c r="G996" s="10">
        <v>45689</v>
      </c>
      <c r="H996" s="10">
        <v>45721</v>
      </c>
      <c r="I996">
        <v>16.8</v>
      </c>
      <c r="J996">
        <v>19</v>
      </c>
      <c r="K996" s="9" t="s">
        <v>1321</v>
      </c>
    </row>
    <row r="997" spans="1:11" x14ac:dyDescent="0.35">
      <c r="A997" s="9" t="s">
        <v>2457</v>
      </c>
      <c r="B997" s="9" t="s">
        <v>1025</v>
      </c>
      <c r="C997" s="9" t="s">
        <v>46</v>
      </c>
      <c r="D997" s="9" t="s">
        <v>56</v>
      </c>
      <c r="E997" s="9" t="s">
        <v>1155</v>
      </c>
      <c r="F997" s="9" t="s">
        <v>1156</v>
      </c>
      <c r="G997" s="10">
        <v>46105</v>
      </c>
      <c r="H997" s="10">
        <v>46143</v>
      </c>
      <c r="I997">
        <v>16.8</v>
      </c>
      <c r="J997">
        <v>20.2</v>
      </c>
      <c r="K997" s="9" t="s">
        <v>1321</v>
      </c>
    </row>
    <row r="998" spans="1:11" x14ac:dyDescent="0.35">
      <c r="A998" s="9" t="s">
        <v>2458</v>
      </c>
      <c r="B998" s="9" t="s">
        <v>1025</v>
      </c>
      <c r="C998" s="9" t="s">
        <v>46</v>
      </c>
      <c r="D998" s="9" t="s">
        <v>56</v>
      </c>
      <c r="E998" s="9" t="s">
        <v>1162</v>
      </c>
      <c r="F998" s="9" t="s">
        <v>1163</v>
      </c>
      <c r="G998" s="10">
        <v>45863</v>
      </c>
      <c r="H998" s="10">
        <v>45871</v>
      </c>
      <c r="I998">
        <v>2.4</v>
      </c>
      <c r="J998">
        <v>1.9</v>
      </c>
      <c r="K998" s="9" t="s">
        <v>1321</v>
      </c>
    </row>
    <row r="999" spans="1:11" x14ac:dyDescent="0.35">
      <c r="A999" s="9" t="s">
        <v>2459</v>
      </c>
      <c r="B999" s="9" t="s">
        <v>1027</v>
      </c>
      <c r="C999" s="9" t="s">
        <v>46</v>
      </c>
      <c r="D999" s="9" t="s">
        <v>69</v>
      </c>
      <c r="E999" s="9" t="s">
        <v>1196</v>
      </c>
      <c r="F999" s="9" t="s">
        <v>1197</v>
      </c>
      <c r="G999" s="10">
        <v>46171</v>
      </c>
      <c r="H999" s="10">
        <v>46193</v>
      </c>
      <c r="I999">
        <v>27.4</v>
      </c>
      <c r="J999">
        <v>27.5</v>
      </c>
      <c r="K999" s="9" t="s">
        <v>1321</v>
      </c>
    </row>
    <row r="1000" spans="1:11" x14ac:dyDescent="0.35">
      <c r="A1000" s="9" t="s">
        <v>2460</v>
      </c>
      <c r="B1000" s="9" t="s">
        <v>1027</v>
      </c>
      <c r="C1000" s="9" t="s">
        <v>46</v>
      </c>
      <c r="D1000" s="9" t="s">
        <v>69</v>
      </c>
      <c r="E1000" s="9" t="s">
        <v>1158</v>
      </c>
      <c r="F1000" s="9" t="s">
        <v>1159</v>
      </c>
      <c r="G1000" s="10">
        <v>45707</v>
      </c>
      <c r="H1000" s="10">
        <v>45750</v>
      </c>
      <c r="I1000">
        <v>5.2</v>
      </c>
      <c r="J1000">
        <v>6.6</v>
      </c>
      <c r="K1000" s="9" t="s">
        <v>1321</v>
      </c>
    </row>
    <row r="1001" spans="1:11" x14ac:dyDescent="0.35">
      <c r="A1001" s="9" t="s">
        <v>2461</v>
      </c>
      <c r="B1001" s="9" t="s">
        <v>1029</v>
      </c>
      <c r="C1001" s="9" t="s">
        <v>55</v>
      </c>
      <c r="D1001" s="9" t="s">
        <v>56</v>
      </c>
      <c r="E1001" s="9" t="s">
        <v>1167</v>
      </c>
      <c r="F1001" s="9" t="s">
        <v>1168</v>
      </c>
      <c r="G1001" s="10">
        <v>45834</v>
      </c>
      <c r="H1001" s="10">
        <v>45847</v>
      </c>
      <c r="I1001">
        <v>10.4</v>
      </c>
      <c r="J1001">
        <v>9.1999999999999993</v>
      </c>
      <c r="K1001" s="9" t="s">
        <v>1321</v>
      </c>
    </row>
    <row r="1002" spans="1:11" x14ac:dyDescent="0.35">
      <c r="A1002" s="9" t="s">
        <v>2462</v>
      </c>
      <c r="B1002" s="9" t="s">
        <v>1029</v>
      </c>
      <c r="C1002" s="9" t="s">
        <v>55</v>
      </c>
      <c r="D1002" s="9" t="s">
        <v>56</v>
      </c>
      <c r="E1002" s="9" t="s">
        <v>1183</v>
      </c>
      <c r="F1002" s="9" t="s">
        <v>1184</v>
      </c>
      <c r="G1002" s="10">
        <v>45938</v>
      </c>
      <c r="H1002" s="10">
        <v>45941</v>
      </c>
      <c r="I1002">
        <v>5.3</v>
      </c>
      <c r="J1002">
        <v>4</v>
      </c>
      <c r="K1002" s="9" t="s">
        <v>1321</v>
      </c>
    </row>
    <row r="1003" spans="1:11" x14ac:dyDescent="0.35">
      <c r="A1003" s="9" t="s">
        <v>2463</v>
      </c>
      <c r="B1003" s="9" t="s">
        <v>1029</v>
      </c>
      <c r="C1003" s="9" t="s">
        <v>55</v>
      </c>
      <c r="D1003" s="9" t="s">
        <v>56</v>
      </c>
      <c r="E1003" s="9" t="s">
        <v>1167</v>
      </c>
      <c r="F1003" s="9" t="s">
        <v>1168</v>
      </c>
      <c r="G1003" s="10">
        <v>45939</v>
      </c>
      <c r="H1003" s="10">
        <v>45954</v>
      </c>
      <c r="I1003">
        <v>15.6</v>
      </c>
      <c r="J1003">
        <v>14.2</v>
      </c>
      <c r="K1003" s="9" t="s">
        <v>1321</v>
      </c>
    </row>
    <row r="1004" spans="1:11" x14ac:dyDescent="0.35">
      <c r="A1004" s="9" t="s">
        <v>2464</v>
      </c>
      <c r="B1004" s="9" t="s">
        <v>1031</v>
      </c>
      <c r="C1004" s="9" t="s">
        <v>46</v>
      </c>
      <c r="D1004" s="9" t="s">
        <v>63</v>
      </c>
      <c r="E1004" s="9" t="s">
        <v>1134</v>
      </c>
      <c r="F1004" s="9" t="s">
        <v>1135</v>
      </c>
      <c r="G1004" s="10">
        <v>46117</v>
      </c>
      <c r="H1004" s="10">
        <v>46144</v>
      </c>
      <c r="I1004">
        <v>10.6</v>
      </c>
      <c r="J1004">
        <v>11.3</v>
      </c>
      <c r="K1004" s="9" t="s">
        <v>1321</v>
      </c>
    </row>
    <row r="1005" spans="1:11" x14ac:dyDescent="0.35">
      <c r="A1005" s="9" t="s">
        <v>2465</v>
      </c>
      <c r="B1005" s="9" t="s">
        <v>1031</v>
      </c>
      <c r="C1005" s="9" t="s">
        <v>46</v>
      </c>
      <c r="D1005" s="9" t="s">
        <v>63</v>
      </c>
      <c r="E1005" s="9" t="s">
        <v>1155</v>
      </c>
      <c r="F1005" s="9" t="s">
        <v>1156</v>
      </c>
      <c r="G1005" s="10">
        <v>45873</v>
      </c>
      <c r="H1005" s="10">
        <v>45920</v>
      </c>
      <c r="I1005">
        <v>26.7</v>
      </c>
      <c r="J1005">
        <v>35.200000000000003</v>
      </c>
      <c r="K1005" s="9" t="s">
        <v>1321</v>
      </c>
    </row>
    <row r="1006" spans="1:11" x14ac:dyDescent="0.35">
      <c r="A1006" s="9" t="s">
        <v>2466</v>
      </c>
      <c r="B1006" s="9" t="s">
        <v>1031</v>
      </c>
      <c r="C1006" s="9" t="s">
        <v>46</v>
      </c>
      <c r="D1006" s="9" t="s">
        <v>63</v>
      </c>
      <c r="E1006" s="9" t="s">
        <v>1180</v>
      </c>
      <c r="F1006" s="9" t="s">
        <v>1181</v>
      </c>
      <c r="G1006" s="10">
        <v>46133</v>
      </c>
      <c r="H1006" s="10">
        <v>46163</v>
      </c>
      <c r="I1006">
        <v>29.1</v>
      </c>
      <c r="J1006">
        <v>32</v>
      </c>
      <c r="K1006" s="9" t="s">
        <v>1321</v>
      </c>
    </row>
    <row r="1007" spans="1:11" x14ac:dyDescent="0.35">
      <c r="A1007" s="9" t="s">
        <v>2467</v>
      </c>
      <c r="B1007" s="9" t="s">
        <v>1033</v>
      </c>
      <c r="C1007" s="9" t="s">
        <v>46</v>
      </c>
      <c r="D1007" s="9" t="s">
        <v>56</v>
      </c>
      <c r="E1007" s="9" t="s">
        <v>1180</v>
      </c>
      <c r="F1007" s="9" t="s">
        <v>1181</v>
      </c>
      <c r="G1007" s="10">
        <v>45988</v>
      </c>
      <c r="H1007" s="10"/>
      <c r="I1007">
        <v>20.399999999999999</v>
      </c>
      <c r="K1007" s="9" t="s">
        <v>1473</v>
      </c>
    </row>
    <row r="1008" spans="1:11" x14ac:dyDescent="0.35">
      <c r="A1008" s="9" t="s">
        <v>2468</v>
      </c>
      <c r="B1008" s="9" t="s">
        <v>1033</v>
      </c>
      <c r="C1008" s="9" t="s">
        <v>46</v>
      </c>
      <c r="D1008" s="9" t="s">
        <v>56</v>
      </c>
      <c r="E1008" s="9" t="s">
        <v>1137</v>
      </c>
      <c r="F1008" s="9" t="s">
        <v>1138</v>
      </c>
      <c r="G1008" s="10">
        <v>45841</v>
      </c>
      <c r="H1008" s="10">
        <v>45872</v>
      </c>
      <c r="I1008">
        <v>12.9</v>
      </c>
      <c r="J1008">
        <v>14.4</v>
      </c>
      <c r="K1008" s="9" t="s">
        <v>1321</v>
      </c>
    </row>
    <row r="1009" spans="1:11" x14ac:dyDescent="0.35">
      <c r="A1009" s="9" t="s">
        <v>2469</v>
      </c>
      <c r="B1009" s="9" t="s">
        <v>1035</v>
      </c>
      <c r="C1009" s="9" t="s">
        <v>46</v>
      </c>
      <c r="D1009" s="9" t="s">
        <v>47</v>
      </c>
      <c r="E1009" s="9" t="s">
        <v>1152</v>
      </c>
      <c r="F1009" s="9" t="s">
        <v>1153</v>
      </c>
      <c r="G1009" s="10">
        <v>45881</v>
      </c>
      <c r="H1009" s="10">
        <v>45913</v>
      </c>
      <c r="I1009">
        <v>6.7</v>
      </c>
      <c r="J1009">
        <v>7.6</v>
      </c>
      <c r="K1009" s="9" t="s">
        <v>1321</v>
      </c>
    </row>
    <row r="1010" spans="1:11" x14ac:dyDescent="0.35">
      <c r="A1010" s="9" t="s">
        <v>2470</v>
      </c>
      <c r="B1010" s="9" t="s">
        <v>1035</v>
      </c>
      <c r="C1010" s="9" t="s">
        <v>46</v>
      </c>
      <c r="D1010" s="9" t="s">
        <v>47</v>
      </c>
      <c r="E1010" s="9" t="s">
        <v>1143</v>
      </c>
      <c r="F1010" s="9" t="s">
        <v>1144</v>
      </c>
      <c r="G1010" s="10">
        <v>46049</v>
      </c>
      <c r="H1010" s="10">
        <v>46102</v>
      </c>
      <c r="I1010">
        <v>35</v>
      </c>
      <c r="J1010">
        <v>48.7</v>
      </c>
      <c r="K1010" s="9" t="s">
        <v>1321</v>
      </c>
    </row>
    <row r="1011" spans="1:11" x14ac:dyDescent="0.35">
      <c r="A1011" s="9" t="s">
        <v>2471</v>
      </c>
      <c r="B1011" s="9" t="s">
        <v>1037</v>
      </c>
      <c r="C1011" s="9" t="s">
        <v>46</v>
      </c>
      <c r="D1011" s="9" t="s">
        <v>56</v>
      </c>
      <c r="E1011" s="9" t="s">
        <v>1167</v>
      </c>
      <c r="F1011" s="9" t="s">
        <v>1168</v>
      </c>
      <c r="G1011" s="10">
        <v>45867</v>
      </c>
      <c r="H1011" s="10">
        <v>45901</v>
      </c>
      <c r="I1011">
        <v>8</v>
      </c>
      <c r="J1011">
        <v>9.1999999999999993</v>
      </c>
      <c r="K1011" s="9" t="s">
        <v>1321</v>
      </c>
    </row>
    <row r="1012" spans="1:11" x14ac:dyDescent="0.35">
      <c r="A1012" s="9" t="s">
        <v>2472</v>
      </c>
      <c r="B1012" s="9" t="s">
        <v>1039</v>
      </c>
      <c r="C1012" s="9" t="s">
        <v>55</v>
      </c>
      <c r="D1012" s="9" t="s">
        <v>63</v>
      </c>
      <c r="E1012" s="9" t="s">
        <v>1167</v>
      </c>
      <c r="F1012" s="9" t="s">
        <v>1168</v>
      </c>
      <c r="G1012" s="10">
        <v>45804</v>
      </c>
      <c r="H1012" s="10">
        <v>45849</v>
      </c>
      <c r="I1012">
        <v>11.5</v>
      </c>
      <c r="J1012">
        <v>14.8</v>
      </c>
      <c r="K1012" s="9" t="s">
        <v>1321</v>
      </c>
    </row>
    <row r="1013" spans="1:11" x14ac:dyDescent="0.35">
      <c r="A1013" s="9" t="s">
        <v>2473</v>
      </c>
      <c r="B1013" s="9" t="s">
        <v>1041</v>
      </c>
      <c r="C1013" s="9" t="s">
        <v>55</v>
      </c>
      <c r="D1013" s="9" t="s">
        <v>112</v>
      </c>
      <c r="E1013" s="9" t="s">
        <v>1158</v>
      </c>
      <c r="F1013" s="9" t="s">
        <v>1159</v>
      </c>
      <c r="G1013" s="10">
        <v>45854</v>
      </c>
      <c r="H1013" s="10">
        <v>45905</v>
      </c>
      <c r="I1013">
        <v>10.199999999999999</v>
      </c>
      <c r="J1013">
        <v>13.8</v>
      </c>
      <c r="K1013" s="9" t="s">
        <v>1321</v>
      </c>
    </row>
    <row r="1014" spans="1:11" x14ac:dyDescent="0.35">
      <c r="A1014" s="9" t="s">
        <v>2474</v>
      </c>
      <c r="B1014" s="9" t="s">
        <v>1043</v>
      </c>
      <c r="C1014" s="9" t="s">
        <v>62</v>
      </c>
      <c r="D1014" s="9" t="s">
        <v>56</v>
      </c>
      <c r="E1014" s="9" t="s">
        <v>1176</v>
      </c>
      <c r="F1014" s="9" t="s">
        <v>1177</v>
      </c>
      <c r="G1014" s="10">
        <v>45922</v>
      </c>
      <c r="H1014" s="10">
        <v>45976</v>
      </c>
      <c r="I1014">
        <v>16.5</v>
      </c>
      <c r="J1014">
        <v>23.2</v>
      </c>
      <c r="K1014" s="9" t="s">
        <v>1321</v>
      </c>
    </row>
    <row r="1015" spans="1:11" x14ac:dyDescent="0.35">
      <c r="A1015" s="9" t="s">
        <v>2475</v>
      </c>
      <c r="B1015" s="9" t="s">
        <v>1045</v>
      </c>
      <c r="C1015" s="9" t="s">
        <v>46</v>
      </c>
      <c r="D1015" s="9" t="s">
        <v>76</v>
      </c>
      <c r="E1015" s="9" t="s">
        <v>1147</v>
      </c>
      <c r="F1015" s="9" t="s">
        <v>1148</v>
      </c>
      <c r="G1015" s="10">
        <v>46084</v>
      </c>
      <c r="H1015" s="10">
        <v>46129</v>
      </c>
      <c r="I1015">
        <v>30</v>
      </c>
      <c r="J1015">
        <v>38.6</v>
      </c>
      <c r="K1015" s="9" t="s">
        <v>1321</v>
      </c>
    </row>
    <row r="1016" spans="1:11" x14ac:dyDescent="0.35">
      <c r="A1016" s="9" t="s">
        <v>2476</v>
      </c>
      <c r="B1016" s="9" t="s">
        <v>1045</v>
      </c>
      <c r="C1016" s="9" t="s">
        <v>46</v>
      </c>
      <c r="D1016" s="9" t="s">
        <v>76</v>
      </c>
      <c r="E1016" s="9" t="s">
        <v>1211</v>
      </c>
      <c r="F1016" s="9" t="s">
        <v>1212</v>
      </c>
      <c r="G1016" s="10">
        <v>46042</v>
      </c>
      <c r="H1016" s="10">
        <v>46049</v>
      </c>
      <c r="I1016">
        <v>17.5</v>
      </c>
      <c r="J1016">
        <v>14.2</v>
      </c>
      <c r="K1016" s="9" t="s">
        <v>1321</v>
      </c>
    </row>
    <row r="1017" spans="1:11" x14ac:dyDescent="0.35">
      <c r="A1017" s="9" t="s">
        <v>2477</v>
      </c>
      <c r="B1017" s="9" t="s">
        <v>1047</v>
      </c>
      <c r="C1017" s="9" t="s">
        <v>55</v>
      </c>
      <c r="D1017" s="9" t="s">
        <v>47</v>
      </c>
      <c r="E1017" s="9" t="s">
        <v>1134</v>
      </c>
      <c r="F1017" s="9" t="s">
        <v>1135</v>
      </c>
      <c r="G1017" s="10">
        <v>45744</v>
      </c>
      <c r="H1017" s="10">
        <v>45757</v>
      </c>
      <c r="I1017">
        <v>33.6</v>
      </c>
      <c r="J1017">
        <v>29.7</v>
      </c>
      <c r="K1017" s="9" t="s">
        <v>1321</v>
      </c>
    </row>
    <row r="1018" spans="1:11" x14ac:dyDescent="0.35">
      <c r="A1018" s="9" t="s">
        <v>2478</v>
      </c>
      <c r="B1018" s="9" t="s">
        <v>1047</v>
      </c>
      <c r="C1018" s="9" t="s">
        <v>55</v>
      </c>
      <c r="D1018" s="9" t="s">
        <v>47</v>
      </c>
      <c r="E1018" s="9" t="s">
        <v>1196</v>
      </c>
      <c r="F1018" s="9" t="s">
        <v>1197</v>
      </c>
      <c r="G1018" s="10">
        <v>46165</v>
      </c>
      <c r="H1018" s="10">
        <v>46208</v>
      </c>
      <c r="I1018">
        <v>15.6</v>
      </c>
      <c r="J1018">
        <v>19.8</v>
      </c>
      <c r="K1018" s="9" t="s">
        <v>1321</v>
      </c>
    </row>
    <row r="1019" spans="1:11" x14ac:dyDescent="0.35">
      <c r="A1019" s="9" t="s">
        <v>2479</v>
      </c>
      <c r="B1019" s="9" t="s">
        <v>1047</v>
      </c>
      <c r="C1019" s="9" t="s">
        <v>55</v>
      </c>
      <c r="D1019" s="9" t="s">
        <v>47</v>
      </c>
      <c r="E1019" s="9" t="s">
        <v>1211</v>
      </c>
      <c r="F1019" s="9" t="s">
        <v>1212</v>
      </c>
      <c r="G1019" s="10">
        <v>46044</v>
      </c>
      <c r="H1019" s="10"/>
      <c r="I1019">
        <v>22.7</v>
      </c>
      <c r="K1019" s="9" t="s">
        <v>1325</v>
      </c>
    </row>
    <row r="1020" spans="1:11" x14ac:dyDescent="0.35">
      <c r="A1020" s="9" t="s">
        <v>2480</v>
      </c>
      <c r="B1020" s="9" t="s">
        <v>1049</v>
      </c>
      <c r="C1020" s="9" t="s">
        <v>55</v>
      </c>
      <c r="D1020" s="9" t="s">
        <v>112</v>
      </c>
      <c r="E1020" s="9" t="s">
        <v>1139</v>
      </c>
      <c r="F1020" s="9" t="s">
        <v>1140</v>
      </c>
      <c r="G1020" s="10">
        <v>46039</v>
      </c>
      <c r="H1020" s="10">
        <v>46072</v>
      </c>
      <c r="I1020">
        <v>7</v>
      </c>
      <c r="J1020">
        <v>8</v>
      </c>
      <c r="K1020" s="9" t="s">
        <v>1321</v>
      </c>
    </row>
    <row r="1021" spans="1:11" x14ac:dyDescent="0.35">
      <c r="A1021" s="9" t="s">
        <v>2481</v>
      </c>
      <c r="B1021" s="9" t="s">
        <v>1049</v>
      </c>
      <c r="C1021" s="9" t="s">
        <v>55</v>
      </c>
      <c r="D1021" s="9" t="s">
        <v>112</v>
      </c>
      <c r="E1021" s="9" t="s">
        <v>1193</v>
      </c>
      <c r="F1021" s="9" t="s">
        <v>1194</v>
      </c>
      <c r="G1021" s="10">
        <v>45837</v>
      </c>
      <c r="H1021" s="10">
        <v>45876</v>
      </c>
      <c r="I1021">
        <v>21.1</v>
      </c>
      <c r="J1021">
        <v>25.7</v>
      </c>
      <c r="K1021" s="9" t="s">
        <v>1321</v>
      </c>
    </row>
    <row r="1022" spans="1:11" x14ac:dyDescent="0.35">
      <c r="A1022" s="9" t="s">
        <v>2482</v>
      </c>
      <c r="B1022" s="9" t="s">
        <v>1049</v>
      </c>
      <c r="C1022" s="9" t="s">
        <v>55</v>
      </c>
      <c r="D1022" s="9" t="s">
        <v>112</v>
      </c>
      <c r="E1022" s="9" t="s">
        <v>1145</v>
      </c>
      <c r="F1022" s="9" t="s">
        <v>1146</v>
      </c>
      <c r="G1022" s="10">
        <v>46089</v>
      </c>
      <c r="H1022" s="10"/>
      <c r="I1022">
        <v>29.5</v>
      </c>
      <c r="K1022" s="9" t="s">
        <v>1473</v>
      </c>
    </row>
    <row r="1023" spans="1:11" x14ac:dyDescent="0.35">
      <c r="A1023" s="9" t="s">
        <v>2483</v>
      </c>
      <c r="B1023" s="9" t="s">
        <v>1051</v>
      </c>
      <c r="C1023" s="9" t="s">
        <v>55</v>
      </c>
      <c r="D1023" s="9" t="s">
        <v>47</v>
      </c>
      <c r="E1023" s="9" t="s">
        <v>1139</v>
      </c>
      <c r="F1023" s="9" t="s">
        <v>1140</v>
      </c>
      <c r="G1023" s="10">
        <v>45964</v>
      </c>
      <c r="H1023" s="10">
        <v>45973</v>
      </c>
      <c r="I1023">
        <v>29.2</v>
      </c>
      <c r="J1023">
        <v>24.2</v>
      </c>
      <c r="K1023" s="9" t="s">
        <v>1321</v>
      </c>
    </row>
    <row r="1024" spans="1:11" x14ac:dyDescent="0.35">
      <c r="A1024" s="9" t="s">
        <v>2484</v>
      </c>
      <c r="B1024" s="9" t="s">
        <v>1051</v>
      </c>
      <c r="C1024" s="9" t="s">
        <v>55</v>
      </c>
      <c r="D1024" s="9" t="s">
        <v>47</v>
      </c>
      <c r="E1024" s="9" t="s">
        <v>1155</v>
      </c>
      <c r="F1024" s="9" t="s">
        <v>1156</v>
      </c>
      <c r="G1024" s="10">
        <v>46168</v>
      </c>
      <c r="H1024" s="10">
        <v>46225</v>
      </c>
      <c r="I1024">
        <v>31.5</v>
      </c>
      <c r="J1024">
        <v>45.5</v>
      </c>
      <c r="K1024" s="9" t="s">
        <v>1321</v>
      </c>
    </row>
    <row r="1025" spans="1:11" x14ac:dyDescent="0.35">
      <c r="A1025" s="9" t="s">
        <v>2485</v>
      </c>
      <c r="B1025" s="9" t="s">
        <v>1051</v>
      </c>
      <c r="C1025" s="9" t="s">
        <v>55</v>
      </c>
      <c r="D1025" s="9" t="s">
        <v>47</v>
      </c>
      <c r="E1025" s="9" t="s">
        <v>1143</v>
      </c>
      <c r="F1025" s="9" t="s">
        <v>1144</v>
      </c>
      <c r="G1025" s="10">
        <v>45870</v>
      </c>
      <c r="H1025" s="10">
        <v>45919</v>
      </c>
      <c r="I1025">
        <v>20.9</v>
      </c>
      <c r="J1025">
        <v>28.2</v>
      </c>
      <c r="K1025" s="9" t="s">
        <v>1321</v>
      </c>
    </row>
    <row r="1026" spans="1:11" x14ac:dyDescent="0.35">
      <c r="A1026" s="9" t="s">
        <v>2486</v>
      </c>
      <c r="B1026" s="9" t="s">
        <v>1053</v>
      </c>
      <c r="C1026" s="9" t="s">
        <v>46</v>
      </c>
      <c r="D1026" s="9" t="s">
        <v>80</v>
      </c>
      <c r="E1026" s="9" t="s">
        <v>1167</v>
      </c>
      <c r="F1026" s="9" t="s">
        <v>1168</v>
      </c>
      <c r="G1026" s="10">
        <v>45964</v>
      </c>
      <c r="H1026" s="10">
        <v>46011</v>
      </c>
      <c r="I1026">
        <v>34.4</v>
      </c>
      <c r="J1026">
        <v>45.3</v>
      </c>
      <c r="K1026" s="9" t="s">
        <v>1321</v>
      </c>
    </row>
    <row r="1027" spans="1:11" x14ac:dyDescent="0.35">
      <c r="A1027" s="9" t="s">
        <v>2487</v>
      </c>
      <c r="B1027" s="9" t="s">
        <v>1053</v>
      </c>
      <c r="C1027" s="9" t="s">
        <v>46</v>
      </c>
      <c r="D1027" s="9" t="s">
        <v>80</v>
      </c>
      <c r="E1027" s="9" t="s">
        <v>1196</v>
      </c>
      <c r="F1027" s="9" t="s">
        <v>1197</v>
      </c>
      <c r="G1027" s="10">
        <v>45672</v>
      </c>
      <c r="H1027" s="10">
        <v>45696</v>
      </c>
      <c r="I1027">
        <v>20.3</v>
      </c>
      <c r="J1027">
        <v>20.7</v>
      </c>
      <c r="K1027" s="9" t="s">
        <v>1321</v>
      </c>
    </row>
    <row r="1028" spans="1:11" x14ac:dyDescent="0.35">
      <c r="A1028" s="9" t="s">
        <v>2488</v>
      </c>
      <c r="B1028" s="9" t="s">
        <v>1055</v>
      </c>
      <c r="C1028" s="9" t="s">
        <v>55</v>
      </c>
      <c r="D1028" s="9" t="s">
        <v>93</v>
      </c>
      <c r="E1028" s="9" t="s">
        <v>1196</v>
      </c>
      <c r="F1028" s="9" t="s">
        <v>1197</v>
      </c>
      <c r="G1028" s="10">
        <v>45974</v>
      </c>
      <c r="H1028" s="10">
        <v>46010</v>
      </c>
      <c r="I1028">
        <v>7.6</v>
      </c>
      <c r="J1028">
        <v>9</v>
      </c>
      <c r="K1028" s="9" t="s">
        <v>1321</v>
      </c>
    </row>
    <row r="1029" spans="1:11" x14ac:dyDescent="0.35">
      <c r="A1029" s="9" t="s">
        <v>2489</v>
      </c>
      <c r="B1029" s="9" t="s">
        <v>1055</v>
      </c>
      <c r="C1029" s="9" t="s">
        <v>55</v>
      </c>
      <c r="D1029" s="9" t="s">
        <v>93</v>
      </c>
      <c r="E1029" s="9" t="s">
        <v>1145</v>
      </c>
      <c r="F1029" s="9" t="s">
        <v>1146</v>
      </c>
      <c r="G1029" s="10">
        <v>45749</v>
      </c>
      <c r="H1029" s="10">
        <v>45806</v>
      </c>
      <c r="I1029">
        <v>2</v>
      </c>
      <c r="J1029">
        <v>2.9</v>
      </c>
      <c r="K1029" s="9" t="s">
        <v>1321</v>
      </c>
    </row>
    <row r="1030" spans="1:11" x14ac:dyDescent="0.35">
      <c r="A1030" s="9" t="s">
        <v>2490</v>
      </c>
      <c r="B1030" s="9" t="s">
        <v>1055</v>
      </c>
      <c r="C1030" s="9" t="s">
        <v>55</v>
      </c>
      <c r="D1030" s="9" t="s">
        <v>93</v>
      </c>
      <c r="E1030" s="9" t="s">
        <v>1158</v>
      </c>
      <c r="F1030" s="9" t="s">
        <v>1159</v>
      </c>
      <c r="G1030" s="10">
        <v>45765</v>
      </c>
      <c r="H1030" s="10">
        <v>45775</v>
      </c>
      <c r="I1030">
        <v>20.7</v>
      </c>
      <c r="J1030">
        <v>17.399999999999999</v>
      </c>
      <c r="K1030" s="9" t="s">
        <v>1321</v>
      </c>
    </row>
    <row r="1031" spans="1:11" x14ac:dyDescent="0.35">
      <c r="A1031" s="9" t="s">
        <v>2491</v>
      </c>
      <c r="B1031" s="9" t="s">
        <v>1057</v>
      </c>
      <c r="C1031" s="9" t="s">
        <v>62</v>
      </c>
      <c r="D1031" s="9" t="s">
        <v>69</v>
      </c>
      <c r="E1031" s="9" t="s">
        <v>1134</v>
      </c>
      <c r="F1031" s="9" t="s">
        <v>1135</v>
      </c>
      <c r="G1031" s="10">
        <v>45732</v>
      </c>
      <c r="H1031" s="10">
        <v>45772</v>
      </c>
      <c r="I1031">
        <v>19.8</v>
      </c>
      <c r="J1031">
        <v>24.2</v>
      </c>
      <c r="K1031" s="9" t="s">
        <v>1321</v>
      </c>
    </row>
    <row r="1032" spans="1:11" x14ac:dyDescent="0.35">
      <c r="A1032" s="9" t="s">
        <v>2492</v>
      </c>
      <c r="B1032" s="9" t="s">
        <v>1057</v>
      </c>
      <c r="C1032" s="9" t="s">
        <v>62</v>
      </c>
      <c r="D1032" s="9" t="s">
        <v>69</v>
      </c>
      <c r="E1032" s="9" t="s">
        <v>1145</v>
      </c>
      <c r="F1032" s="9" t="s">
        <v>1146</v>
      </c>
      <c r="G1032" s="10">
        <v>45678</v>
      </c>
      <c r="H1032" s="10">
        <v>45696</v>
      </c>
      <c r="I1032">
        <v>32.5</v>
      </c>
      <c r="J1032">
        <v>31</v>
      </c>
      <c r="K1032" s="9" t="s">
        <v>1321</v>
      </c>
    </row>
    <row r="1033" spans="1:11" x14ac:dyDescent="0.35">
      <c r="A1033" s="9" t="s">
        <v>2493</v>
      </c>
      <c r="B1033" s="9" t="s">
        <v>1057</v>
      </c>
      <c r="C1033" s="9" t="s">
        <v>62</v>
      </c>
      <c r="D1033" s="9" t="s">
        <v>69</v>
      </c>
      <c r="E1033" s="9" t="s">
        <v>1188</v>
      </c>
      <c r="F1033" s="9" t="s">
        <v>1189</v>
      </c>
      <c r="G1033" s="10">
        <v>46005</v>
      </c>
      <c r="H1033" s="10">
        <v>46032</v>
      </c>
      <c r="I1033">
        <v>27.8</v>
      </c>
      <c r="J1033">
        <v>29.7</v>
      </c>
      <c r="K1033" s="9" t="s">
        <v>1321</v>
      </c>
    </row>
    <row r="1034" spans="1:11" x14ac:dyDescent="0.35">
      <c r="A1034" s="9" t="s">
        <v>2494</v>
      </c>
      <c r="B1034" s="9" t="s">
        <v>1059</v>
      </c>
      <c r="C1034" s="9" t="s">
        <v>46</v>
      </c>
      <c r="D1034" s="9" t="s">
        <v>80</v>
      </c>
      <c r="E1034" s="9" t="s">
        <v>1180</v>
      </c>
      <c r="F1034" s="9" t="s">
        <v>1181</v>
      </c>
      <c r="G1034" s="10">
        <v>45966</v>
      </c>
      <c r="H1034" s="10">
        <v>46014</v>
      </c>
      <c r="I1034">
        <v>21.2</v>
      </c>
      <c r="J1034">
        <v>28.1</v>
      </c>
      <c r="K1034" s="9" t="s">
        <v>1321</v>
      </c>
    </row>
    <row r="1035" spans="1:11" x14ac:dyDescent="0.35">
      <c r="A1035" s="9" t="s">
        <v>2495</v>
      </c>
      <c r="B1035" s="9" t="s">
        <v>1061</v>
      </c>
      <c r="C1035" s="9" t="s">
        <v>55</v>
      </c>
      <c r="D1035" s="9" t="s">
        <v>69</v>
      </c>
      <c r="E1035" s="9" t="s">
        <v>1193</v>
      </c>
      <c r="F1035" s="9" t="s">
        <v>1194</v>
      </c>
      <c r="G1035" s="10">
        <v>46166</v>
      </c>
      <c r="H1035" s="10">
        <v>46169</v>
      </c>
      <c r="I1035">
        <v>26.9</v>
      </c>
      <c r="J1035">
        <v>20.3</v>
      </c>
      <c r="K1035" s="9" t="s">
        <v>1321</v>
      </c>
    </row>
    <row r="1036" spans="1:11" x14ac:dyDescent="0.35">
      <c r="A1036" s="9" t="s">
        <v>2496</v>
      </c>
      <c r="B1036" s="9" t="s">
        <v>1063</v>
      </c>
      <c r="C1036" s="9" t="s">
        <v>62</v>
      </c>
      <c r="D1036" s="9" t="s">
        <v>93</v>
      </c>
      <c r="E1036" s="9" t="s">
        <v>1152</v>
      </c>
      <c r="F1036" s="9" t="s">
        <v>1153</v>
      </c>
      <c r="G1036" s="10">
        <v>46143</v>
      </c>
      <c r="H1036" s="10">
        <v>46170</v>
      </c>
      <c r="I1036">
        <v>21.9</v>
      </c>
      <c r="J1036">
        <v>23.1</v>
      </c>
      <c r="K1036" s="9" t="s">
        <v>1321</v>
      </c>
    </row>
    <row r="1037" spans="1:11" x14ac:dyDescent="0.35">
      <c r="A1037" s="9" t="s">
        <v>2497</v>
      </c>
      <c r="B1037" s="9" t="s">
        <v>1065</v>
      </c>
      <c r="C1037" s="9" t="s">
        <v>46</v>
      </c>
      <c r="D1037" s="9" t="s">
        <v>112</v>
      </c>
      <c r="E1037" s="9" t="s">
        <v>1211</v>
      </c>
      <c r="F1037" s="9" t="s">
        <v>1212</v>
      </c>
      <c r="G1037" s="10">
        <v>46129</v>
      </c>
      <c r="H1037" s="10">
        <v>46138</v>
      </c>
      <c r="I1037">
        <v>21.1</v>
      </c>
      <c r="J1037">
        <v>17.7</v>
      </c>
      <c r="K1037" s="9" t="s">
        <v>1321</v>
      </c>
    </row>
    <row r="1038" spans="1:11" x14ac:dyDescent="0.35">
      <c r="A1038" s="9" t="s">
        <v>2498</v>
      </c>
      <c r="B1038" s="9" t="s">
        <v>1065</v>
      </c>
      <c r="C1038" s="9" t="s">
        <v>46</v>
      </c>
      <c r="D1038" s="9" t="s">
        <v>112</v>
      </c>
      <c r="E1038" s="9" t="s">
        <v>1152</v>
      </c>
      <c r="F1038" s="9" t="s">
        <v>1153</v>
      </c>
      <c r="G1038" s="10">
        <v>46039</v>
      </c>
      <c r="H1038" s="10">
        <v>46094</v>
      </c>
      <c r="I1038">
        <v>28.5</v>
      </c>
      <c r="J1038">
        <v>40.6</v>
      </c>
      <c r="K1038" s="9" t="s">
        <v>1321</v>
      </c>
    </row>
    <row r="1039" spans="1:11" x14ac:dyDescent="0.35">
      <c r="A1039" s="9" t="s">
        <v>2499</v>
      </c>
      <c r="B1039" s="9" t="s">
        <v>1065</v>
      </c>
      <c r="C1039" s="9" t="s">
        <v>46</v>
      </c>
      <c r="D1039" s="9" t="s">
        <v>112</v>
      </c>
      <c r="E1039" s="9" t="s">
        <v>1139</v>
      </c>
      <c r="F1039" s="9" t="s">
        <v>1140</v>
      </c>
      <c r="G1039" s="10">
        <v>46130</v>
      </c>
      <c r="H1039" s="10">
        <v>46174</v>
      </c>
      <c r="I1039">
        <v>23.7</v>
      </c>
      <c r="J1039">
        <v>30.2</v>
      </c>
      <c r="K1039" s="9" t="s">
        <v>1321</v>
      </c>
    </row>
    <row r="1040" spans="1:11" x14ac:dyDescent="0.35">
      <c r="A1040" s="9" t="s">
        <v>2500</v>
      </c>
      <c r="B1040" s="9" t="s">
        <v>1067</v>
      </c>
      <c r="C1040" s="9" t="s">
        <v>46</v>
      </c>
      <c r="D1040" s="9" t="s">
        <v>56</v>
      </c>
      <c r="E1040" s="9" t="s">
        <v>1183</v>
      </c>
      <c r="F1040" s="9" t="s">
        <v>1184</v>
      </c>
      <c r="G1040" s="10">
        <v>46097</v>
      </c>
      <c r="H1040" s="10">
        <v>46121</v>
      </c>
      <c r="I1040">
        <v>9.8000000000000007</v>
      </c>
      <c r="J1040">
        <v>10</v>
      </c>
      <c r="K1040" s="9" t="s">
        <v>1321</v>
      </c>
    </row>
    <row r="1041" spans="1:11" x14ac:dyDescent="0.35">
      <c r="A1041" s="9" t="s">
        <v>2501</v>
      </c>
      <c r="B1041" s="9" t="s">
        <v>1069</v>
      </c>
      <c r="C1041" s="9" t="s">
        <v>55</v>
      </c>
      <c r="D1041" s="9" t="s">
        <v>80</v>
      </c>
      <c r="E1041" s="9" t="s">
        <v>1158</v>
      </c>
      <c r="F1041" s="9" t="s">
        <v>1159</v>
      </c>
      <c r="G1041" s="10">
        <v>45968</v>
      </c>
      <c r="H1041" s="10">
        <v>46009</v>
      </c>
      <c r="I1041">
        <v>18.100000000000001</v>
      </c>
      <c r="J1041">
        <v>22.3</v>
      </c>
      <c r="K1041" s="9" t="s">
        <v>1321</v>
      </c>
    </row>
    <row r="1042" spans="1:11" x14ac:dyDescent="0.35">
      <c r="A1042" s="9" t="s">
        <v>2502</v>
      </c>
      <c r="B1042" s="9" t="s">
        <v>1069</v>
      </c>
      <c r="C1042" s="9" t="s">
        <v>55</v>
      </c>
      <c r="D1042" s="9" t="s">
        <v>80</v>
      </c>
      <c r="E1042" s="9" t="s">
        <v>1155</v>
      </c>
      <c r="F1042" s="9" t="s">
        <v>1156</v>
      </c>
      <c r="G1042" s="10">
        <v>46112</v>
      </c>
      <c r="H1042" s="10">
        <v>46134</v>
      </c>
      <c r="I1042">
        <v>22.4</v>
      </c>
      <c r="J1042">
        <v>22.4</v>
      </c>
      <c r="K1042" s="9" t="s">
        <v>1321</v>
      </c>
    </row>
    <row r="1043" spans="1:11" x14ac:dyDescent="0.35">
      <c r="A1043" s="9" t="s">
        <v>2503</v>
      </c>
      <c r="B1043" s="9" t="s">
        <v>1069</v>
      </c>
      <c r="C1043" s="9" t="s">
        <v>55</v>
      </c>
      <c r="D1043" s="9" t="s">
        <v>80</v>
      </c>
      <c r="E1043" s="9" t="s">
        <v>1155</v>
      </c>
      <c r="F1043" s="9" t="s">
        <v>1156</v>
      </c>
      <c r="G1043" s="10">
        <v>46127</v>
      </c>
      <c r="H1043" s="10">
        <v>46149</v>
      </c>
      <c r="I1043">
        <v>4.0999999999999996</v>
      </c>
      <c r="J1043">
        <v>4.0999999999999996</v>
      </c>
      <c r="K1043" s="9" t="s">
        <v>1321</v>
      </c>
    </row>
    <row r="1044" spans="1:11" x14ac:dyDescent="0.35">
      <c r="A1044" s="9" t="s">
        <v>2504</v>
      </c>
      <c r="B1044" s="9" t="s">
        <v>1071</v>
      </c>
      <c r="C1044" s="9" t="s">
        <v>62</v>
      </c>
      <c r="D1044" s="9" t="s">
        <v>56</v>
      </c>
      <c r="E1044" s="9" t="s">
        <v>1145</v>
      </c>
      <c r="F1044" s="9" t="s">
        <v>1146</v>
      </c>
      <c r="G1044" s="10">
        <v>45986</v>
      </c>
      <c r="H1044" s="10">
        <v>46043</v>
      </c>
      <c r="I1044">
        <v>18.5</v>
      </c>
      <c r="J1044">
        <v>26.6</v>
      </c>
      <c r="K1044" s="9" t="s">
        <v>1321</v>
      </c>
    </row>
    <row r="1045" spans="1:11" x14ac:dyDescent="0.35">
      <c r="A1045" s="9" t="s">
        <v>2505</v>
      </c>
      <c r="B1045" s="9" t="s">
        <v>1071</v>
      </c>
      <c r="C1045" s="9" t="s">
        <v>62</v>
      </c>
      <c r="D1045" s="9" t="s">
        <v>56</v>
      </c>
      <c r="E1045" s="9" t="s">
        <v>1137</v>
      </c>
      <c r="F1045" s="9" t="s">
        <v>1138</v>
      </c>
      <c r="G1045" s="10">
        <v>45987</v>
      </c>
      <c r="H1045" s="10">
        <v>46006</v>
      </c>
      <c r="I1045">
        <v>19</v>
      </c>
      <c r="J1045">
        <v>18.3</v>
      </c>
      <c r="K1045" s="9" t="s">
        <v>1321</v>
      </c>
    </row>
    <row r="1046" spans="1:11" x14ac:dyDescent="0.35">
      <c r="A1046" s="9" t="s">
        <v>2506</v>
      </c>
      <c r="B1046" s="9" t="s">
        <v>1071</v>
      </c>
      <c r="C1046" s="9" t="s">
        <v>62</v>
      </c>
      <c r="D1046" s="9" t="s">
        <v>56</v>
      </c>
      <c r="E1046" s="9" t="s">
        <v>1176</v>
      </c>
      <c r="F1046" s="9" t="s">
        <v>1177</v>
      </c>
      <c r="G1046" s="10">
        <v>46043</v>
      </c>
      <c r="H1046" s="10">
        <v>46071</v>
      </c>
      <c r="I1046">
        <v>6.9</v>
      </c>
      <c r="J1046">
        <v>7.4</v>
      </c>
      <c r="K1046" s="9" t="s">
        <v>1321</v>
      </c>
    </row>
    <row r="1047" spans="1:11" x14ac:dyDescent="0.35">
      <c r="A1047" s="9" t="s">
        <v>2507</v>
      </c>
      <c r="B1047" s="9" t="s">
        <v>1071</v>
      </c>
      <c r="C1047" s="9" t="s">
        <v>62</v>
      </c>
      <c r="D1047" s="9" t="s">
        <v>56</v>
      </c>
      <c r="E1047" s="9" t="s">
        <v>1167</v>
      </c>
      <c r="F1047" s="9" t="s">
        <v>1168</v>
      </c>
      <c r="G1047" s="10">
        <v>45896</v>
      </c>
      <c r="H1047" s="10">
        <v>45949</v>
      </c>
      <c r="I1047">
        <v>30.8</v>
      </c>
      <c r="J1047">
        <v>43</v>
      </c>
      <c r="K1047" s="9" t="s">
        <v>1321</v>
      </c>
    </row>
    <row r="1048" spans="1:11" x14ac:dyDescent="0.35">
      <c r="A1048" s="9" t="s">
        <v>2508</v>
      </c>
      <c r="B1048" s="9" t="s">
        <v>1073</v>
      </c>
      <c r="C1048" s="9" t="s">
        <v>62</v>
      </c>
      <c r="D1048" s="9" t="s">
        <v>56</v>
      </c>
      <c r="E1048" s="9" t="s">
        <v>1137</v>
      </c>
      <c r="F1048" s="9" t="s">
        <v>1138</v>
      </c>
      <c r="G1048" s="10">
        <v>45725</v>
      </c>
      <c r="H1048" s="10">
        <v>45770</v>
      </c>
      <c r="I1048">
        <v>20</v>
      </c>
      <c r="J1048">
        <v>25.7</v>
      </c>
      <c r="K1048" s="9" t="s">
        <v>1321</v>
      </c>
    </row>
    <row r="1049" spans="1:11" x14ac:dyDescent="0.35">
      <c r="A1049" s="9" t="s">
        <v>2509</v>
      </c>
      <c r="B1049" s="9" t="s">
        <v>1073</v>
      </c>
      <c r="C1049" s="9" t="s">
        <v>62</v>
      </c>
      <c r="D1049" s="9" t="s">
        <v>56</v>
      </c>
      <c r="E1049" s="9" t="s">
        <v>1176</v>
      </c>
      <c r="F1049" s="9" t="s">
        <v>1177</v>
      </c>
      <c r="G1049" s="10">
        <v>45859</v>
      </c>
      <c r="H1049" s="10">
        <v>45904</v>
      </c>
      <c r="I1049">
        <v>24.9</v>
      </c>
      <c r="J1049">
        <v>32</v>
      </c>
      <c r="K1049" s="9" t="s">
        <v>1321</v>
      </c>
    </row>
    <row r="1050" spans="1:11" x14ac:dyDescent="0.35">
      <c r="A1050" s="9" t="s">
        <v>2510</v>
      </c>
      <c r="B1050" s="9" t="s">
        <v>1073</v>
      </c>
      <c r="C1050" s="9" t="s">
        <v>62</v>
      </c>
      <c r="D1050" s="9" t="s">
        <v>56</v>
      </c>
      <c r="E1050" s="9" t="s">
        <v>1167</v>
      </c>
      <c r="F1050" s="9" t="s">
        <v>1168</v>
      </c>
      <c r="G1050" s="10">
        <v>46080</v>
      </c>
      <c r="H1050" s="10">
        <v>46085</v>
      </c>
      <c r="I1050">
        <v>23.3</v>
      </c>
      <c r="J1050">
        <v>18.2</v>
      </c>
      <c r="K1050" s="9" t="s">
        <v>1321</v>
      </c>
    </row>
    <row r="1051" spans="1:11" x14ac:dyDescent="0.35">
      <c r="A1051" s="9" t="s">
        <v>2511</v>
      </c>
      <c r="B1051" s="9" t="s">
        <v>1075</v>
      </c>
      <c r="C1051" s="9" t="s">
        <v>55</v>
      </c>
      <c r="D1051" s="9" t="s">
        <v>80</v>
      </c>
      <c r="E1051" s="9" t="s">
        <v>1171</v>
      </c>
      <c r="F1051" s="9" t="s">
        <v>1172</v>
      </c>
      <c r="G1051" s="10">
        <v>45990</v>
      </c>
      <c r="H1051" s="10">
        <v>46045</v>
      </c>
      <c r="I1051">
        <v>33.4</v>
      </c>
      <c r="J1051">
        <v>47.5</v>
      </c>
      <c r="K1051" s="9" t="s">
        <v>1321</v>
      </c>
    </row>
    <row r="1052" spans="1:11" x14ac:dyDescent="0.35">
      <c r="A1052" s="9" t="s">
        <v>2512</v>
      </c>
      <c r="B1052" s="9" t="s">
        <v>1075</v>
      </c>
      <c r="C1052" s="9" t="s">
        <v>55</v>
      </c>
      <c r="D1052" s="9" t="s">
        <v>80</v>
      </c>
      <c r="E1052" s="9" t="s">
        <v>1183</v>
      </c>
      <c r="F1052" s="9" t="s">
        <v>1184</v>
      </c>
      <c r="G1052" s="10">
        <v>45950</v>
      </c>
      <c r="H1052" s="10"/>
      <c r="I1052">
        <v>32</v>
      </c>
      <c r="K1052" s="9" t="s">
        <v>1473</v>
      </c>
    </row>
    <row r="1053" spans="1:11" x14ac:dyDescent="0.35">
      <c r="A1053" s="9" t="s">
        <v>2513</v>
      </c>
      <c r="B1053" s="9" t="s">
        <v>1075</v>
      </c>
      <c r="C1053" s="9" t="s">
        <v>55</v>
      </c>
      <c r="D1053" s="9" t="s">
        <v>80</v>
      </c>
      <c r="E1053" s="9" t="s">
        <v>1196</v>
      </c>
      <c r="F1053" s="9" t="s">
        <v>1197</v>
      </c>
      <c r="G1053" s="10">
        <v>46034</v>
      </c>
      <c r="H1053" s="10">
        <v>46046</v>
      </c>
      <c r="I1053">
        <v>26.5</v>
      </c>
      <c r="J1053">
        <v>23</v>
      </c>
      <c r="K1053" s="9" t="s">
        <v>1321</v>
      </c>
    </row>
    <row r="1054" spans="1:11" x14ac:dyDescent="0.35">
      <c r="A1054" s="9" t="s">
        <v>2514</v>
      </c>
      <c r="B1054" s="9" t="s">
        <v>1077</v>
      </c>
      <c r="C1054" s="9" t="s">
        <v>55</v>
      </c>
      <c r="D1054" s="9" t="s">
        <v>63</v>
      </c>
      <c r="E1054" s="9" t="s">
        <v>1147</v>
      </c>
      <c r="F1054" s="9" t="s">
        <v>1148</v>
      </c>
      <c r="G1054" s="10">
        <v>46084</v>
      </c>
      <c r="H1054" s="10">
        <v>46121</v>
      </c>
      <c r="I1054">
        <v>17.600000000000001</v>
      </c>
      <c r="J1054">
        <v>20.9</v>
      </c>
      <c r="K1054" s="9" t="s">
        <v>1321</v>
      </c>
    </row>
    <row r="1055" spans="1:11" x14ac:dyDescent="0.35">
      <c r="A1055" s="9" t="s">
        <v>2515</v>
      </c>
      <c r="B1055" s="9" t="s">
        <v>1077</v>
      </c>
      <c r="C1055" s="9" t="s">
        <v>55</v>
      </c>
      <c r="D1055" s="9" t="s">
        <v>63</v>
      </c>
      <c r="E1055" s="9" t="s">
        <v>1188</v>
      </c>
      <c r="F1055" s="9" t="s">
        <v>1189</v>
      </c>
      <c r="G1055" s="10">
        <v>45776</v>
      </c>
      <c r="H1055" s="10">
        <v>45813</v>
      </c>
      <c r="I1055">
        <v>24.9</v>
      </c>
      <c r="J1055">
        <v>29.7</v>
      </c>
      <c r="K1055" s="9" t="s">
        <v>1321</v>
      </c>
    </row>
    <row r="1056" spans="1:11" x14ac:dyDescent="0.35">
      <c r="A1056" s="9" t="s">
        <v>2516</v>
      </c>
      <c r="B1056" s="9" t="s">
        <v>1077</v>
      </c>
      <c r="C1056" s="9" t="s">
        <v>55</v>
      </c>
      <c r="D1056" s="9" t="s">
        <v>63</v>
      </c>
      <c r="E1056" s="9" t="s">
        <v>1134</v>
      </c>
      <c r="F1056" s="9" t="s">
        <v>1135</v>
      </c>
      <c r="G1056" s="10">
        <v>45677</v>
      </c>
      <c r="H1056" s="10">
        <v>45703</v>
      </c>
      <c r="I1056">
        <v>9.8000000000000007</v>
      </c>
      <c r="J1056">
        <v>10.3</v>
      </c>
      <c r="K1056" s="9" t="s">
        <v>1321</v>
      </c>
    </row>
    <row r="1057" spans="1:11" x14ac:dyDescent="0.35">
      <c r="A1057" s="9" t="s">
        <v>2517</v>
      </c>
      <c r="B1057" s="9" t="s">
        <v>1079</v>
      </c>
      <c r="C1057" s="9" t="s">
        <v>46</v>
      </c>
      <c r="D1057" s="9" t="s">
        <v>56</v>
      </c>
      <c r="E1057" s="9" t="s">
        <v>1147</v>
      </c>
      <c r="F1057" s="9" t="s">
        <v>1148</v>
      </c>
      <c r="G1057" s="10">
        <v>45762</v>
      </c>
      <c r="H1057" s="10">
        <v>45779</v>
      </c>
      <c r="I1057">
        <v>20.5</v>
      </c>
      <c r="J1057">
        <v>19.2</v>
      </c>
      <c r="K1057" s="9" t="s">
        <v>1321</v>
      </c>
    </row>
    <row r="1058" spans="1:11" x14ac:dyDescent="0.35">
      <c r="A1058" s="9" t="s">
        <v>2518</v>
      </c>
      <c r="B1058" s="9" t="s">
        <v>1081</v>
      </c>
      <c r="C1058" s="9" t="s">
        <v>55</v>
      </c>
      <c r="D1058" s="9" t="s">
        <v>112</v>
      </c>
      <c r="E1058" s="9" t="s">
        <v>1129</v>
      </c>
      <c r="F1058" s="9" t="s">
        <v>1130</v>
      </c>
      <c r="G1058" s="10">
        <v>46086</v>
      </c>
      <c r="H1058" s="10">
        <v>46117</v>
      </c>
      <c r="I1058">
        <v>10.8</v>
      </c>
      <c r="J1058">
        <v>12</v>
      </c>
      <c r="K1058" s="9" t="s">
        <v>1321</v>
      </c>
    </row>
    <row r="1059" spans="1:11" x14ac:dyDescent="0.35">
      <c r="A1059" s="9" t="s">
        <v>2519</v>
      </c>
      <c r="B1059" s="9" t="s">
        <v>1083</v>
      </c>
      <c r="C1059" s="9" t="s">
        <v>46</v>
      </c>
      <c r="D1059" s="9" t="s">
        <v>56</v>
      </c>
      <c r="E1059" s="9" t="s">
        <v>1147</v>
      </c>
      <c r="F1059" s="9" t="s">
        <v>1148</v>
      </c>
      <c r="G1059" s="10">
        <v>45933</v>
      </c>
      <c r="H1059" s="10">
        <v>45951</v>
      </c>
      <c r="I1059">
        <v>30.1</v>
      </c>
      <c r="J1059">
        <v>28.6</v>
      </c>
      <c r="K1059" s="9" t="s">
        <v>1321</v>
      </c>
    </row>
    <row r="1060" spans="1:11" x14ac:dyDescent="0.35">
      <c r="A1060" s="9" t="s">
        <v>2520</v>
      </c>
      <c r="B1060" s="9" t="s">
        <v>1083</v>
      </c>
      <c r="C1060" s="9" t="s">
        <v>46</v>
      </c>
      <c r="D1060" s="9" t="s">
        <v>56</v>
      </c>
      <c r="E1060" s="9" t="s">
        <v>1137</v>
      </c>
      <c r="F1060" s="9" t="s">
        <v>1138</v>
      </c>
      <c r="G1060" s="10">
        <v>46083</v>
      </c>
      <c r="H1060" s="10">
        <v>46108</v>
      </c>
      <c r="I1060">
        <v>11.7</v>
      </c>
      <c r="J1060">
        <v>12.1</v>
      </c>
      <c r="K1060" s="9" t="s">
        <v>1321</v>
      </c>
    </row>
    <row r="1061" spans="1:11" x14ac:dyDescent="0.35">
      <c r="A1061" s="9" t="s">
        <v>2521</v>
      </c>
      <c r="B1061" s="9" t="s">
        <v>1085</v>
      </c>
      <c r="C1061" s="9" t="s">
        <v>46</v>
      </c>
      <c r="D1061" s="9" t="s">
        <v>63</v>
      </c>
      <c r="E1061" s="9" t="s">
        <v>1147</v>
      </c>
      <c r="F1061" s="9" t="s">
        <v>1148</v>
      </c>
      <c r="G1061" s="10">
        <v>46169</v>
      </c>
      <c r="H1061" s="10">
        <v>46218</v>
      </c>
      <c r="I1061">
        <v>5.6</v>
      </c>
      <c r="J1061">
        <v>7.5</v>
      </c>
      <c r="K1061" s="9" t="s">
        <v>1321</v>
      </c>
    </row>
    <row r="1062" spans="1:11" x14ac:dyDescent="0.35">
      <c r="A1062" s="9" t="s">
        <v>2522</v>
      </c>
      <c r="B1062" s="9" t="s">
        <v>1085</v>
      </c>
      <c r="C1062" s="9" t="s">
        <v>46</v>
      </c>
      <c r="D1062" s="9" t="s">
        <v>63</v>
      </c>
      <c r="E1062" s="9" t="s">
        <v>1147</v>
      </c>
      <c r="F1062" s="9" t="s">
        <v>1148</v>
      </c>
      <c r="G1062" s="10">
        <v>46098</v>
      </c>
      <c r="H1062" s="10">
        <v>46152</v>
      </c>
      <c r="I1062">
        <v>28.8</v>
      </c>
      <c r="J1062">
        <v>40.5</v>
      </c>
      <c r="K1062" s="9" t="s">
        <v>1321</v>
      </c>
    </row>
    <row r="1063" spans="1:11" x14ac:dyDescent="0.35">
      <c r="A1063" s="9" t="s">
        <v>2523</v>
      </c>
      <c r="B1063" s="9" t="s">
        <v>1087</v>
      </c>
      <c r="C1063" s="9" t="s">
        <v>62</v>
      </c>
      <c r="D1063" s="9" t="s">
        <v>47</v>
      </c>
      <c r="E1063" s="9" t="s">
        <v>1183</v>
      </c>
      <c r="F1063" s="9" t="s">
        <v>1184</v>
      </c>
      <c r="G1063" s="10">
        <v>45765</v>
      </c>
      <c r="H1063" s="10">
        <v>45776</v>
      </c>
      <c r="I1063">
        <v>7.8</v>
      </c>
      <c r="J1063">
        <v>6.7</v>
      </c>
      <c r="K1063" s="9" t="s">
        <v>1321</v>
      </c>
    </row>
    <row r="1064" spans="1:11" x14ac:dyDescent="0.35">
      <c r="A1064" s="9" t="s">
        <v>2524</v>
      </c>
      <c r="B1064" s="9" t="s">
        <v>1089</v>
      </c>
      <c r="C1064" s="9" t="s">
        <v>55</v>
      </c>
      <c r="D1064" s="9" t="s">
        <v>93</v>
      </c>
      <c r="E1064" s="9" t="s">
        <v>1147</v>
      </c>
      <c r="F1064" s="9" t="s">
        <v>1148</v>
      </c>
      <c r="G1064" s="10">
        <v>46147</v>
      </c>
      <c r="H1064" s="10">
        <v>46167</v>
      </c>
      <c r="I1064">
        <v>11.1</v>
      </c>
      <c r="J1064">
        <v>10.8</v>
      </c>
      <c r="K1064" s="9" t="s">
        <v>1321</v>
      </c>
    </row>
    <row r="1065" spans="1:11" x14ac:dyDescent="0.35">
      <c r="A1065" s="9" t="s">
        <v>2525</v>
      </c>
      <c r="B1065" s="9" t="s">
        <v>1089</v>
      </c>
      <c r="C1065" s="9" t="s">
        <v>55</v>
      </c>
      <c r="D1065" s="9" t="s">
        <v>93</v>
      </c>
      <c r="E1065" s="9" t="s">
        <v>1152</v>
      </c>
      <c r="F1065" s="9" t="s">
        <v>1153</v>
      </c>
      <c r="G1065" s="10">
        <v>45853</v>
      </c>
      <c r="H1065" s="10">
        <v>45862</v>
      </c>
      <c r="I1065">
        <v>31.2</v>
      </c>
      <c r="J1065">
        <v>25.9</v>
      </c>
      <c r="K1065" s="9" t="s">
        <v>1321</v>
      </c>
    </row>
    <row r="1066" spans="1:11" x14ac:dyDescent="0.35">
      <c r="A1066" s="9" t="s">
        <v>2526</v>
      </c>
      <c r="B1066" s="9" t="s">
        <v>1091</v>
      </c>
      <c r="C1066" s="9" t="s">
        <v>55</v>
      </c>
      <c r="D1066" s="9" t="s">
        <v>80</v>
      </c>
      <c r="E1066" s="9" t="s">
        <v>1167</v>
      </c>
      <c r="F1066" s="9" t="s">
        <v>1168</v>
      </c>
      <c r="G1066" s="10">
        <v>45665</v>
      </c>
      <c r="H1066" s="10">
        <v>45693</v>
      </c>
      <c r="I1066">
        <v>29.1</v>
      </c>
      <c r="J1066">
        <v>31.2</v>
      </c>
      <c r="K1066" s="9" t="s">
        <v>1321</v>
      </c>
    </row>
    <row r="1067" spans="1:11" x14ac:dyDescent="0.35">
      <c r="A1067" s="9" t="s">
        <v>2527</v>
      </c>
      <c r="B1067" s="9" t="s">
        <v>1091</v>
      </c>
      <c r="C1067" s="9" t="s">
        <v>55</v>
      </c>
      <c r="D1067" s="9" t="s">
        <v>80</v>
      </c>
      <c r="E1067" s="9" t="s">
        <v>1152</v>
      </c>
      <c r="F1067" s="9" t="s">
        <v>1153</v>
      </c>
      <c r="G1067" s="10">
        <v>46121</v>
      </c>
      <c r="H1067" s="10">
        <v>46172</v>
      </c>
      <c r="I1067">
        <v>18.399999999999999</v>
      </c>
      <c r="J1067">
        <v>25.1</v>
      </c>
      <c r="K1067" s="9" t="s">
        <v>1321</v>
      </c>
    </row>
    <row r="1068" spans="1:11" x14ac:dyDescent="0.35">
      <c r="A1068" s="9" t="s">
        <v>2528</v>
      </c>
      <c r="B1068" s="9" t="s">
        <v>1093</v>
      </c>
      <c r="C1068" s="9" t="s">
        <v>46</v>
      </c>
      <c r="D1068" s="9" t="s">
        <v>112</v>
      </c>
      <c r="E1068" s="9" t="s">
        <v>1145</v>
      </c>
      <c r="F1068" s="9" t="s">
        <v>1146</v>
      </c>
      <c r="G1068" s="10">
        <v>45821</v>
      </c>
      <c r="H1068" s="10">
        <v>45850</v>
      </c>
      <c r="I1068">
        <v>8.6</v>
      </c>
      <c r="J1068">
        <v>9.4</v>
      </c>
      <c r="K1068" s="9" t="s">
        <v>1321</v>
      </c>
    </row>
    <row r="1069" spans="1:11" x14ac:dyDescent="0.35">
      <c r="A1069" s="9" t="s">
        <v>2529</v>
      </c>
      <c r="B1069" s="9" t="s">
        <v>1095</v>
      </c>
      <c r="C1069" s="9" t="s">
        <v>46</v>
      </c>
      <c r="D1069" s="9" t="s">
        <v>63</v>
      </c>
      <c r="E1069" s="9" t="s">
        <v>1176</v>
      </c>
      <c r="F1069" s="9" t="s">
        <v>1177</v>
      </c>
      <c r="G1069" s="10">
        <v>45766</v>
      </c>
      <c r="H1069" s="10">
        <v>45822</v>
      </c>
      <c r="I1069">
        <v>12.8</v>
      </c>
      <c r="J1069">
        <v>18.3</v>
      </c>
      <c r="K1069" s="9" t="s">
        <v>1321</v>
      </c>
    </row>
    <row r="1070" spans="1:11" x14ac:dyDescent="0.35">
      <c r="A1070" s="9" t="s">
        <v>2530</v>
      </c>
      <c r="B1070" s="9" t="s">
        <v>1095</v>
      </c>
      <c r="C1070" s="9" t="s">
        <v>46</v>
      </c>
      <c r="D1070" s="9" t="s">
        <v>63</v>
      </c>
      <c r="E1070" s="9" t="s">
        <v>1143</v>
      </c>
      <c r="F1070" s="9" t="s">
        <v>1144</v>
      </c>
      <c r="G1070" s="10">
        <v>45666</v>
      </c>
      <c r="H1070" s="10">
        <v>45684</v>
      </c>
      <c r="I1070">
        <v>2</v>
      </c>
      <c r="J1070">
        <v>1.9</v>
      </c>
      <c r="K1070" s="9" t="s">
        <v>1321</v>
      </c>
    </row>
    <row r="1071" spans="1:11" x14ac:dyDescent="0.35">
      <c r="A1071" s="9" t="s">
        <v>2531</v>
      </c>
      <c r="B1071" s="9" t="s">
        <v>1097</v>
      </c>
      <c r="C1071" s="9" t="s">
        <v>46</v>
      </c>
      <c r="D1071" s="9" t="s">
        <v>93</v>
      </c>
      <c r="E1071" s="9" t="s">
        <v>1145</v>
      </c>
      <c r="F1071" s="9" t="s">
        <v>1146</v>
      </c>
      <c r="G1071" s="10">
        <v>46191</v>
      </c>
      <c r="H1071" s="10">
        <v>46246</v>
      </c>
      <c r="I1071">
        <v>31.9</v>
      </c>
      <c r="J1071">
        <v>45.4</v>
      </c>
      <c r="K1071" s="9" t="s">
        <v>1321</v>
      </c>
    </row>
    <row r="1072" spans="1:11" x14ac:dyDescent="0.35">
      <c r="A1072" s="9" t="s">
        <v>2532</v>
      </c>
      <c r="B1072" s="9" t="s">
        <v>1097</v>
      </c>
      <c r="C1072" s="9" t="s">
        <v>46</v>
      </c>
      <c r="D1072" s="9" t="s">
        <v>93</v>
      </c>
      <c r="E1072" s="9" t="s">
        <v>1158</v>
      </c>
      <c r="F1072" s="9" t="s">
        <v>1159</v>
      </c>
      <c r="G1072" s="10">
        <v>45829</v>
      </c>
      <c r="H1072" s="10">
        <v>45854</v>
      </c>
      <c r="I1072">
        <v>14.1</v>
      </c>
      <c r="J1072">
        <v>14.7</v>
      </c>
      <c r="K1072" s="9" t="s">
        <v>1321</v>
      </c>
    </row>
    <row r="1073" spans="1:11" x14ac:dyDescent="0.35">
      <c r="A1073" s="9" t="s">
        <v>2533</v>
      </c>
      <c r="B1073" s="9" t="s">
        <v>1097</v>
      </c>
      <c r="C1073" s="9" t="s">
        <v>46</v>
      </c>
      <c r="D1073" s="9" t="s">
        <v>93</v>
      </c>
      <c r="E1073" s="9" t="s">
        <v>1143</v>
      </c>
      <c r="F1073" s="9" t="s">
        <v>1144</v>
      </c>
      <c r="G1073" s="10">
        <v>46196</v>
      </c>
      <c r="H1073" s="10">
        <v>46212</v>
      </c>
      <c r="I1073">
        <v>26.4</v>
      </c>
      <c r="J1073">
        <v>24.4</v>
      </c>
      <c r="K1073" s="9" t="s">
        <v>1321</v>
      </c>
    </row>
    <row r="1074" spans="1:11" x14ac:dyDescent="0.35">
      <c r="A1074" s="9" t="s">
        <v>2534</v>
      </c>
      <c r="B1074" s="9" t="s">
        <v>1099</v>
      </c>
      <c r="C1074" s="9" t="s">
        <v>55</v>
      </c>
      <c r="D1074" s="9" t="s">
        <v>112</v>
      </c>
      <c r="E1074" s="9" t="s">
        <v>1158</v>
      </c>
      <c r="F1074" s="9" t="s">
        <v>1159</v>
      </c>
      <c r="G1074" s="10">
        <v>46076</v>
      </c>
      <c r="H1074" s="10">
        <v>46094</v>
      </c>
      <c r="I1074">
        <v>18.5</v>
      </c>
      <c r="J1074">
        <v>17.5</v>
      </c>
      <c r="K1074" s="9" t="s">
        <v>1321</v>
      </c>
    </row>
    <row r="1075" spans="1:11" x14ac:dyDescent="0.35">
      <c r="A1075" s="9" t="s">
        <v>2535</v>
      </c>
      <c r="B1075" s="9" t="s">
        <v>1099</v>
      </c>
      <c r="C1075" s="9" t="s">
        <v>55</v>
      </c>
      <c r="D1075" s="9" t="s">
        <v>112</v>
      </c>
      <c r="E1075" s="9" t="s">
        <v>1145</v>
      </c>
      <c r="F1075" s="9" t="s">
        <v>1146</v>
      </c>
      <c r="G1075" s="10">
        <v>46123</v>
      </c>
      <c r="H1075" s="10">
        <v>46149</v>
      </c>
      <c r="I1075">
        <v>12.6</v>
      </c>
      <c r="J1075">
        <v>13.3</v>
      </c>
      <c r="K1075" s="9" t="s">
        <v>1321</v>
      </c>
    </row>
    <row r="1076" spans="1:11" x14ac:dyDescent="0.35">
      <c r="A1076" s="9" t="s">
        <v>2536</v>
      </c>
      <c r="B1076" s="9" t="s">
        <v>1099</v>
      </c>
      <c r="C1076" s="9" t="s">
        <v>55</v>
      </c>
      <c r="D1076" s="9" t="s">
        <v>112</v>
      </c>
      <c r="E1076" s="9" t="s">
        <v>1183</v>
      </c>
      <c r="F1076" s="9" t="s">
        <v>1184</v>
      </c>
      <c r="G1076" s="10">
        <v>45932</v>
      </c>
      <c r="H1076" s="10"/>
      <c r="I1076">
        <v>2.5</v>
      </c>
      <c r="K1076" s="9" t="s">
        <v>1473</v>
      </c>
    </row>
    <row r="1077" spans="1:11" x14ac:dyDescent="0.35">
      <c r="A1077" s="9" t="s">
        <v>2537</v>
      </c>
      <c r="B1077" s="9" t="s">
        <v>1101</v>
      </c>
      <c r="C1077" s="9" t="s">
        <v>55</v>
      </c>
      <c r="D1077" s="9" t="s">
        <v>63</v>
      </c>
      <c r="E1077" s="9" t="s">
        <v>1139</v>
      </c>
      <c r="F1077" s="9" t="s">
        <v>1140</v>
      </c>
      <c r="G1077" s="10">
        <v>46175</v>
      </c>
      <c r="H1077" s="10">
        <v>46220</v>
      </c>
      <c r="I1077">
        <v>6.3</v>
      </c>
      <c r="J1077">
        <v>8</v>
      </c>
      <c r="K1077" s="9" t="s">
        <v>1321</v>
      </c>
    </row>
    <row r="1078" spans="1:11" x14ac:dyDescent="0.35">
      <c r="A1078" s="9" t="s">
        <v>2538</v>
      </c>
      <c r="B1078" s="9" t="s">
        <v>1103</v>
      </c>
      <c r="C1078" s="9" t="s">
        <v>46</v>
      </c>
      <c r="D1078" s="9" t="s">
        <v>63</v>
      </c>
      <c r="E1078" s="9" t="s">
        <v>1171</v>
      </c>
      <c r="F1078" s="9" t="s">
        <v>1172</v>
      </c>
      <c r="G1078" s="10">
        <v>46137</v>
      </c>
      <c r="H1078" s="10">
        <v>46158</v>
      </c>
      <c r="I1078">
        <v>23.9</v>
      </c>
      <c r="J1078">
        <v>23.5</v>
      </c>
      <c r="K1078" s="9" t="s">
        <v>1321</v>
      </c>
    </row>
    <row r="1079" spans="1:11" x14ac:dyDescent="0.35">
      <c r="A1079" s="9" t="s">
        <v>2539</v>
      </c>
      <c r="B1079" s="9" t="s">
        <v>1103</v>
      </c>
      <c r="C1079" s="9" t="s">
        <v>46</v>
      </c>
      <c r="D1079" s="9" t="s">
        <v>63</v>
      </c>
      <c r="E1079" s="9" t="s">
        <v>1134</v>
      </c>
      <c r="F1079" s="9" t="s">
        <v>1135</v>
      </c>
      <c r="G1079" s="10">
        <v>45831</v>
      </c>
      <c r="H1079" s="10">
        <v>45872</v>
      </c>
      <c r="I1079">
        <v>12.8</v>
      </c>
      <c r="J1079">
        <v>15.9</v>
      </c>
      <c r="K1079" s="9" t="s">
        <v>1321</v>
      </c>
    </row>
    <row r="1080" spans="1:11" x14ac:dyDescent="0.35">
      <c r="A1080" s="9" t="s">
        <v>2540</v>
      </c>
      <c r="B1080" s="9" t="s">
        <v>1103</v>
      </c>
      <c r="C1080" s="9" t="s">
        <v>46</v>
      </c>
      <c r="D1080" s="9" t="s">
        <v>63</v>
      </c>
      <c r="E1080" s="9" t="s">
        <v>1167</v>
      </c>
      <c r="F1080" s="9" t="s">
        <v>1168</v>
      </c>
      <c r="G1080" s="10">
        <v>45798</v>
      </c>
      <c r="H1080" s="10">
        <v>45854</v>
      </c>
      <c r="I1080">
        <v>9.6999999999999993</v>
      </c>
      <c r="J1080">
        <v>13.8</v>
      </c>
      <c r="K1080" s="9" t="s">
        <v>1321</v>
      </c>
    </row>
    <row r="1081" spans="1:11" x14ac:dyDescent="0.35">
      <c r="A1081" s="9" t="s">
        <v>2541</v>
      </c>
      <c r="B1081" s="9" t="s">
        <v>1105</v>
      </c>
      <c r="C1081" s="9" t="s">
        <v>55</v>
      </c>
      <c r="D1081" s="9" t="s">
        <v>69</v>
      </c>
      <c r="E1081" s="9" t="s">
        <v>1145</v>
      </c>
      <c r="F1081" s="9" t="s">
        <v>1146</v>
      </c>
      <c r="G1081" s="10">
        <v>45913</v>
      </c>
      <c r="H1081" s="10">
        <v>45966</v>
      </c>
      <c r="I1081">
        <v>20</v>
      </c>
      <c r="J1081">
        <v>27.9</v>
      </c>
      <c r="K1081" s="9" t="s">
        <v>1321</v>
      </c>
    </row>
    <row r="1082" spans="1:11" x14ac:dyDescent="0.35">
      <c r="A1082" s="9" t="s">
        <v>2542</v>
      </c>
      <c r="B1082" s="9" t="s">
        <v>1105</v>
      </c>
      <c r="C1082" s="9" t="s">
        <v>55</v>
      </c>
      <c r="D1082" s="9" t="s">
        <v>69</v>
      </c>
      <c r="E1082" s="9" t="s">
        <v>1162</v>
      </c>
      <c r="F1082" s="9" t="s">
        <v>1163</v>
      </c>
      <c r="G1082" s="10">
        <v>46176</v>
      </c>
      <c r="H1082" s="10">
        <v>46180</v>
      </c>
      <c r="I1082">
        <v>26.5</v>
      </c>
      <c r="J1082">
        <v>20.2</v>
      </c>
      <c r="K1082" s="9" t="s">
        <v>1321</v>
      </c>
    </row>
    <row r="1083" spans="1:11" x14ac:dyDescent="0.35">
      <c r="A1083" s="9" t="s">
        <v>2543</v>
      </c>
      <c r="B1083" s="9" t="s">
        <v>1105</v>
      </c>
      <c r="C1083" s="9" t="s">
        <v>55</v>
      </c>
      <c r="D1083" s="9" t="s">
        <v>69</v>
      </c>
      <c r="E1083" s="9" t="s">
        <v>1134</v>
      </c>
      <c r="F1083" s="9" t="s">
        <v>1135</v>
      </c>
      <c r="G1083" s="10">
        <v>45784</v>
      </c>
      <c r="H1083" s="10">
        <v>45831</v>
      </c>
      <c r="I1083">
        <v>30.3</v>
      </c>
      <c r="J1083">
        <v>40</v>
      </c>
      <c r="K1083" s="9" t="s">
        <v>1321</v>
      </c>
    </row>
    <row r="1084" spans="1:11" x14ac:dyDescent="0.35">
      <c r="A1084" s="9" t="s">
        <v>2544</v>
      </c>
      <c r="B1084" s="9" t="s">
        <v>1105</v>
      </c>
      <c r="C1084" s="9" t="s">
        <v>55</v>
      </c>
      <c r="D1084" s="9" t="s">
        <v>69</v>
      </c>
      <c r="E1084" s="9" t="s">
        <v>1193</v>
      </c>
      <c r="F1084" s="9" t="s">
        <v>1194</v>
      </c>
      <c r="G1084" s="10">
        <v>45863</v>
      </c>
      <c r="H1084" s="10">
        <v>45920</v>
      </c>
      <c r="I1084">
        <v>22.1</v>
      </c>
      <c r="J1084">
        <v>32</v>
      </c>
      <c r="K1084" s="9" t="s">
        <v>1321</v>
      </c>
    </row>
    <row r="1085" spans="1:11" x14ac:dyDescent="0.35">
      <c r="A1085" s="9" t="s">
        <v>2545</v>
      </c>
      <c r="B1085" s="9" t="s">
        <v>1107</v>
      </c>
      <c r="C1085" s="9" t="s">
        <v>46</v>
      </c>
      <c r="D1085" s="9" t="s">
        <v>47</v>
      </c>
      <c r="E1085" s="9" t="s">
        <v>1152</v>
      </c>
      <c r="F1085" s="9" t="s">
        <v>1153</v>
      </c>
      <c r="G1085" s="10">
        <v>46099</v>
      </c>
      <c r="H1085" s="10">
        <v>46134</v>
      </c>
      <c r="I1085">
        <v>33.1</v>
      </c>
      <c r="J1085">
        <v>38.4</v>
      </c>
      <c r="K1085" s="9" t="s">
        <v>1321</v>
      </c>
    </row>
    <row r="1086" spans="1:11" x14ac:dyDescent="0.35">
      <c r="A1086" s="9" t="s">
        <v>2546</v>
      </c>
      <c r="B1086" s="9" t="s">
        <v>1107</v>
      </c>
      <c r="C1086" s="9" t="s">
        <v>46</v>
      </c>
      <c r="D1086" s="9" t="s">
        <v>47</v>
      </c>
      <c r="E1086" s="9" t="s">
        <v>1196</v>
      </c>
      <c r="F1086" s="9" t="s">
        <v>1197</v>
      </c>
      <c r="G1086" s="10">
        <v>46192</v>
      </c>
      <c r="H1086" s="10">
        <v>46208</v>
      </c>
      <c r="I1086">
        <v>29.8</v>
      </c>
      <c r="J1086">
        <v>27.4</v>
      </c>
      <c r="K1086" s="9" t="s">
        <v>1321</v>
      </c>
    </row>
    <row r="1087" spans="1:11" x14ac:dyDescent="0.35">
      <c r="A1087" s="9" t="s">
        <v>2547</v>
      </c>
      <c r="B1087" s="9" t="s">
        <v>1107</v>
      </c>
      <c r="C1087" s="9" t="s">
        <v>46</v>
      </c>
      <c r="D1087" s="9" t="s">
        <v>47</v>
      </c>
      <c r="E1087" s="9" t="s">
        <v>1167</v>
      </c>
      <c r="F1087" s="9" t="s">
        <v>1168</v>
      </c>
      <c r="G1087" s="10">
        <v>45738</v>
      </c>
      <c r="H1087" s="10">
        <v>45744</v>
      </c>
      <c r="I1087">
        <v>2.2999999999999998</v>
      </c>
      <c r="J1087">
        <v>1.8</v>
      </c>
      <c r="K1087" s="9" t="s">
        <v>1321</v>
      </c>
    </row>
    <row r="1088" spans="1:11" x14ac:dyDescent="0.35">
      <c r="A1088" s="9" t="s">
        <v>2548</v>
      </c>
      <c r="B1088" s="9" t="s">
        <v>1109</v>
      </c>
      <c r="C1088" s="9" t="s">
        <v>46</v>
      </c>
      <c r="D1088" s="9" t="s">
        <v>93</v>
      </c>
      <c r="E1088" s="9" t="s">
        <v>1188</v>
      </c>
      <c r="F1088" s="9" t="s">
        <v>1189</v>
      </c>
      <c r="G1088" s="10">
        <v>45887</v>
      </c>
      <c r="H1088" s="10">
        <v>45911</v>
      </c>
      <c r="I1088">
        <v>6.6</v>
      </c>
      <c r="J1088">
        <v>6.7</v>
      </c>
      <c r="K1088" s="9" t="s">
        <v>1321</v>
      </c>
    </row>
    <row r="1089" spans="1:11" x14ac:dyDescent="0.35">
      <c r="A1089" s="9" t="s">
        <v>2549</v>
      </c>
      <c r="B1089" s="9" t="s">
        <v>1109</v>
      </c>
      <c r="C1089" s="9" t="s">
        <v>46</v>
      </c>
      <c r="D1089" s="9" t="s">
        <v>93</v>
      </c>
      <c r="E1089" s="9" t="s">
        <v>1147</v>
      </c>
      <c r="F1089" s="9" t="s">
        <v>1148</v>
      </c>
      <c r="G1089" s="10">
        <v>45857</v>
      </c>
      <c r="H1089" s="10">
        <v>45887</v>
      </c>
      <c r="I1089">
        <v>23.5</v>
      </c>
      <c r="J1089">
        <v>25.8</v>
      </c>
      <c r="K1089" s="9" t="s">
        <v>1321</v>
      </c>
    </row>
    <row r="1090" spans="1:11" x14ac:dyDescent="0.35">
      <c r="A1090" s="9" t="s">
        <v>2550</v>
      </c>
      <c r="B1090" s="9" t="s">
        <v>1111</v>
      </c>
      <c r="C1090" s="9" t="s">
        <v>46</v>
      </c>
      <c r="D1090" s="9" t="s">
        <v>80</v>
      </c>
      <c r="E1090" s="9" t="s">
        <v>1147</v>
      </c>
      <c r="F1090" s="9" t="s">
        <v>1148</v>
      </c>
      <c r="G1090" s="10">
        <v>45768</v>
      </c>
      <c r="H1090" s="10">
        <v>45821</v>
      </c>
      <c r="I1090">
        <v>5.9</v>
      </c>
      <c r="J1090">
        <v>8.1999999999999993</v>
      </c>
      <c r="K1090" s="9" t="s">
        <v>1321</v>
      </c>
    </row>
    <row r="1091" spans="1:11" x14ac:dyDescent="0.35">
      <c r="A1091" s="9" t="s">
        <v>2551</v>
      </c>
      <c r="B1091" s="9" t="s">
        <v>1111</v>
      </c>
      <c r="C1091" s="9" t="s">
        <v>46</v>
      </c>
      <c r="D1091" s="9" t="s">
        <v>80</v>
      </c>
      <c r="E1091" s="9" t="s">
        <v>1152</v>
      </c>
      <c r="F1091" s="9" t="s">
        <v>1153</v>
      </c>
      <c r="G1091" s="10">
        <v>45728</v>
      </c>
      <c r="H1091" s="10">
        <v>45743</v>
      </c>
      <c r="I1091">
        <v>22.5</v>
      </c>
      <c r="J1091">
        <v>20.5</v>
      </c>
      <c r="K1091" s="9" t="s">
        <v>1321</v>
      </c>
    </row>
    <row r="1092" spans="1:11" x14ac:dyDescent="0.35">
      <c r="A1092" s="9" t="s">
        <v>2552</v>
      </c>
      <c r="B1092" s="9" t="s">
        <v>1113</v>
      </c>
      <c r="C1092" s="9" t="s">
        <v>55</v>
      </c>
      <c r="D1092" s="9" t="s">
        <v>112</v>
      </c>
      <c r="E1092" s="9" t="s">
        <v>1193</v>
      </c>
      <c r="F1092" s="9" t="s">
        <v>1194</v>
      </c>
      <c r="G1092" s="10">
        <v>45952</v>
      </c>
      <c r="H1092" s="10">
        <v>46007</v>
      </c>
      <c r="I1092">
        <v>9.6</v>
      </c>
      <c r="J1092">
        <v>13.6</v>
      </c>
      <c r="K1092" s="9" t="s">
        <v>1321</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48E4-7CC0-4D00-96E3-B972677DA59D}">
  <dimension ref="A1:I12"/>
  <sheetViews>
    <sheetView workbookViewId="0"/>
  </sheetViews>
  <sheetFormatPr defaultRowHeight="14.5" x14ac:dyDescent="0.35"/>
  <cols>
    <col min="1" max="1" width="30.7265625" bestFit="1" customWidth="1"/>
    <col min="2" max="2" width="11.81640625" bestFit="1" customWidth="1"/>
    <col min="3" max="3" width="9.81640625" bestFit="1" customWidth="1"/>
    <col min="4" max="4" width="13.6328125" bestFit="1" customWidth="1"/>
    <col min="5" max="5" width="22.90625" bestFit="1" customWidth="1"/>
    <col min="6" max="6" width="11.90625" bestFit="1" customWidth="1"/>
    <col min="7" max="7" width="19.7265625" bestFit="1" customWidth="1"/>
    <col min="8" max="8" width="17" bestFit="1" customWidth="1"/>
    <col min="9" max="9" width="80.7265625" bestFit="1" customWidth="1"/>
  </cols>
  <sheetData>
    <row r="1" spans="1:9" s="3" customFormat="1" x14ac:dyDescent="0.35">
      <c r="A1" s="3" t="s">
        <v>2553</v>
      </c>
      <c r="B1" s="3" t="s">
        <v>2554</v>
      </c>
      <c r="C1" s="3" t="s">
        <v>2555</v>
      </c>
      <c r="D1" s="3" t="s">
        <v>2556</v>
      </c>
      <c r="E1" s="3" t="s">
        <v>2557</v>
      </c>
      <c r="F1" s="3" t="s">
        <v>2558</v>
      </c>
      <c r="G1" s="3" t="s">
        <v>2559</v>
      </c>
      <c r="H1" s="3" t="s">
        <v>2560</v>
      </c>
      <c r="I1" s="3" t="s">
        <v>2561</v>
      </c>
    </row>
    <row r="2" spans="1:9" x14ac:dyDescent="0.35">
      <c r="A2" s="9" t="s">
        <v>2562</v>
      </c>
      <c r="B2" s="9" t="s">
        <v>2563</v>
      </c>
      <c r="C2" s="9" t="s">
        <v>1360</v>
      </c>
      <c r="D2" s="9" t="s">
        <v>2564</v>
      </c>
      <c r="E2">
        <v>0</v>
      </c>
      <c r="F2">
        <v>110</v>
      </c>
      <c r="G2">
        <v>519</v>
      </c>
      <c r="H2">
        <v>21.195</v>
      </c>
      <c r="I2" s="9" t="s">
        <v>2565</v>
      </c>
    </row>
    <row r="3" spans="1:9" x14ac:dyDescent="0.35">
      <c r="A3" s="9" t="s">
        <v>2566</v>
      </c>
      <c r="B3" s="9" t="s">
        <v>2563</v>
      </c>
      <c r="C3" s="9" t="s">
        <v>1360</v>
      </c>
      <c r="D3" s="9" t="s">
        <v>2564</v>
      </c>
      <c r="E3">
        <v>0</v>
      </c>
      <c r="F3">
        <v>20</v>
      </c>
      <c r="G3">
        <v>519</v>
      </c>
      <c r="H3">
        <v>3.8540000000000001</v>
      </c>
      <c r="I3" s="9" t="s">
        <v>2567</v>
      </c>
    </row>
    <row r="4" spans="1:9" x14ac:dyDescent="0.35">
      <c r="A4" s="9" t="s">
        <v>2568</v>
      </c>
      <c r="B4" s="9" t="s">
        <v>2569</v>
      </c>
      <c r="C4" s="9" t="s">
        <v>1360</v>
      </c>
      <c r="D4" s="9" t="s">
        <v>2570</v>
      </c>
      <c r="E4">
        <v>1</v>
      </c>
      <c r="F4">
        <v>14</v>
      </c>
      <c r="G4">
        <v>3011</v>
      </c>
      <c r="H4">
        <v>0.46500000000000002</v>
      </c>
      <c r="I4" s="9" t="s">
        <v>2571</v>
      </c>
    </row>
    <row r="5" spans="1:9" x14ac:dyDescent="0.35">
      <c r="A5" s="9" t="s">
        <v>2572</v>
      </c>
      <c r="B5" s="9" t="s">
        <v>2573</v>
      </c>
      <c r="C5" s="9" t="s">
        <v>1360</v>
      </c>
      <c r="D5" s="9" t="s">
        <v>2570</v>
      </c>
      <c r="E5">
        <v>0</v>
      </c>
      <c r="F5">
        <v>9</v>
      </c>
      <c r="G5">
        <v>1091</v>
      </c>
      <c r="H5">
        <v>0.82499999999999996</v>
      </c>
      <c r="I5" s="9" t="s">
        <v>2574</v>
      </c>
    </row>
    <row r="6" spans="1:9" x14ac:dyDescent="0.35">
      <c r="A6" s="9" t="s">
        <v>2575</v>
      </c>
      <c r="B6" s="9" t="s">
        <v>2569</v>
      </c>
      <c r="C6" s="9" t="s">
        <v>1360</v>
      </c>
      <c r="D6" s="9" t="s">
        <v>2576</v>
      </c>
      <c r="E6">
        <v>1</v>
      </c>
      <c r="F6">
        <v>0</v>
      </c>
      <c r="G6">
        <v>3011</v>
      </c>
      <c r="H6">
        <v>0</v>
      </c>
      <c r="I6" s="9" t="s">
        <v>2577</v>
      </c>
    </row>
    <row r="7" spans="1:9" x14ac:dyDescent="0.35">
      <c r="A7" s="9" t="s">
        <v>2578</v>
      </c>
      <c r="B7" s="9" t="s">
        <v>2563</v>
      </c>
      <c r="C7" s="9" t="s">
        <v>1360</v>
      </c>
      <c r="D7" s="9" t="s">
        <v>2579</v>
      </c>
      <c r="E7">
        <v>1</v>
      </c>
      <c r="F7">
        <v>0</v>
      </c>
      <c r="G7">
        <v>519</v>
      </c>
      <c r="H7">
        <v>0</v>
      </c>
      <c r="I7" s="9" t="s">
        <v>2580</v>
      </c>
    </row>
    <row r="8" spans="1:9" x14ac:dyDescent="0.35">
      <c r="A8" s="9" t="s">
        <v>2581</v>
      </c>
      <c r="B8" s="9" t="s">
        <v>2582</v>
      </c>
      <c r="C8" s="9" t="s">
        <v>1386</v>
      </c>
      <c r="D8" s="9" t="s">
        <v>2583</v>
      </c>
      <c r="E8">
        <v>0</v>
      </c>
      <c r="F8">
        <v>45</v>
      </c>
      <c r="G8">
        <v>1354</v>
      </c>
      <c r="H8">
        <v>3.323</v>
      </c>
      <c r="I8" s="9" t="s">
        <v>2584</v>
      </c>
    </row>
    <row r="9" spans="1:9" x14ac:dyDescent="0.35">
      <c r="A9" s="9" t="s">
        <v>2585</v>
      </c>
      <c r="B9" s="9" t="s">
        <v>2569</v>
      </c>
      <c r="C9" s="9" t="s">
        <v>1386</v>
      </c>
      <c r="D9" s="9" t="s">
        <v>2583</v>
      </c>
      <c r="E9">
        <v>0</v>
      </c>
      <c r="F9">
        <v>22</v>
      </c>
      <c r="G9">
        <v>3011</v>
      </c>
      <c r="H9">
        <v>0.73099999999999998</v>
      </c>
      <c r="I9" s="9" t="s">
        <v>2586</v>
      </c>
    </row>
    <row r="10" spans="1:9" x14ac:dyDescent="0.35">
      <c r="A10" s="9" t="s">
        <v>2587</v>
      </c>
      <c r="B10" s="9" t="s">
        <v>2569</v>
      </c>
      <c r="C10" s="9" t="s">
        <v>1386</v>
      </c>
      <c r="D10" s="9" t="s">
        <v>2588</v>
      </c>
      <c r="E10">
        <v>0</v>
      </c>
      <c r="F10">
        <v>16</v>
      </c>
      <c r="G10">
        <v>3011</v>
      </c>
      <c r="H10">
        <v>0.53100000000000003</v>
      </c>
      <c r="I10" s="9" t="s">
        <v>2589</v>
      </c>
    </row>
    <row r="11" spans="1:9" x14ac:dyDescent="0.35">
      <c r="A11" s="9" t="s">
        <v>2590</v>
      </c>
      <c r="B11" s="9" t="s">
        <v>2591</v>
      </c>
      <c r="C11" s="9" t="s">
        <v>1386</v>
      </c>
      <c r="D11" s="9" t="s">
        <v>2570</v>
      </c>
      <c r="E11">
        <v>0</v>
      </c>
      <c r="F11">
        <v>7</v>
      </c>
      <c r="G11">
        <v>96</v>
      </c>
      <c r="H11">
        <v>7.2919999999999998</v>
      </c>
      <c r="I11" s="9" t="s">
        <v>2592</v>
      </c>
    </row>
    <row r="12" spans="1:9" x14ac:dyDescent="0.35">
      <c r="A12" s="9" t="s">
        <v>2593</v>
      </c>
      <c r="B12" s="9" t="s">
        <v>2582</v>
      </c>
      <c r="C12" s="9" t="s">
        <v>1386</v>
      </c>
      <c r="D12" s="9" t="s">
        <v>2579</v>
      </c>
      <c r="E12">
        <v>0</v>
      </c>
      <c r="F12">
        <v>0</v>
      </c>
      <c r="G12">
        <v>1354</v>
      </c>
      <c r="H12">
        <v>0</v>
      </c>
      <c r="I12" s="9" t="s">
        <v>2594</v>
      </c>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8854-7944-4205-83E2-3A4AB3E028FD}">
  <dimension ref="A1:E6"/>
  <sheetViews>
    <sheetView workbookViewId="0"/>
  </sheetViews>
  <sheetFormatPr defaultRowHeight="14.5" x14ac:dyDescent="0.35"/>
  <cols>
    <col min="1" max="1" width="11.26953125" bestFit="1" customWidth="1"/>
    <col min="2" max="2" width="14" bestFit="1" customWidth="1"/>
    <col min="3" max="3" width="18.36328125" bestFit="1" customWidth="1"/>
    <col min="4" max="4" width="26.6328125" bestFit="1" customWidth="1"/>
    <col min="5" max="5" width="80.7265625" bestFit="1" customWidth="1"/>
  </cols>
  <sheetData>
    <row r="1" spans="1:5" s="3" customFormat="1" x14ac:dyDescent="0.35">
      <c r="A1" s="3" t="s">
        <v>20</v>
      </c>
      <c r="B1" s="3" t="s">
        <v>25</v>
      </c>
      <c r="C1" s="3" t="s">
        <v>2595</v>
      </c>
      <c r="D1" s="3" t="s">
        <v>26</v>
      </c>
      <c r="E1" s="3" t="s">
        <v>2596</v>
      </c>
    </row>
    <row r="2" spans="1:5" x14ac:dyDescent="0.35">
      <c r="A2" s="9" t="s">
        <v>134</v>
      </c>
      <c r="B2" s="9" t="s">
        <v>135</v>
      </c>
      <c r="C2">
        <v>4</v>
      </c>
      <c r="D2">
        <v>1</v>
      </c>
      <c r="E2" s="9" t="s">
        <v>2597</v>
      </c>
    </row>
    <row r="3" spans="1:5" x14ac:dyDescent="0.35">
      <c r="A3" s="9" t="s">
        <v>45</v>
      </c>
      <c r="B3" s="9" t="s">
        <v>50</v>
      </c>
      <c r="C3">
        <v>3</v>
      </c>
      <c r="D3">
        <v>0</v>
      </c>
      <c r="E3" s="9" t="s">
        <v>2598</v>
      </c>
    </row>
    <row r="4" spans="1:5" x14ac:dyDescent="0.35">
      <c r="A4" s="9" t="s">
        <v>54</v>
      </c>
      <c r="B4" s="9" t="s">
        <v>50</v>
      </c>
      <c r="C4">
        <v>3</v>
      </c>
      <c r="D4">
        <v>1</v>
      </c>
      <c r="E4" s="9" t="s">
        <v>2599</v>
      </c>
    </row>
    <row r="5" spans="1:5" x14ac:dyDescent="0.35">
      <c r="A5" s="9" t="s">
        <v>68</v>
      </c>
      <c r="B5" s="9" t="s">
        <v>65</v>
      </c>
      <c r="C5">
        <v>2</v>
      </c>
      <c r="D5">
        <v>0</v>
      </c>
      <c r="E5" s="9" t="s">
        <v>2600</v>
      </c>
    </row>
    <row r="6" spans="1:5" x14ac:dyDescent="0.35">
      <c r="A6" s="9" t="s">
        <v>61</v>
      </c>
      <c r="B6" s="9" t="s">
        <v>65</v>
      </c>
      <c r="C6">
        <v>2</v>
      </c>
      <c r="D6">
        <v>0</v>
      </c>
      <c r="E6" s="9" t="s">
        <v>2601</v>
      </c>
    </row>
  </sheetData>
  <phoneticPr fontId="6"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5AF5-85C6-44D6-8E80-5D03A692C39E}">
  <dimension ref="A1:D26"/>
  <sheetViews>
    <sheetView workbookViewId="0"/>
  </sheetViews>
  <sheetFormatPr defaultRowHeight="14.5" x14ac:dyDescent="0.35"/>
  <cols>
    <col min="1" max="1" width="12.1796875" bestFit="1" customWidth="1"/>
    <col min="2" max="2" width="9" bestFit="1" customWidth="1"/>
    <col min="3" max="3" width="15.54296875" bestFit="1" customWidth="1"/>
    <col min="4" max="4" width="15" bestFit="1" customWidth="1"/>
  </cols>
  <sheetData>
    <row r="1" spans="1:4" s="3" customFormat="1" x14ac:dyDescent="0.35">
      <c r="A1" s="3" t="s">
        <v>1307</v>
      </c>
      <c r="B1" s="3" t="s">
        <v>1308</v>
      </c>
      <c r="C1" s="3" t="s">
        <v>1309</v>
      </c>
      <c r="D1" s="3" t="s">
        <v>1310</v>
      </c>
    </row>
    <row r="2" spans="1:4" x14ac:dyDescent="0.35">
      <c r="A2">
        <v>1</v>
      </c>
      <c r="B2">
        <v>1</v>
      </c>
      <c r="C2">
        <v>1</v>
      </c>
      <c r="D2" s="9" t="s">
        <v>1424</v>
      </c>
    </row>
    <row r="3" spans="1:4" x14ac:dyDescent="0.35">
      <c r="A3">
        <v>1</v>
      </c>
      <c r="B3">
        <v>2</v>
      </c>
      <c r="C3">
        <v>2</v>
      </c>
      <c r="D3" s="9" t="s">
        <v>1424</v>
      </c>
    </row>
    <row r="4" spans="1:4" x14ac:dyDescent="0.35">
      <c r="A4">
        <v>1</v>
      </c>
      <c r="B4">
        <v>3</v>
      </c>
      <c r="C4">
        <v>3</v>
      </c>
      <c r="D4" s="9" t="s">
        <v>1424</v>
      </c>
    </row>
    <row r="5" spans="1:4" x14ac:dyDescent="0.35">
      <c r="A5">
        <v>1</v>
      </c>
      <c r="B5">
        <v>4</v>
      </c>
      <c r="C5">
        <v>8</v>
      </c>
      <c r="D5" s="9" t="s">
        <v>1386</v>
      </c>
    </row>
    <row r="6" spans="1:4" x14ac:dyDescent="0.35">
      <c r="A6">
        <v>1</v>
      </c>
      <c r="B6">
        <v>5</v>
      </c>
      <c r="C6">
        <v>10</v>
      </c>
      <c r="D6" s="9" t="s">
        <v>1360</v>
      </c>
    </row>
    <row r="7" spans="1:4" x14ac:dyDescent="0.35">
      <c r="A7">
        <v>2</v>
      </c>
      <c r="B7">
        <v>1</v>
      </c>
      <c r="C7">
        <v>2</v>
      </c>
      <c r="D7" s="9" t="s">
        <v>1424</v>
      </c>
    </row>
    <row r="8" spans="1:4" x14ac:dyDescent="0.35">
      <c r="A8">
        <v>2</v>
      </c>
      <c r="B8">
        <v>2</v>
      </c>
      <c r="C8">
        <v>4</v>
      </c>
      <c r="D8" s="9" t="s">
        <v>1424</v>
      </c>
    </row>
    <row r="9" spans="1:4" x14ac:dyDescent="0.35">
      <c r="A9">
        <v>2</v>
      </c>
      <c r="B9">
        <v>3</v>
      </c>
      <c r="C9">
        <v>6</v>
      </c>
      <c r="D9" s="9" t="s">
        <v>1386</v>
      </c>
    </row>
    <row r="10" spans="1:4" x14ac:dyDescent="0.35">
      <c r="A10">
        <v>2</v>
      </c>
      <c r="B10">
        <v>4</v>
      </c>
      <c r="C10">
        <v>10</v>
      </c>
      <c r="D10" s="9" t="s">
        <v>1386</v>
      </c>
    </row>
    <row r="11" spans="1:4" x14ac:dyDescent="0.35">
      <c r="A11">
        <v>2</v>
      </c>
      <c r="B11">
        <v>5</v>
      </c>
      <c r="C11">
        <v>15</v>
      </c>
      <c r="D11" s="9" t="s">
        <v>1360</v>
      </c>
    </row>
    <row r="12" spans="1:4" x14ac:dyDescent="0.35">
      <c r="A12">
        <v>3</v>
      </c>
      <c r="B12">
        <v>1</v>
      </c>
      <c r="C12">
        <v>3</v>
      </c>
      <c r="D12" s="9" t="s">
        <v>1424</v>
      </c>
    </row>
    <row r="13" spans="1:4" x14ac:dyDescent="0.35">
      <c r="A13">
        <v>3</v>
      </c>
      <c r="B13">
        <v>2</v>
      </c>
      <c r="C13">
        <v>6</v>
      </c>
      <c r="D13" s="9" t="s">
        <v>1386</v>
      </c>
    </row>
    <row r="14" spans="1:4" x14ac:dyDescent="0.35">
      <c r="A14">
        <v>3</v>
      </c>
      <c r="B14">
        <v>3</v>
      </c>
      <c r="C14">
        <v>9</v>
      </c>
      <c r="D14" s="9" t="s">
        <v>1386</v>
      </c>
    </row>
    <row r="15" spans="1:4" x14ac:dyDescent="0.35">
      <c r="A15">
        <v>3</v>
      </c>
      <c r="B15">
        <v>4</v>
      </c>
      <c r="C15">
        <v>14</v>
      </c>
      <c r="D15" s="9" t="s">
        <v>1360</v>
      </c>
    </row>
    <row r="16" spans="1:4" x14ac:dyDescent="0.35">
      <c r="A16">
        <v>3</v>
      </c>
      <c r="B16">
        <v>5</v>
      </c>
      <c r="C16">
        <v>20</v>
      </c>
      <c r="D16" s="9" t="s">
        <v>1320</v>
      </c>
    </row>
    <row r="17" spans="1:4" x14ac:dyDescent="0.35">
      <c r="A17">
        <v>4</v>
      </c>
      <c r="B17">
        <v>1</v>
      </c>
      <c r="C17">
        <v>4</v>
      </c>
      <c r="D17" s="9" t="s">
        <v>1424</v>
      </c>
    </row>
    <row r="18" spans="1:4" x14ac:dyDescent="0.35">
      <c r="A18">
        <v>4</v>
      </c>
      <c r="B18">
        <v>2</v>
      </c>
      <c r="C18">
        <v>8</v>
      </c>
      <c r="D18" s="9" t="s">
        <v>1386</v>
      </c>
    </row>
    <row r="19" spans="1:4" x14ac:dyDescent="0.35">
      <c r="A19">
        <v>4</v>
      </c>
      <c r="B19">
        <v>3</v>
      </c>
      <c r="C19">
        <v>14</v>
      </c>
      <c r="D19" s="9" t="s">
        <v>1360</v>
      </c>
    </row>
    <row r="20" spans="1:4" x14ac:dyDescent="0.35">
      <c r="A20">
        <v>4</v>
      </c>
      <c r="B20">
        <v>4</v>
      </c>
      <c r="C20">
        <v>18</v>
      </c>
      <c r="D20" s="9" t="s">
        <v>1360</v>
      </c>
    </row>
    <row r="21" spans="1:4" x14ac:dyDescent="0.35">
      <c r="A21">
        <v>4</v>
      </c>
      <c r="B21">
        <v>5</v>
      </c>
      <c r="C21">
        <v>24</v>
      </c>
      <c r="D21" s="9" t="s">
        <v>1320</v>
      </c>
    </row>
    <row r="22" spans="1:4" x14ac:dyDescent="0.35">
      <c r="A22">
        <v>5</v>
      </c>
      <c r="B22">
        <v>1</v>
      </c>
      <c r="C22">
        <v>5</v>
      </c>
      <c r="D22" s="9" t="s">
        <v>1386</v>
      </c>
    </row>
    <row r="23" spans="1:4" x14ac:dyDescent="0.35">
      <c r="A23">
        <v>5</v>
      </c>
      <c r="B23">
        <v>2</v>
      </c>
      <c r="C23">
        <v>10</v>
      </c>
      <c r="D23" s="9" t="s">
        <v>1386</v>
      </c>
    </row>
    <row r="24" spans="1:4" x14ac:dyDescent="0.35">
      <c r="A24">
        <v>5</v>
      </c>
      <c r="B24">
        <v>3</v>
      </c>
      <c r="C24">
        <v>17</v>
      </c>
      <c r="D24" s="9" t="s">
        <v>1360</v>
      </c>
    </row>
    <row r="25" spans="1:4" x14ac:dyDescent="0.35">
      <c r="A25">
        <v>5</v>
      </c>
      <c r="B25">
        <v>4</v>
      </c>
      <c r="C25">
        <v>22</v>
      </c>
      <c r="D25" s="9" t="s">
        <v>1320</v>
      </c>
    </row>
    <row r="26" spans="1:4" x14ac:dyDescent="0.35">
      <c r="A26">
        <v>5</v>
      </c>
      <c r="B26">
        <v>5</v>
      </c>
      <c r="C26">
        <v>25</v>
      </c>
      <c r="D26" s="9" t="s">
        <v>1320</v>
      </c>
    </row>
  </sheetData>
  <phoneticPr fontId="6"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BD23-4EE3-415D-8A9D-06F81A44052A}">
  <dimension ref="A1:F9"/>
  <sheetViews>
    <sheetView workbookViewId="0"/>
  </sheetViews>
  <sheetFormatPr defaultRowHeight="14.5" x14ac:dyDescent="0.35"/>
  <cols>
    <col min="1" max="1" width="20.90625" bestFit="1" customWidth="1"/>
    <col min="2" max="2" width="12.90625" bestFit="1" customWidth="1"/>
    <col min="3" max="3" width="14.7265625" bestFit="1" customWidth="1"/>
    <col min="4" max="4" width="11.08984375" bestFit="1" customWidth="1"/>
    <col min="5" max="5" width="7.1796875" bestFit="1" customWidth="1"/>
    <col min="6" max="6" width="80.7265625" bestFit="1" customWidth="1"/>
  </cols>
  <sheetData>
    <row r="1" spans="1:6" s="3" customFormat="1" x14ac:dyDescent="0.35">
      <c r="A1" s="3" t="s">
        <v>2602</v>
      </c>
      <c r="B1" s="3" t="s">
        <v>2603</v>
      </c>
      <c r="C1" s="3" t="s">
        <v>2604</v>
      </c>
      <c r="D1" s="3" t="s">
        <v>2605</v>
      </c>
      <c r="E1" s="3" t="s">
        <v>2606</v>
      </c>
      <c r="F1" s="3" t="s">
        <v>2607</v>
      </c>
    </row>
    <row r="2" spans="1:6" x14ac:dyDescent="0.35">
      <c r="A2" s="9" t="s">
        <v>1281</v>
      </c>
      <c r="B2">
        <v>5</v>
      </c>
      <c r="C2">
        <v>12</v>
      </c>
      <c r="D2" s="9" t="s">
        <v>2608</v>
      </c>
      <c r="E2" s="9" t="s">
        <v>2609</v>
      </c>
      <c r="F2" s="9" t="s">
        <v>2610</v>
      </c>
    </row>
    <row r="3" spans="1:6" x14ac:dyDescent="0.35">
      <c r="A3" s="9" t="s">
        <v>1282</v>
      </c>
      <c r="B3">
        <v>0</v>
      </c>
      <c r="C3">
        <v>2</v>
      </c>
      <c r="D3" s="9" t="s">
        <v>2608</v>
      </c>
      <c r="E3" s="9" t="s">
        <v>2611</v>
      </c>
      <c r="F3" s="9" t="s">
        <v>2612</v>
      </c>
    </row>
    <row r="4" spans="1:6" x14ac:dyDescent="0.35">
      <c r="A4" s="9" t="s">
        <v>1283</v>
      </c>
      <c r="B4">
        <v>10</v>
      </c>
      <c r="C4">
        <v>25</v>
      </c>
      <c r="D4" s="9" t="s">
        <v>2608</v>
      </c>
      <c r="E4" s="9" t="s">
        <v>2609</v>
      </c>
      <c r="F4" s="9" t="s">
        <v>2613</v>
      </c>
    </row>
    <row r="5" spans="1:6" x14ac:dyDescent="0.35">
      <c r="A5" s="9" t="s">
        <v>1276</v>
      </c>
      <c r="B5">
        <v>100</v>
      </c>
      <c r="C5">
        <v>95</v>
      </c>
      <c r="D5" s="9" t="s">
        <v>2614</v>
      </c>
      <c r="E5" s="9" t="s">
        <v>2609</v>
      </c>
      <c r="F5" s="9" t="s">
        <v>2615</v>
      </c>
    </row>
    <row r="6" spans="1:6" x14ac:dyDescent="0.35">
      <c r="A6" s="9" t="s">
        <v>1274</v>
      </c>
      <c r="B6">
        <v>100</v>
      </c>
      <c r="C6">
        <v>95</v>
      </c>
      <c r="D6" s="9" t="s">
        <v>2614</v>
      </c>
      <c r="E6" s="9" t="s">
        <v>2609</v>
      </c>
      <c r="F6" s="9" t="s">
        <v>2616</v>
      </c>
    </row>
    <row r="7" spans="1:6" x14ac:dyDescent="0.35">
      <c r="A7" s="9" t="s">
        <v>1275</v>
      </c>
      <c r="B7">
        <v>15</v>
      </c>
      <c r="C7">
        <v>30</v>
      </c>
      <c r="D7" s="9" t="s">
        <v>2608</v>
      </c>
      <c r="E7" s="9" t="s">
        <v>2609</v>
      </c>
      <c r="F7" s="9" t="s">
        <v>2617</v>
      </c>
    </row>
    <row r="8" spans="1:6" x14ac:dyDescent="0.35">
      <c r="A8" s="9" t="s">
        <v>1273</v>
      </c>
      <c r="B8">
        <v>95</v>
      </c>
      <c r="C8">
        <v>85</v>
      </c>
      <c r="D8" s="9" t="s">
        <v>2614</v>
      </c>
      <c r="E8" s="9" t="s">
        <v>2609</v>
      </c>
      <c r="F8" s="9" t="s">
        <v>2618</v>
      </c>
    </row>
    <row r="9" spans="1:6" x14ac:dyDescent="0.35">
      <c r="A9" s="9" t="s">
        <v>1272</v>
      </c>
      <c r="B9">
        <v>95</v>
      </c>
      <c r="C9">
        <v>85</v>
      </c>
      <c r="D9" s="9" t="s">
        <v>2614</v>
      </c>
      <c r="E9" s="9" t="s">
        <v>2609</v>
      </c>
      <c r="F9" s="9" t="s">
        <v>2619</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F830-391C-44D2-8DBE-20ED44E1E161}">
  <dimension ref="A1:A38"/>
  <sheetViews>
    <sheetView tabSelected="1" workbookViewId="0"/>
  </sheetViews>
  <sheetFormatPr defaultRowHeight="14.5" x14ac:dyDescent="0.35"/>
  <cols>
    <col min="1" max="1" width="108.6328125" customWidth="1"/>
  </cols>
  <sheetData>
    <row r="1" spans="1:1" ht="19.5" x14ac:dyDescent="0.45">
      <c r="A1" s="12" t="s">
        <v>2713</v>
      </c>
    </row>
    <row r="3" spans="1:1" x14ac:dyDescent="0.35">
      <c r="A3" s="7" t="s">
        <v>2714</v>
      </c>
    </row>
    <row r="4" spans="1:1" x14ac:dyDescent="0.35">
      <c r="A4" t="s">
        <v>2715</v>
      </c>
    </row>
    <row r="6" spans="1:1" x14ac:dyDescent="0.35">
      <c r="A6" s="7" t="s">
        <v>2716</v>
      </c>
    </row>
    <row r="7" spans="1:1" x14ac:dyDescent="0.35">
      <c r="A7" t="s">
        <v>2717</v>
      </c>
    </row>
    <row r="9" spans="1:1" x14ac:dyDescent="0.35">
      <c r="A9" s="7" t="s">
        <v>2718</v>
      </c>
    </row>
    <row r="10" spans="1:1" x14ac:dyDescent="0.35">
      <c r="A10" t="s">
        <v>2719</v>
      </c>
    </row>
    <row r="11" spans="1:1" x14ac:dyDescent="0.35">
      <c r="A11" t="s">
        <v>2720</v>
      </c>
    </row>
    <row r="12" spans="1:1" x14ac:dyDescent="0.35">
      <c r="A12" t="s">
        <v>2721</v>
      </c>
    </row>
    <row r="13" spans="1:1" x14ac:dyDescent="0.35">
      <c r="A13" t="s">
        <v>2722</v>
      </c>
    </row>
    <row r="14" spans="1:1" x14ac:dyDescent="0.35">
      <c r="A14" s="7"/>
    </row>
    <row r="15" spans="1:1" x14ac:dyDescent="0.35">
      <c r="A15" t="s">
        <v>2723</v>
      </c>
    </row>
    <row r="16" spans="1:1" x14ac:dyDescent="0.35">
      <c r="A16" t="s">
        <v>2724</v>
      </c>
    </row>
    <row r="17" spans="1:1" x14ac:dyDescent="0.35">
      <c r="A17" t="s">
        <v>2725</v>
      </c>
    </row>
    <row r="18" spans="1:1" x14ac:dyDescent="0.35">
      <c r="A18" t="s">
        <v>2726</v>
      </c>
    </row>
    <row r="19" spans="1:1" x14ac:dyDescent="0.35">
      <c r="A19" s="7"/>
    </row>
    <row r="20" spans="1:1" x14ac:dyDescent="0.35">
      <c r="A20" t="s">
        <v>2727</v>
      </c>
    </row>
    <row r="21" spans="1:1" x14ac:dyDescent="0.35">
      <c r="A21" t="s">
        <v>2728</v>
      </c>
    </row>
    <row r="22" spans="1:1" x14ac:dyDescent="0.35">
      <c r="A22" t="s">
        <v>2729</v>
      </c>
    </row>
    <row r="23" spans="1:1" x14ac:dyDescent="0.35">
      <c r="A23" t="s">
        <v>2730</v>
      </c>
    </row>
    <row r="24" spans="1:1" x14ac:dyDescent="0.35">
      <c r="A24" t="s">
        <v>2731</v>
      </c>
    </row>
    <row r="25" spans="1:1" x14ac:dyDescent="0.35">
      <c r="A25" t="s">
        <v>2732</v>
      </c>
    </row>
    <row r="26" spans="1:1" x14ac:dyDescent="0.35">
      <c r="A26" t="s">
        <v>2733</v>
      </c>
    </row>
    <row r="27" spans="1:1" x14ac:dyDescent="0.35">
      <c r="A27" t="s">
        <v>2734</v>
      </c>
    </row>
    <row r="28" spans="1:1" x14ac:dyDescent="0.35">
      <c r="A28" t="s">
        <v>2735</v>
      </c>
    </row>
    <row r="29" spans="1:1" x14ac:dyDescent="0.35">
      <c r="A29" s="7"/>
    </row>
    <row r="30" spans="1:1" x14ac:dyDescent="0.35">
      <c r="A30" t="s">
        <v>2736</v>
      </c>
    </row>
    <row r="31" spans="1:1" x14ac:dyDescent="0.35">
      <c r="A31" t="s">
        <v>2737</v>
      </c>
    </row>
    <row r="32" spans="1:1" x14ac:dyDescent="0.35">
      <c r="A32" t="s">
        <v>2738</v>
      </c>
    </row>
    <row r="33" spans="1:1" x14ac:dyDescent="0.35">
      <c r="A33" t="s">
        <v>2739</v>
      </c>
    </row>
    <row r="34" spans="1:1" x14ac:dyDescent="0.35">
      <c r="A34" s="7"/>
    </row>
    <row r="35" spans="1:1" x14ac:dyDescent="0.35">
      <c r="A35" t="s">
        <v>16</v>
      </c>
    </row>
    <row r="36" spans="1:1" x14ac:dyDescent="0.35">
      <c r="A36" t="s">
        <v>2740</v>
      </c>
    </row>
    <row r="37" spans="1:1" x14ac:dyDescent="0.35">
      <c r="A37" t="s">
        <v>2741</v>
      </c>
    </row>
    <row r="38" spans="1:1" x14ac:dyDescent="0.35">
      <c r="A38" t="s">
        <v>2742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0DE2-E03F-4236-BC89-3CBB85DD0571}">
  <dimension ref="A1:F38"/>
  <sheetViews>
    <sheetView workbookViewId="0"/>
  </sheetViews>
  <sheetFormatPr defaultRowHeight="14.5" x14ac:dyDescent="0.35"/>
  <cols>
    <col min="1" max="1" width="30.6328125" customWidth="1"/>
    <col min="2" max="2" width="14.6328125" customWidth="1"/>
    <col min="3" max="3" width="74.6328125" customWidth="1"/>
    <col min="4" max="4" width="12.6328125" customWidth="1"/>
    <col min="5" max="5" width="14.6328125" customWidth="1"/>
    <col min="6" max="6" width="16.6328125" customWidth="1"/>
  </cols>
  <sheetData>
    <row r="1" spans="1:5" ht="19.5" x14ac:dyDescent="0.45">
      <c r="A1" s="12" t="s">
        <v>2625</v>
      </c>
    </row>
    <row r="2" spans="1:5" x14ac:dyDescent="0.35">
      <c r="A2" s="13" t="str">
        <f>"Assessed against build "&amp;AsOfBuild&amp;"  |  as of "&amp;TEXT(AsOfDate,"d mmmm yyyy")&amp;"  |  every figure below is a formula over the extracts, not a pasted value"</f>
        <v>Assessed against build 88  |  as of 30 September 2026  |  every figure below is a formula over the extracts, not a pasted value</v>
      </c>
    </row>
    <row r="4" spans="1:5" x14ac:dyDescent="0.35">
      <c r="A4" s="4" t="s">
        <v>2626</v>
      </c>
      <c r="B4" s="14"/>
      <c r="C4" s="14"/>
      <c r="D4" s="14"/>
      <c r="E4" s="14"/>
    </row>
    <row r="5" spans="1:5" x14ac:dyDescent="0.35">
      <c r="A5" s="6" t="s">
        <v>2627</v>
      </c>
      <c r="B5" s="6" t="s">
        <v>3</v>
      </c>
      <c r="C5" s="6" t="s">
        <v>2628</v>
      </c>
    </row>
    <row r="6" spans="1:5" ht="16" x14ac:dyDescent="0.4">
      <c r="A6" t="s">
        <v>2629</v>
      </c>
      <c r="B6" s="17">
        <f>COUNTIF(tWork[WorkItemStatus],"Closed")/COUNTA(tWork[WorkItemID])*100</f>
        <v>93.858845096241978</v>
      </c>
      <c r="C6" t="s">
        <v>2630</v>
      </c>
    </row>
    <row r="7" spans="1:5" ht="16" x14ac:dyDescent="0.4">
      <c r="A7" t="s">
        <v>2631</v>
      </c>
      <c r="B7" s="17">
        <f>COUNTIF(tReq[HasEvidence],1)/COUNTA(tReq[RequirementID])*100</f>
        <v>96.531791907514446</v>
      </c>
      <c r="C7" t="s">
        <v>2632</v>
      </c>
    </row>
    <row r="8" spans="1:5" ht="16" x14ac:dyDescent="0.4">
      <c r="A8" s="15" t="s">
        <v>2633</v>
      </c>
      <c r="B8" s="16">
        <f>COUNTIFS(tReq[Priority],"MustShip",tReq[IsCurrent],1)/COUNTIF(tReq[Priority],"MustShip")*100</f>
        <v>51.957295373665481</v>
      </c>
      <c r="C8" s="15" t="s">
        <v>2634</v>
      </c>
    </row>
    <row r="9" spans="1:5" ht="16" x14ac:dyDescent="0.4">
      <c r="A9" t="s">
        <v>2635</v>
      </c>
      <c r="B9" s="18">
        <f>B6-B8</f>
        <v>41.901549722576497</v>
      </c>
      <c r="C9" t="s">
        <v>2636</v>
      </c>
    </row>
    <row r="11" spans="1:5" x14ac:dyDescent="0.35">
      <c r="A11" s="4" t="s">
        <v>2637</v>
      </c>
      <c r="B11" s="14"/>
      <c r="C11" s="14"/>
      <c r="D11" s="14"/>
      <c r="E11" s="14"/>
    </row>
    <row r="12" spans="1:5" x14ac:dyDescent="0.35">
      <c r="A12" s="6" t="s">
        <v>2638</v>
      </c>
      <c r="B12" s="6" t="s">
        <v>3</v>
      </c>
      <c r="C12" s="6" t="s">
        <v>2639</v>
      </c>
      <c r="D12" s="6" t="s">
        <v>2640</v>
      </c>
      <c r="E12" s="6" t="s">
        <v>2641</v>
      </c>
    </row>
    <row r="13" spans="1:5" x14ac:dyDescent="0.35">
      <c r="A13" t="s">
        <v>2642</v>
      </c>
      <c r="B13" s="19">
        <f>COUNTIFS(tReq[Priority],"MustShip",tReq[IsCurrent],1)/COUNTIF(tReq[Priority],"MustShip")*100</f>
        <v>51.957295373665481</v>
      </c>
      <c r="C13">
        <f>INDEX(tTargets[TargetValue],MATCH("ShipReadinessPct",tTargets[MetricName],0))</f>
        <v>100</v>
      </c>
      <c r="D13">
        <f>INDEX(tTargets[WarningValue],MATCH("ShipReadinessPct",tTargets[MetricName],0))</f>
        <v>95</v>
      </c>
      <c r="E13" t="str">
        <f>IF(INDEX(tTargets[Direction],MATCH("ShipReadinessPct",tTargets[MetricName],0))="HigherBetter",IF(B13&gt;=C13,"Green",IF(B13&gt;=D13,"Amber","Red")),IF(B13&lt;=C13,"Green",IF(B13&lt;=D13,"Amber","Red")))</f>
        <v>Red</v>
      </c>
    </row>
    <row r="14" spans="1:5" x14ac:dyDescent="0.35">
      <c r="A14" t="s">
        <v>2643</v>
      </c>
      <c r="B14" s="19">
        <f>COUNTIF(tReq[HasEvidence],1)/COUNTA(tReq[RequirementID])*100</f>
        <v>96.531791907514446</v>
      </c>
      <c r="C14">
        <f>INDEX(tTargets[TargetValue],MATCH("VerificationCoveragePct",tTargets[MetricName],0))</f>
        <v>95</v>
      </c>
      <c r="D14">
        <f>INDEX(tTargets[WarningValue],MATCH("VerificationCoveragePct",tTargets[MetricName],0))</f>
        <v>85</v>
      </c>
      <c r="E14" t="str">
        <f>IF(INDEX(tTargets[Direction],MATCH("VerificationCoveragePct",tTargets[MetricName],0))="HigherBetter",IF(B14&gt;=C14,"Green",IF(B14&gt;=D14,"Amber","Red")),IF(B14&lt;=C14,"Green",IF(B14&lt;=D14,"Amber","Red")))</f>
        <v>Green</v>
      </c>
    </row>
    <row r="15" spans="1:5" x14ac:dyDescent="0.35">
      <c r="A15" t="s">
        <v>2644</v>
      </c>
      <c r="B15" s="19">
        <f>SUMPRODUCT((tReq[MeetsPolicy]=1)*(((tReq[StaleByCode]=1)+(tReq[StaleByRequirement]=1))&gt;0))/COUNTIF(tReq[MeetsPolicy],1)*100</f>
        <v>24.484536082474225</v>
      </c>
      <c r="C15">
        <f>INDEX(tTargets[TargetValue],MATCH("StaleVerificationPct",tTargets[MetricName],0))</f>
        <v>15</v>
      </c>
      <c r="D15">
        <f>INDEX(tTargets[WarningValue],MATCH("StaleVerificationPct",tTargets[MetricName],0))</f>
        <v>30</v>
      </c>
      <c r="E15" t="str">
        <f>IF(INDEX(tTargets[Direction],MATCH("StaleVerificationPct",tTargets[MetricName],0))="HigherBetter",IF(B15&gt;=C15,"Green",IF(B15&gt;=D15,"Amber","Red")),IF(B15&lt;=C15,"Green",IF(B15&lt;=D15,"Amber","Red")))</f>
        <v>Amber</v>
      </c>
    </row>
    <row r="16" spans="1:5" x14ac:dyDescent="0.35">
      <c r="A16" t="s">
        <v>2645</v>
      </c>
      <c r="B16" s="19">
        <f>COUNTIFS(tReq[HasEvidence],1,tReq[MeetsPolicy],1)/COUNTIF(tReq[HasEvidence],1)*100</f>
        <v>77.445109780439125</v>
      </c>
      <c r="C16">
        <f>INDEX(tTargets[TargetValue],MATCH("PolicyCompliancePct",tTargets[MetricName],0))</f>
        <v>100</v>
      </c>
      <c r="D16">
        <f>INDEX(tTargets[WarningValue],MATCH("PolicyCompliancePct",tTargets[MetricName],0))</f>
        <v>95</v>
      </c>
      <c r="E16" t="str">
        <f>IF(INDEX(tTargets[Direction],MATCH("PolicyCompliancePct",tTargets[MetricName],0))="HigherBetter",IF(B16&gt;=C16,"Green",IF(B16&gt;=D16,"Amber","Red")),IF(B16&lt;=C16,"Green",IF(B16&lt;=D16,"Amber","Red")))</f>
        <v>Red</v>
      </c>
    </row>
    <row r="17" spans="1:6" x14ac:dyDescent="0.35">
      <c r="A17" t="s">
        <v>2646</v>
      </c>
      <c r="B17" s="19">
        <f>COUNTIF(tWork[WorkItemStatus],"Closed")/COUNTA(tWork[WorkItemID])*100</f>
        <v>93.858845096241978</v>
      </c>
      <c r="C17">
        <f>INDEX(tTargets[TargetValue],MATCH("WorkItemCompletionPct",tTargets[MetricName],0))</f>
        <v>95</v>
      </c>
      <c r="D17">
        <f>INDEX(tTargets[WarningValue],MATCH("WorkItemCompletionPct",tTargets[MetricName],0))</f>
        <v>85</v>
      </c>
      <c r="E17" t="str">
        <f>IF(INDEX(tTargets[Direction],MATCH("WorkItemCompletionPct",tTargets[MetricName],0))="HigherBetter",IF(B17&gt;=C17,"Green",IF(B17&gt;=D17,"Amber","Red")),IF(B17&lt;=C17,"Green",IF(B17&lt;=D17,"Amber","Red")))</f>
        <v>Amber</v>
      </c>
    </row>
    <row r="18" spans="1:6" x14ac:dyDescent="0.35">
      <c r="A18" t="s">
        <v>2647</v>
      </c>
      <c r="B18" s="20">
        <f>COUNTIFS(tRAID[ExposureBand],"Critical",tRAID[IsOpen],1)</f>
        <v>9</v>
      </c>
      <c r="C18">
        <f>INDEX(tTargets[TargetValue],MATCH("CriticalRAIDOpen",tTargets[MetricName],0))</f>
        <v>0</v>
      </c>
      <c r="D18">
        <f>INDEX(tTargets[WarningValue],MATCH("CriticalRAIDOpen",tTargets[MetricName],0))</f>
        <v>2</v>
      </c>
      <c r="E18" t="str">
        <f>IF(INDEX(tTargets[Direction],MATCH("CriticalRAIDOpen",tTargets[MetricName],0))="HigherBetter",IF(B18&gt;=C18,"Green",IF(B18&gt;=D18,"Amber","Red")),IF(B18&lt;=C18,"Green",IF(B18&lt;=D18,"Amber","Red")))</f>
        <v>Red</v>
      </c>
    </row>
    <row r="19" spans="1:6" x14ac:dyDescent="0.35">
      <c r="A19" t="s">
        <v>2648</v>
      </c>
      <c r="B19" s="19">
        <f>COUNTIF(tRAID[IsOverdue],1)/COUNTIF(tRAID[IsOpen],1)*100</f>
        <v>57.777777777777771</v>
      </c>
      <c r="C19">
        <f>INDEX(tTargets[TargetValue],MATCH("OverdueRAIDPct",tTargets[MetricName],0))</f>
        <v>10</v>
      </c>
      <c r="D19">
        <f>INDEX(tTargets[WarningValue],MATCH("OverdueRAIDPct",tTargets[MetricName],0))</f>
        <v>25</v>
      </c>
      <c r="E19" t="str">
        <f>IF(INDEX(tTargets[Direction],MATCH("OverdueRAIDPct",tTargets[MetricName],0))="HigherBetter",IF(B19&gt;=C19,"Green",IF(B19&gt;=D19,"Amber","Red")),IF(B19&lt;=C19,"Green",IF(B19&lt;=D19,"Amber","Red")))</f>
        <v>Red</v>
      </c>
    </row>
    <row r="22" spans="1:6" x14ac:dyDescent="0.35">
      <c r="A22" s="4" t="s">
        <v>2649</v>
      </c>
      <c r="B22" s="14"/>
      <c r="C22" s="14"/>
      <c r="D22" s="14"/>
      <c r="E22" s="14"/>
      <c r="F22" s="14"/>
    </row>
    <row r="23" spans="1:6" x14ac:dyDescent="0.35">
      <c r="A23" s="6" t="s">
        <v>2650</v>
      </c>
      <c r="B23" s="6" t="s">
        <v>24</v>
      </c>
      <c r="C23" s="6" t="s">
        <v>2651</v>
      </c>
      <c r="D23" s="6" t="s">
        <v>51</v>
      </c>
      <c r="E23" s="6" t="s">
        <v>2652</v>
      </c>
      <c r="F23" s="6" t="s">
        <v>2653</v>
      </c>
    </row>
    <row r="24" spans="1:6" x14ac:dyDescent="0.35">
      <c r="A24" t="str">
        <f>INDEX(tSub[SubsystemName],1)</f>
        <v>Flight Control Interface</v>
      </c>
      <c r="B24" t="str">
        <f>INDEX(tSub[Criticality],1)</f>
        <v>Safety</v>
      </c>
      <c r="C24">
        <f>INDEX(tSub[MustShip],1)</f>
        <v>47</v>
      </c>
      <c r="D24">
        <f>INDEX(tSub[CurrentMustShip],1)</f>
        <v>11</v>
      </c>
      <c r="E24" s="19">
        <f>IF(C24=0,0,D24/C24*100)</f>
        <v>23.404255319148938</v>
      </c>
      <c r="F24">
        <f>INDEX(tSub[BuildsChanged],1)</f>
        <v>45</v>
      </c>
    </row>
    <row r="25" spans="1:6" x14ac:dyDescent="0.35">
      <c r="A25" t="str">
        <f>INDEX(tSub[SubsystemName],2)</f>
        <v>Payload Release Mechanism</v>
      </c>
      <c r="B25" t="str">
        <f>INDEX(tSub[Criticality],2)</f>
        <v>Safety</v>
      </c>
      <c r="C25">
        <f>INDEX(tSub[MustShip],2)</f>
        <v>62</v>
      </c>
      <c r="D25">
        <f>INDEX(tSub[CurrentMustShip],2)</f>
        <v>20</v>
      </c>
      <c r="E25" s="19">
        <f>IF(C25=0,0,D25/C25*100)</f>
        <v>32.258064516129032</v>
      </c>
      <c r="F25">
        <f>INDEX(tSub[BuildsChanged],2)</f>
        <v>42</v>
      </c>
    </row>
    <row r="26" spans="1:6" x14ac:dyDescent="0.35">
      <c r="A26" t="str">
        <f>INDEX(tSub[SubsystemName],3)</f>
        <v>Power Management</v>
      </c>
      <c r="B26" t="str">
        <f>INDEX(tSub[Criticality],3)</f>
        <v>Mission</v>
      </c>
      <c r="C26">
        <f>INDEX(tSub[MustShip],3)</f>
        <v>37</v>
      </c>
      <c r="D26">
        <f>INDEX(tSub[CurrentMustShip],3)</f>
        <v>22</v>
      </c>
      <c r="E26" s="19">
        <f>IF(C26=0,0,D26/C26*100)</f>
        <v>59.45945945945946</v>
      </c>
      <c r="F26">
        <f>INDEX(tSub[BuildsChanged],3)</f>
        <v>15</v>
      </c>
    </row>
    <row r="27" spans="1:6" x14ac:dyDescent="0.35">
      <c r="A27" t="str">
        <f>INDEX(tSub[SubsystemName],4)</f>
        <v>Command &amp; Telemetry Link</v>
      </c>
      <c r="B27" t="str">
        <f>INDEX(tSub[Criticality],4)</f>
        <v>Mission</v>
      </c>
      <c r="C27">
        <f>INDEX(tSub[MustShip],4)</f>
        <v>43</v>
      </c>
      <c r="D27">
        <f>INDEX(tSub[CurrentMustShip],4)</f>
        <v>26</v>
      </c>
      <c r="E27" s="19">
        <f>IF(C27=0,0,D27/C27*100)</f>
        <v>60.465116279069761</v>
      </c>
      <c r="F27">
        <f>INDEX(tSub[BuildsChanged],4)</f>
        <v>23</v>
      </c>
    </row>
    <row r="28" spans="1:6" x14ac:dyDescent="0.35">
      <c r="A28" t="str">
        <f>INDEX(tSub[SubsystemName],5)</f>
        <v>Structural Interface</v>
      </c>
      <c r="B28" t="str">
        <f>INDEX(tSub[Criticality],5)</f>
        <v>Safety</v>
      </c>
      <c r="C28">
        <f>INDEX(tSub[MustShip],5)</f>
        <v>19</v>
      </c>
      <c r="D28">
        <f>INDEX(tSub[CurrentMustShip],5)</f>
        <v>13</v>
      </c>
      <c r="E28" s="19">
        <f>IF(C28=0,0,D28/C28*100)</f>
        <v>68.421052631578945</v>
      </c>
      <c r="F28">
        <f>INDEX(tSub[BuildsChanged],5)</f>
        <v>15</v>
      </c>
    </row>
    <row r="29" spans="1:6" x14ac:dyDescent="0.35">
      <c r="A29" t="str">
        <f>INDEX(tSub[SubsystemName],6)</f>
        <v>Ground Control Software</v>
      </c>
      <c r="B29" t="str">
        <f>INDEX(tSub[Criticality],6)</f>
        <v>Support</v>
      </c>
      <c r="C29">
        <f>INDEX(tSub[MustShip],6)</f>
        <v>28</v>
      </c>
      <c r="D29">
        <f>INDEX(tSub[CurrentMustShip],6)</f>
        <v>20</v>
      </c>
      <c r="E29" s="19">
        <f>IF(C29=0,0,D29/C29*100)</f>
        <v>71.428571428571431</v>
      </c>
      <c r="F29">
        <f>INDEX(tSub[BuildsChanged],6)</f>
        <v>21</v>
      </c>
    </row>
    <row r="30" spans="1:6" x14ac:dyDescent="0.35">
      <c r="A30" t="str">
        <f>INDEX(tSub[SubsystemName],7)</f>
        <v>Navigation &amp; Sensor Fusion</v>
      </c>
      <c r="B30" t="str">
        <f>INDEX(tSub[Criticality],7)</f>
        <v>Mission</v>
      </c>
      <c r="C30">
        <f>INDEX(tSub[MustShip],7)</f>
        <v>33</v>
      </c>
      <c r="D30">
        <f>INDEX(tSub[CurrentMustShip],7)</f>
        <v>24</v>
      </c>
      <c r="E30" s="19">
        <f>IF(C30=0,0,D30/C30*100)</f>
        <v>72.727272727272734</v>
      </c>
      <c r="F30">
        <f>INDEX(tSub[BuildsChanged],7)</f>
        <v>17</v>
      </c>
    </row>
    <row r="31" spans="1:6" x14ac:dyDescent="0.35">
      <c r="A31" t="str">
        <f>INDEX(tSub[SubsystemName],8)</f>
        <v>Diagnostics &amp; Logging</v>
      </c>
      <c r="B31" t="str">
        <f>INDEX(tSub[Criticality],8)</f>
        <v>Support</v>
      </c>
      <c r="C31">
        <f>INDEX(tSub[MustShip],8)</f>
        <v>12</v>
      </c>
      <c r="D31">
        <f>INDEX(tSub[CurrentMustShip],8)</f>
        <v>10</v>
      </c>
      <c r="E31" s="19">
        <f>IF(C31=0,0,D31/C31*100)</f>
        <v>83.333333333333343</v>
      </c>
      <c r="F31">
        <f>INDEX(tSub[BuildsChanged],8)</f>
        <v>18</v>
      </c>
    </row>
    <row r="33" spans="1:5" x14ac:dyDescent="0.35">
      <c r="A33" s="4" t="s">
        <v>2654</v>
      </c>
      <c r="B33" s="14"/>
      <c r="C33" s="14"/>
      <c r="D33" s="14"/>
      <c r="E33" s="14"/>
    </row>
    <row r="34" spans="1:5" x14ac:dyDescent="0.35">
      <c r="A34" t="s">
        <v>2655</v>
      </c>
      <c r="B34">
        <f>COUNTA(tQueue[RequirementID])</f>
        <v>226</v>
      </c>
    </row>
    <row r="35" spans="1:5" x14ac:dyDescent="0.35">
      <c r="A35" t="s">
        <v>2656</v>
      </c>
      <c r="B35" s="21">
        <f>SUM(tQueue[RigHours])</f>
        <v>425</v>
      </c>
    </row>
    <row r="36" spans="1:5" x14ac:dyDescent="0.35">
      <c r="A36" t="s">
        <v>2657</v>
      </c>
      <c r="B36" s="21">
        <f>B35/RigHoursPerWeek</f>
        <v>2.3611111111111112</v>
      </c>
      <c r="C36" t="s">
        <v>2658</v>
      </c>
    </row>
    <row r="37" spans="1:5" x14ac:dyDescent="0.35">
      <c r="A37" t="s">
        <v>2659</v>
      </c>
      <c r="B37">
        <f>SUM(CalcWithinWeek)</f>
        <v>69</v>
      </c>
    </row>
    <row r="38" spans="1:5" x14ac:dyDescent="0.35">
      <c r="A38" t="s">
        <v>2660</v>
      </c>
      <c r="B38" s="21">
        <f>SUM(tQueue[AirframeHours])</f>
        <v>272</v>
      </c>
      <c r="C38" t="s">
        <v>2661</v>
      </c>
    </row>
  </sheetData>
  <conditionalFormatting sqref="E13:E19">
    <cfRule type="cellIs" dxfId="7" priority="1" stopIfTrue="1" operator="equal">
      <formula>"Green"</formula>
    </cfRule>
    <cfRule type="cellIs" dxfId="6" priority="2" stopIfTrue="1" operator="equal">
      <formula>"Amber"</formula>
    </cfRule>
    <cfRule type="cellIs" dxfId="5" priority="3" stopIfTrue="1" operator="equal">
      <formula>"Red"</formula>
    </cfRule>
  </conditionalFormatting>
  <conditionalFormatting sqref="E24:E31">
    <cfRule type="cellIs" dxfId="4" priority="4" stopIfTrue="1" operator="lessThan">
      <formula>40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8722-1B86-4507-B43D-3FE74EC37ACC}">
  <dimension ref="A1:L34"/>
  <sheetViews>
    <sheetView workbookViewId="0"/>
  </sheetViews>
  <sheetFormatPr defaultRowHeight="14.5" x14ac:dyDescent="0.35"/>
  <cols>
    <col min="1" max="1" width="6.6328125" customWidth="1"/>
    <col min="2" max="2" width="13.6328125" customWidth="1"/>
    <col min="3" max="3" width="12.6328125" customWidth="1"/>
    <col min="4" max="4" width="13.6328125" customWidth="1"/>
    <col min="5" max="5" width="12.6328125" customWidth="1"/>
    <col min="6" max="7" width="22.6328125" customWidth="1"/>
    <col min="12" max="12" width="96.6328125" customWidth="1"/>
  </cols>
  <sheetData>
    <row r="1" spans="1:12" ht="18.5" x14ac:dyDescent="0.45">
      <c r="A1" s="22" t="s">
        <v>2662</v>
      </c>
    </row>
    <row r="2" spans="1:12" x14ac:dyDescent="0.35">
      <c r="A2" s="13" t="str">
        <f>"Ranked by priority score. The first "&amp;SUM(CalcWithinWeek)&amp;" rows fit inside "&amp;RigHoursPerWeek&amp;" rig hours -- one week. A list of everything outstanding is not a plan."</f>
        <v>Ranked by priority score. The first 69 rows fit inside 180 rig hours -- one week. A list of everything outstanding is not a plan.</v>
      </c>
    </row>
    <row r="4" spans="1:12" x14ac:dyDescent="0.35">
      <c r="A4" s="4" t="s">
        <v>2621</v>
      </c>
      <c r="B4" s="4" t="s">
        <v>2563</v>
      </c>
      <c r="C4" s="4" t="s">
        <v>2650</v>
      </c>
      <c r="D4" s="4" t="s">
        <v>2663</v>
      </c>
      <c r="E4" s="4" t="s">
        <v>21</v>
      </c>
      <c r="F4" s="4" t="s">
        <v>2664</v>
      </c>
      <c r="G4" s="4" t="s">
        <v>2665</v>
      </c>
      <c r="H4" s="4" t="s">
        <v>2666</v>
      </c>
      <c r="I4" s="4" t="s">
        <v>2667</v>
      </c>
      <c r="J4" s="4" t="s">
        <v>2668</v>
      </c>
      <c r="K4" s="4" t="s">
        <v>2669</v>
      </c>
      <c r="L4" s="4" t="s">
        <v>2670</v>
      </c>
    </row>
    <row r="5" spans="1:12" x14ac:dyDescent="0.35">
      <c r="A5">
        <f>1</f>
        <v>1</v>
      </c>
      <c r="B5" t="str">
        <f>INDEX(tQueue[RequirementID],MATCH($A5,tQueue[PriorityRank],0))</f>
        <v>REQ-0287</v>
      </c>
      <c r="C5" t="str">
        <f>INDEX(tQueue[SubsystemCode],MATCH($A5,tQueue[PriorityRank],0))</f>
        <v>REL-MECH</v>
      </c>
      <c r="D5" t="str">
        <f>INDEX(tQueue[ReqType],MATCH($A5,tQueue[PriorityRank],0))</f>
        <v>Interface</v>
      </c>
      <c r="E5" t="str">
        <f>INDEX(tQueue[Priority],MATCH($A5,tQueue[PriorityRank],0))</f>
        <v>MustShip</v>
      </c>
      <c r="F5" t="str">
        <f>INDEX(tQueue[OwnerName],MATCH($A5,tQueue[PriorityRank],0))</f>
        <v>Imani Petrovic</v>
      </c>
      <c r="G5" t="str">
        <f>INDEX(tQueue[ActionCode],MATCH($A5,tQueue[PriorityRank],0))</f>
        <v>REVIEW_THEN_RERUN</v>
      </c>
      <c r="H5" s="21">
        <f>INDEX(tQueue[RigHours],MATCH($A5,tQueue[PriorityRank],0))</f>
        <v>2.5</v>
      </c>
      <c r="I5" s="21">
        <f>INDEX(tQueue[AirframeHours],MATCH($A5,tQueue[PriorityRank],0))</f>
        <v>0</v>
      </c>
      <c r="J5" s="21">
        <f>INDEX(tQueue[CumulativeRigHours],MATCH($A5,tQueue[PriorityRank],0))</f>
        <v>2.5</v>
      </c>
      <c r="K5">
        <f>INDEX(tQueue[IsThisWeek],MATCH($A5,tQueue[PriorityRank],0))</f>
        <v>1</v>
      </c>
      <c r="L5" t="str">
        <f>INDEX(tQueue[RecommendedAction],MATCH($A5,tQueue[PriorityRank],0))</f>
        <v>The requirement itself was modified after it was verified. Confirm the test still checks the right thing, then re-run -- re-running first risks certifying against the old wording.</v>
      </c>
    </row>
    <row r="6" spans="1:12" x14ac:dyDescent="0.35">
      <c r="A6">
        <f>2</f>
        <v>2</v>
      </c>
      <c r="B6" t="str">
        <f>INDEX(tQueue[RequirementID],MATCH($A6,tQueue[PriorityRank],0))</f>
        <v>REQ-0397</v>
      </c>
      <c r="C6" t="str">
        <f>INDEX(tQueue[SubsystemCode],MATCH($A6,tQueue[PriorityRank],0))</f>
        <v>REL-MECH</v>
      </c>
      <c r="D6" t="str">
        <f>INDEX(tQueue[ReqType],MATCH($A6,tQueue[PriorityRank],0))</f>
        <v>Functional</v>
      </c>
      <c r="E6" t="str">
        <f>INDEX(tQueue[Priority],MATCH($A6,tQueue[PriorityRank],0))</f>
        <v>MustShip</v>
      </c>
      <c r="F6" t="str">
        <f>INDEX(tQueue[OwnerName],MATCH($A6,tQueue[PriorityRank],0))</f>
        <v>Grace Baptiste</v>
      </c>
      <c r="G6" t="str">
        <f>INDEX(tQueue[ActionCode],MATCH($A6,tQueue[PriorityRank],0))</f>
        <v>REVIEW_THEN_RERUN</v>
      </c>
      <c r="H6" s="21">
        <f>INDEX(tQueue[RigHours],MATCH($A6,tQueue[PriorityRank],0))</f>
        <v>2.5</v>
      </c>
      <c r="I6" s="21">
        <f>INDEX(tQueue[AirframeHours],MATCH($A6,tQueue[PriorityRank],0))</f>
        <v>0</v>
      </c>
      <c r="J6" s="21">
        <f>INDEX(tQueue[CumulativeRigHours],MATCH($A6,tQueue[PriorityRank],0))</f>
        <v>5</v>
      </c>
      <c r="K6">
        <f>INDEX(tQueue[IsThisWeek],MATCH($A6,tQueue[PriorityRank],0))</f>
        <v>1</v>
      </c>
      <c r="L6" t="str">
        <f>INDEX(tQueue[RecommendedAction],MATCH($A6,tQueue[PriorityRank],0))</f>
        <v>The requirement itself was modified after it was verified. Confirm the test still checks the right thing, then re-run -- re-running first risks certifying against the old wording.</v>
      </c>
    </row>
    <row r="7" spans="1:12" x14ac:dyDescent="0.35">
      <c r="A7">
        <f>3</f>
        <v>3</v>
      </c>
      <c r="B7" t="str">
        <f>INDEX(tQueue[RequirementID],MATCH($A7,tQueue[PriorityRank],0))</f>
        <v>REQ-0253</v>
      </c>
      <c r="C7" t="str">
        <f>INDEX(tQueue[SubsystemCode],MATCH($A7,tQueue[PriorityRank],0))</f>
        <v>FLT-CTRL</v>
      </c>
      <c r="D7" t="str">
        <f>INDEX(tQueue[ReqType],MATCH($A7,tQueue[PriorityRank],0))</f>
        <v>Regulatory</v>
      </c>
      <c r="E7" t="str">
        <f>INDEX(tQueue[Priority],MATCH($A7,tQueue[PriorityRank],0))</f>
        <v>MustShip</v>
      </c>
      <c r="F7" t="str">
        <f>INDEX(tQueue[OwnerName],MATCH($A7,tQueue[PriorityRank],0))</f>
        <v>Sana Nakamura</v>
      </c>
      <c r="G7" t="str">
        <f>INDEX(tQueue[ActionCode],MATCH($A7,tQueue[PriorityRank],0))</f>
        <v>REVIEW_THEN_RERUN</v>
      </c>
      <c r="H7" s="21">
        <f>INDEX(tQueue[RigHours],MATCH($A7,tQueue[PriorityRank],0))</f>
        <v>0</v>
      </c>
      <c r="I7" s="21">
        <f>INDEX(tQueue[AirframeHours],MATCH($A7,tQueue[PriorityRank],0))</f>
        <v>24</v>
      </c>
      <c r="J7" s="21">
        <f>INDEX(tQueue[CumulativeRigHours],MATCH($A7,tQueue[PriorityRank],0))</f>
        <v>5</v>
      </c>
      <c r="K7">
        <f>INDEX(tQueue[IsThisWeek],MATCH($A7,tQueue[PriorityRank],0))</f>
        <v>0</v>
      </c>
      <c r="L7" t="str">
        <f>INDEX(tQueue[RecommendedAction],MATCH($A7,tQueue[PriorityRank],0))</f>
        <v>The requirement itself was modified after it was verified. Confirm the test still checks the right thing, then re-run -- re-running first risks certifying against the old wording.</v>
      </c>
    </row>
    <row r="8" spans="1:12" x14ac:dyDescent="0.35">
      <c r="A8">
        <f>4</f>
        <v>4</v>
      </c>
      <c r="B8" t="str">
        <f>INDEX(tQueue[RequirementID],MATCH($A8,tQueue[PriorityRank],0))</f>
        <v>REQ-0211</v>
      </c>
      <c r="C8" t="str">
        <f>INDEX(tQueue[SubsystemCode],MATCH($A8,tQueue[PriorityRank],0))</f>
        <v>REL-MECH</v>
      </c>
      <c r="D8" t="str">
        <f>INDEX(tQueue[ReqType],MATCH($A8,tQueue[PriorityRank],0))</f>
        <v>Interface</v>
      </c>
      <c r="E8" t="str">
        <f>INDEX(tQueue[Priority],MATCH($A8,tQueue[PriorityRank],0))</f>
        <v>MustShip</v>
      </c>
      <c r="F8" t="str">
        <f>INDEX(tQueue[OwnerName],MATCH($A8,tQueue[PriorityRank],0))</f>
        <v>Ulrike Dalgleish</v>
      </c>
      <c r="G8" t="str">
        <f>INDEX(tQueue[ActionCode],MATCH($A8,tQueue[PriorityRank],0))</f>
        <v>VERIFY</v>
      </c>
      <c r="H8" s="21">
        <f>INDEX(tQueue[RigHours],MATCH($A8,tQueue[PriorityRank],0))</f>
        <v>0</v>
      </c>
      <c r="I8" s="21">
        <f>INDEX(tQueue[AirframeHours],MATCH($A8,tQueue[PriorityRank],0))</f>
        <v>0</v>
      </c>
      <c r="J8" s="21">
        <f>INDEX(tQueue[CumulativeRigHours],MATCH($A8,tQueue[PriorityRank],0))</f>
        <v>5</v>
      </c>
      <c r="K8">
        <f>INDEX(tQueue[IsThisWeek],MATCH($A8,tQueue[PriorityRank],0))</f>
        <v>1</v>
      </c>
      <c r="L8" t="str">
        <f>INDEX(tQueue[RecommendedAction],MATCH($A8,tQueue[PriorityRank],0))</f>
        <v>No passing evidence exists. Write and run the test before the gate review; this is not a re-run, it is first-time verification.</v>
      </c>
    </row>
    <row r="9" spans="1:12" x14ac:dyDescent="0.35">
      <c r="A9">
        <f>5</f>
        <v>5</v>
      </c>
      <c r="B9" t="str">
        <f>INDEX(tQueue[RequirementID],MATCH($A9,tQueue[PriorityRank],0))</f>
        <v>REQ-0266</v>
      </c>
      <c r="C9" t="str">
        <f>INDEX(tQueue[SubsystemCode],MATCH($A9,tQueue[PriorityRank],0))</f>
        <v>REL-MECH</v>
      </c>
      <c r="D9" t="str">
        <f>INDEX(tQueue[ReqType],MATCH($A9,tQueue[PriorityRank],0))</f>
        <v>Interface</v>
      </c>
      <c r="E9" t="str">
        <f>INDEX(tQueue[Priority],MATCH($A9,tQueue[PriorityRank],0))</f>
        <v>MustShip</v>
      </c>
      <c r="F9" t="str">
        <f>INDEX(tQueue[OwnerName],MATCH($A9,tQueue[PriorityRank],0))</f>
        <v>Aditi Halvorsen</v>
      </c>
      <c r="G9" t="str">
        <f>INDEX(tQueue[ActionCode],MATCH($A9,tQueue[PriorityRank],0))</f>
        <v>VERIFY</v>
      </c>
      <c r="H9" s="21">
        <f>INDEX(tQueue[RigHours],MATCH($A9,tQueue[PriorityRank],0))</f>
        <v>0</v>
      </c>
      <c r="I9" s="21">
        <f>INDEX(tQueue[AirframeHours],MATCH($A9,tQueue[PriorityRank],0))</f>
        <v>0</v>
      </c>
      <c r="J9" s="21">
        <f>INDEX(tQueue[CumulativeRigHours],MATCH($A9,tQueue[PriorityRank],0))</f>
        <v>5</v>
      </c>
      <c r="K9">
        <f>INDEX(tQueue[IsThisWeek],MATCH($A9,tQueue[PriorityRank],0))</f>
        <v>1</v>
      </c>
      <c r="L9" t="str">
        <f>INDEX(tQueue[RecommendedAction],MATCH($A9,tQueue[PriorityRank],0))</f>
        <v>No passing evidence exists. Write and run the test before the gate review; this is not a re-run, it is first-time verification.</v>
      </c>
    </row>
    <row r="10" spans="1:12" x14ac:dyDescent="0.35">
      <c r="A10">
        <f>6</f>
        <v>6</v>
      </c>
      <c r="B10" t="str">
        <f>INDEX(tQueue[RequirementID],MATCH($A10,tQueue[PriorityRank],0))</f>
        <v>REQ-0449</v>
      </c>
      <c r="C10" t="str">
        <f>INDEX(tQueue[SubsystemCode],MATCH($A10,tQueue[PriorityRank],0))</f>
        <v>REL-MECH</v>
      </c>
      <c r="D10" t="str">
        <f>INDEX(tQueue[ReqType],MATCH($A10,tQueue[PriorityRank],0))</f>
        <v>Safety</v>
      </c>
      <c r="E10" t="str">
        <f>INDEX(tQueue[Priority],MATCH($A10,tQueue[PriorityRank],0))</f>
        <v>MustShip</v>
      </c>
      <c r="F10" t="str">
        <f>INDEX(tQueue[OwnerName],MATCH($A10,tQueue[PriorityRank],0))</f>
        <v>Katya Fairweather</v>
      </c>
      <c r="G10" t="str">
        <f>INDEX(tQueue[ActionCode],MATCH($A10,tQueue[PriorityRank],0))</f>
        <v>VERIFY</v>
      </c>
      <c r="H10" s="21">
        <f>INDEX(tQueue[RigHours],MATCH($A10,tQueue[PriorityRank],0))</f>
        <v>5</v>
      </c>
      <c r="I10" s="21">
        <f>INDEX(tQueue[AirframeHours],MATCH($A10,tQueue[PriorityRank],0))</f>
        <v>0</v>
      </c>
      <c r="J10" s="21">
        <f>INDEX(tQueue[CumulativeRigHours],MATCH($A10,tQueue[PriorityRank],0))</f>
        <v>10</v>
      </c>
      <c r="K10">
        <f>INDEX(tQueue[IsThisWeek],MATCH($A10,tQueue[PriorityRank],0))</f>
        <v>1</v>
      </c>
      <c r="L10" t="str">
        <f>INDEX(tQueue[RecommendedAction],MATCH($A10,tQueue[PriorityRank],0))</f>
        <v>No passing evidence exists. Write and run the test before the gate review; this is not a re-run, it is first-time verification.</v>
      </c>
    </row>
    <row r="11" spans="1:12" x14ac:dyDescent="0.35">
      <c r="A11">
        <f>7</f>
        <v>7</v>
      </c>
      <c r="B11" t="str">
        <f>INDEX(tQueue[RequirementID],MATCH($A11,tQueue[PriorityRank],0))</f>
        <v>REQ-0176</v>
      </c>
      <c r="C11" t="str">
        <f>INDEX(tQueue[SubsystemCode],MATCH($A11,tQueue[PriorityRank],0))</f>
        <v>REL-MECH</v>
      </c>
      <c r="D11" t="str">
        <f>INDEX(tQueue[ReqType],MATCH($A11,tQueue[PriorityRank],0))</f>
        <v>Regulatory</v>
      </c>
      <c r="E11" t="str">
        <f>INDEX(tQueue[Priority],MATCH($A11,tQueue[PriorityRank],0))</f>
        <v>MustShip</v>
      </c>
      <c r="F11" t="str">
        <f>INDEX(tQueue[OwnerName],MATCH($A11,tQueue[PriorityRank],0))</f>
        <v>Hiroshi Ibarra</v>
      </c>
      <c r="G11" t="str">
        <f>INDEX(tQueue[ActionCode],MATCH($A11,tQueue[PriorityRank],0))</f>
        <v>VERIFY</v>
      </c>
      <c r="H11" s="21">
        <f>INDEX(tQueue[RigHours],MATCH($A11,tQueue[PriorityRank],0))</f>
        <v>0</v>
      </c>
      <c r="I11" s="21">
        <f>INDEX(tQueue[AirframeHours],MATCH($A11,tQueue[PriorityRank],0))</f>
        <v>8</v>
      </c>
      <c r="J11" s="21">
        <f>INDEX(tQueue[CumulativeRigHours],MATCH($A11,tQueue[PriorityRank],0))</f>
        <v>10</v>
      </c>
      <c r="K11">
        <f>INDEX(tQueue[IsThisWeek],MATCH($A11,tQueue[PriorityRank],0))</f>
        <v>0</v>
      </c>
      <c r="L11" t="str">
        <f>INDEX(tQueue[RecommendedAction],MATCH($A11,tQueue[PriorityRank],0))</f>
        <v>No passing evidence exists. Write and run the test before the gate review; this is not a re-run, it is first-time verification.</v>
      </c>
    </row>
    <row r="12" spans="1:12" x14ac:dyDescent="0.35">
      <c r="A12">
        <f>8</f>
        <v>8</v>
      </c>
      <c r="B12" t="str">
        <f>INDEX(tQueue[RequirementID],MATCH($A12,tQueue[PriorityRank],0))</f>
        <v>REQ-0085</v>
      </c>
      <c r="C12" t="str">
        <f>INDEX(tQueue[SubsystemCode],MATCH($A12,tQueue[PriorityRank],0))</f>
        <v>REL-MECH</v>
      </c>
      <c r="D12" t="str">
        <f>INDEX(tQueue[ReqType],MATCH($A12,tQueue[PriorityRank],0))</f>
        <v>Interface</v>
      </c>
      <c r="E12" t="str">
        <f>INDEX(tQueue[Priority],MATCH($A12,tQueue[PriorityRank],0))</f>
        <v>MustShip</v>
      </c>
      <c r="F12" t="str">
        <f>INDEX(tQueue[OwnerName],MATCH($A12,tQueue[PriorityRank],0))</f>
        <v>Imani Petrovic</v>
      </c>
      <c r="G12" t="str">
        <f>INDEX(tQueue[ActionCode],MATCH($A12,tQueue[PriorityRank],0))</f>
        <v>RERUN</v>
      </c>
      <c r="H12" s="21">
        <f>INDEX(tQueue[RigHours],MATCH($A12,tQueue[PriorityRank],0))</f>
        <v>0</v>
      </c>
      <c r="I12" s="21">
        <f>INDEX(tQueue[AirframeHours],MATCH($A12,tQueue[PriorityRank],0))</f>
        <v>0</v>
      </c>
      <c r="J12" s="21">
        <f>INDEX(tQueue[CumulativeRigHours],MATCH($A12,tQueue[PriorityRank],0))</f>
        <v>10</v>
      </c>
      <c r="K12">
        <f>INDEX(tQueue[IsThisWeek],MATCH($A12,tQueue[PriorityRank],0))</f>
        <v>1</v>
      </c>
      <c r="L12" t="str">
        <f>INDEX(tQueue[RecommendedAction],MATCH($A12,tQueue[PriorityRank],0))</f>
        <v>Evidence was valid at build 59 but the subsystem has changed in 21 builds since. Re-run on the release candidate.</v>
      </c>
    </row>
    <row r="13" spans="1:12" x14ac:dyDescent="0.35">
      <c r="A13">
        <f>9</f>
        <v>9</v>
      </c>
      <c r="B13" t="str">
        <f>INDEX(tQueue[RequirementID],MATCH($A13,tQueue[PriorityRank],0))</f>
        <v>REQ-0260</v>
      </c>
      <c r="C13" t="str">
        <f>INDEX(tQueue[SubsystemCode],MATCH($A13,tQueue[PriorityRank],0))</f>
        <v>REL-MECH</v>
      </c>
      <c r="D13" t="str">
        <f>INDEX(tQueue[ReqType],MATCH($A13,tQueue[PriorityRank],0))</f>
        <v>Interface</v>
      </c>
      <c r="E13" t="str">
        <f>INDEX(tQueue[Priority],MATCH($A13,tQueue[PriorityRank],0))</f>
        <v>MustShip</v>
      </c>
      <c r="F13" t="str">
        <f>INDEX(tQueue[OwnerName],MATCH($A13,tQueue[PriorityRank],0))</f>
        <v>Quentin Zielinski</v>
      </c>
      <c r="G13" t="str">
        <f>INDEX(tQueue[ActionCode],MATCH($A13,tQueue[PriorityRank],0))</f>
        <v>RERUN</v>
      </c>
      <c r="H13" s="21">
        <f>INDEX(tQueue[RigHours],MATCH($A13,tQueue[PriorityRank],0))</f>
        <v>0</v>
      </c>
      <c r="I13" s="21">
        <f>INDEX(tQueue[AirframeHours],MATCH($A13,tQueue[PriorityRank],0))</f>
        <v>0</v>
      </c>
      <c r="J13" s="21">
        <f>INDEX(tQueue[CumulativeRigHours],MATCH($A13,tQueue[PriorityRank],0))</f>
        <v>10</v>
      </c>
      <c r="K13">
        <f>INDEX(tQueue[IsThisWeek],MATCH($A13,tQueue[PriorityRank],0))</f>
        <v>1</v>
      </c>
      <c r="L13" t="str">
        <f>INDEX(tQueue[RecommendedAction],MATCH($A13,tQueue[PriorityRank],0))</f>
        <v>Evidence was valid at build 55 but the subsystem has changed in 22 builds since. Re-run on the release candidate.</v>
      </c>
    </row>
    <row r="14" spans="1:12" x14ac:dyDescent="0.35">
      <c r="A14">
        <f>10</f>
        <v>10</v>
      </c>
      <c r="B14" t="str">
        <f>INDEX(tQueue[RequirementID],MATCH($A14,tQueue[PriorityRank],0))</f>
        <v>REQ-0338</v>
      </c>
      <c r="C14" t="str">
        <f>INDEX(tQueue[SubsystemCode],MATCH($A14,tQueue[PriorityRank],0))</f>
        <v>REL-MECH</v>
      </c>
      <c r="D14" t="str">
        <f>INDEX(tQueue[ReqType],MATCH($A14,tQueue[PriorityRank],0))</f>
        <v>Functional</v>
      </c>
      <c r="E14" t="str">
        <f>INDEX(tQueue[Priority],MATCH($A14,tQueue[PriorityRank],0))</f>
        <v>MustShip</v>
      </c>
      <c r="F14" t="str">
        <f>INDEX(tQueue[OwnerName],MATCH($A14,tQueue[PriorityRank],0))</f>
        <v>Elena Lindqvist</v>
      </c>
      <c r="G14" t="str">
        <f>INDEX(tQueue[ActionCode],MATCH($A14,tQueue[PriorityRank],0))</f>
        <v>RERUN</v>
      </c>
      <c r="H14" s="21">
        <f>INDEX(tQueue[RigHours],MATCH($A14,tQueue[PriorityRank],0))</f>
        <v>0</v>
      </c>
      <c r="I14" s="21">
        <f>INDEX(tQueue[AirframeHours],MATCH($A14,tQueue[PriorityRank],0))</f>
        <v>0</v>
      </c>
      <c r="J14" s="21">
        <f>INDEX(tQueue[CumulativeRigHours],MATCH($A14,tQueue[PriorityRank],0))</f>
        <v>10</v>
      </c>
      <c r="K14">
        <f>INDEX(tQueue[IsThisWeek],MATCH($A14,tQueue[PriorityRank],0))</f>
        <v>1</v>
      </c>
      <c r="L14" t="str">
        <f>INDEX(tQueue[RecommendedAction],MATCH($A14,tQueue[PriorityRank],0))</f>
        <v>Evidence was valid at build 67 but the subsystem has changed in 15 builds since. Re-run on the release candidate.</v>
      </c>
    </row>
    <row r="15" spans="1:12" x14ac:dyDescent="0.35">
      <c r="A15">
        <f>11</f>
        <v>11</v>
      </c>
      <c r="B15" t="str">
        <f>INDEX(tQueue[RequirementID],MATCH($A15,tQueue[PriorityRank],0))</f>
        <v>REQ-0340</v>
      </c>
      <c r="C15" t="str">
        <f>INDEX(tQueue[SubsystemCode],MATCH($A15,tQueue[PriorityRank],0))</f>
        <v>FLT-CTRL</v>
      </c>
      <c r="D15" t="str">
        <f>INDEX(tQueue[ReqType],MATCH($A15,tQueue[PriorityRank],0))</f>
        <v>Functional</v>
      </c>
      <c r="E15" t="str">
        <f>INDEX(tQueue[Priority],MATCH($A15,tQueue[PriorityRank],0))</f>
        <v>MustShip</v>
      </c>
      <c r="F15" t="str">
        <f>INDEX(tQueue[OwnerName],MATCH($A15,tQueue[PriorityRank],0))</f>
        <v>Farid Saltzman</v>
      </c>
      <c r="G15" t="str">
        <f>INDEX(tQueue[ActionCode],MATCH($A15,tQueue[PriorityRank],0))</f>
        <v>RERUN</v>
      </c>
      <c r="H15" s="21">
        <f>INDEX(tQueue[RigHours],MATCH($A15,tQueue[PriorityRank],0))</f>
        <v>0</v>
      </c>
      <c r="I15" s="21">
        <f>INDEX(tQueue[AirframeHours],MATCH($A15,tQueue[PriorityRank],0))</f>
        <v>0</v>
      </c>
      <c r="J15" s="21">
        <f>INDEX(tQueue[CumulativeRigHours],MATCH($A15,tQueue[PriorityRank],0))</f>
        <v>10</v>
      </c>
      <c r="K15">
        <f>INDEX(tQueue[IsThisWeek],MATCH($A15,tQueue[PriorityRank],0))</f>
        <v>1</v>
      </c>
      <c r="L15" t="str">
        <f>INDEX(tQueue[RecommendedAction],MATCH($A15,tQueue[PriorityRank],0))</f>
        <v>Evidence was valid at build 42 but the subsystem has changed in 27 builds since. Re-run on the release candidate.</v>
      </c>
    </row>
    <row r="16" spans="1:12" x14ac:dyDescent="0.35">
      <c r="A16">
        <f>12</f>
        <v>12</v>
      </c>
      <c r="B16" t="str">
        <f>INDEX(tQueue[RequirementID],MATCH($A16,tQueue[PriorityRank],0))</f>
        <v>REQ-0401</v>
      </c>
      <c r="C16" t="str">
        <f>INDEX(tQueue[SubsystemCode],MATCH($A16,tQueue[PriorityRank],0))</f>
        <v>REL-MECH</v>
      </c>
      <c r="D16" t="str">
        <f>INDEX(tQueue[ReqType],MATCH($A16,tQueue[PriorityRank],0))</f>
        <v>Interface</v>
      </c>
      <c r="E16" t="str">
        <f>INDEX(tQueue[Priority],MATCH($A16,tQueue[PriorityRank],0))</f>
        <v>MustShip</v>
      </c>
      <c r="F16" t="str">
        <f>INDEX(tQueue[OwnerName],MATCH($A16,tQueue[PriorityRank],0))</f>
        <v>Priya Quintana</v>
      </c>
      <c r="G16" t="str">
        <f>INDEX(tQueue[ActionCode],MATCH($A16,tQueue[PriorityRank],0))</f>
        <v>RERUN</v>
      </c>
      <c r="H16" s="21">
        <f>INDEX(tQueue[RigHours],MATCH($A16,tQueue[PriorityRank],0))</f>
        <v>0</v>
      </c>
      <c r="I16" s="21">
        <f>INDEX(tQueue[AirframeHours],MATCH($A16,tQueue[PriorityRank],0))</f>
        <v>0</v>
      </c>
      <c r="J16" s="21">
        <f>INDEX(tQueue[CumulativeRigHours],MATCH($A16,tQueue[PriorityRank],0))</f>
        <v>10</v>
      </c>
      <c r="K16">
        <f>INDEX(tQueue[IsThisWeek],MATCH($A16,tQueue[PriorityRank],0))</f>
        <v>1</v>
      </c>
      <c r="L16" t="str">
        <f>INDEX(tQueue[RecommendedAction],MATCH($A16,tQueue[PriorityRank],0))</f>
        <v>Evidence was valid at build 41 but the subsystem has changed in 25 builds since. Re-run on the release candidate.</v>
      </c>
    </row>
    <row r="17" spans="1:12" x14ac:dyDescent="0.35">
      <c r="A17">
        <f>13</f>
        <v>13</v>
      </c>
      <c r="B17" t="str">
        <f>INDEX(tQueue[RequirementID],MATCH($A17,tQueue[PriorityRank],0))</f>
        <v>REQ-0036</v>
      </c>
      <c r="C17" t="str">
        <f>INDEX(tQueue[SubsystemCode],MATCH($A17,tQueue[PriorityRank],0))</f>
        <v>FLT-CTRL</v>
      </c>
      <c r="D17" t="str">
        <f>INDEX(tQueue[ReqType],MATCH($A17,tQueue[PriorityRank],0))</f>
        <v>Functional</v>
      </c>
      <c r="E17" t="str">
        <f>INDEX(tQueue[Priority],MATCH($A17,tQueue[PriorityRank],0))</f>
        <v>MustShip</v>
      </c>
      <c r="F17" t="str">
        <f>INDEX(tQueue[OwnerName],MATCH($A17,tQueue[PriorityRank],0))</f>
        <v>Elena Lindqvist</v>
      </c>
      <c r="G17" t="str">
        <f>INDEX(tQueue[ActionCode],MATCH($A17,tQueue[PriorityRank],0))</f>
        <v>RERUN</v>
      </c>
      <c r="H17" s="21">
        <f>INDEX(tQueue[RigHours],MATCH($A17,tQueue[PriorityRank],0))</f>
        <v>2.5</v>
      </c>
      <c r="I17" s="21">
        <f>INDEX(tQueue[AirframeHours],MATCH($A17,tQueue[PriorityRank],0))</f>
        <v>0</v>
      </c>
      <c r="J17" s="21">
        <f>INDEX(tQueue[CumulativeRigHours],MATCH($A17,tQueue[PriorityRank],0))</f>
        <v>12.5</v>
      </c>
      <c r="K17">
        <f>INDEX(tQueue[IsThisWeek],MATCH($A17,tQueue[PriorityRank],0))</f>
        <v>1</v>
      </c>
      <c r="L17" t="str">
        <f>INDEX(tQueue[RecommendedAction],MATCH($A17,tQueue[PriorityRank],0))</f>
        <v>Evidence was valid at build 66 but the subsystem has changed in 16 builds since. Re-run on the release candidate.</v>
      </c>
    </row>
    <row r="18" spans="1:12" x14ac:dyDescent="0.35">
      <c r="A18">
        <f>14</f>
        <v>14</v>
      </c>
      <c r="B18" t="str">
        <f>INDEX(tQueue[RequirementID],MATCH($A18,tQueue[PriorityRank],0))</f>
        <v>REQ-0157</v>
      </c>
      <c r="C18" t="str">
        <f>INDEX(tQueue[SubsystemCode],MATCH($A18,tQueue[PriorityRank],0))</f>
        <v>REL-MECH</v>
      </c>
      <c r="D18" t="str">
        <f>INDEX(tQueue[ReqType],MATCH($A18,tQueue[PriorityRank],0))</f>
        <v>Safety</v>
      </c>
      <c r="E18" t="str">
        <f>INDEX(tQueue[Priority],MATCH($A18,tQueue[PriorityRank],0))</f>
        <v>MustShip</v>
      </c>
      <c r="F18" t="str">
        <f>INDEX(tQueue[OwnerName],MATCH($A18,tQueue[PriorityRank],0))</f>
        <v>Aditi Halvorsen</v>
      </c>
      <c r="G18" t="str">
        <f>INDEX(tQueue[ActionCode],MATCH($A18,tQueue[PriorityRank],0))</f>
        <v>RERUN</v>
      </c>
      <c r="H18" s="21">
        <f>INDEX(tQueue[RigHours],MATCH($A18,tQueue[PriorityRank],0))</f>
        <v>2.5</v>
      </c>
      <c r="I18" s="21">
        <f>INDEX(tQueue[AirframeHours],MATCH($A18,tQueue[PriorityRank],0))</f>
        <v>0</v>
      </c>
      <c r="J18" s="21">
        <f>INDEX(tQueue[CumulativeRigHours],MATCH($A18,tQueue[PriorityRank],0))</f>
        <v>15</v>
      </c>
      <c r="K18">
        <f>INDEX(tQueue[IsThisWeek],MATCH($A18,tQueue[PriorityRank],0))</f>
        <v>1</v>
      </c>
      <c r="L18" t="str">
        <f>INDEX(tQueue[RecommendedAction],MATCH($A18,tQueue[PriorityRank],0))</f>
        <v>Evidence was valid at build 68 but the subsystem has changed in 14 builds since. Re-run on the release candidate.</v>
      </c>
    </row>
    <row r="19" spans="1:12" x14ac:dyDescent="0.35">
      <c r="A19">
        <f>15</f>
        <v>15</v>
      </c>
      <c r="B19" t="str">
        <f>INDEX(tQueue[RequirementID],MATCH($A19,tQueue[PriorityRank],0))</f>
        <v>REQ-0217</v>
      </c>
      <c r="C19" t="str">
        <f>INDEX(tQueue[SubsystemCode],MATCH($A19,tQueue[PriorityRank],0))</f>
        <v>REL-MECH</v>
      </c>
      <c r="D19" t="str">
        <f>INDEX(tQueue[ReqType],MATCH($A19,tQueue[PriorityRank],0))</f>
        <v>Safety</v>
      </c>
      <c r="E19" t="str">
        <f>INDEX(tQueue[Priority],MATCH($A19,tQueue[PriorityRank],0))</f>
        <v>MustShip</v>
      </c>
      <c r="F19" t="str">
        <f>INDEX(tQueue[OwnerName],MATCH($A19,tQueue[PriorityRank],0))</f>
        <v>Camille Villalobos</v>
      </c>
      <c r="G19" t="str">
        <f>INDEX(tQueue[ActionCode],MATCH($A19,tQueue[PriorityRank],0))</f>
        <v>RERUN</v>
      </c>
      <c r="H19" s="21">
        <f>INDEX(tQueue[RigHours],MATCH($A19,tQueue[PriorityRank],0))</f>
        <v>2.5</v>
      </c>
      <c r="I19" s="21">
        <f>INDEX(tQueue[AirframeHours],MATCH($A19,tQueue[PriorityRank],0))</f>
        <v>0</v>
      </c>
      <c r="J19" s="21">
        <f>INDEX(tQueue[CumulativeRigHours],MATCH($A19,tQueue[PriorityRank],0))</f>
        <v>17.5</v>
      </c>
      <c r="K19">
        <f>INDEX(tQueue[IsThisWeek],MATCH($A19,tQueue[PriorityRank],0))</f>
        <v>1</v>
      </c>
      <c r="L19" t="str">
        <f>INDEX(tQueue[RecommendedAction],MATCH($A19,tQueue[PriorityRank],0))</f>
        <v>Evidence was valid at build 40 but the subsystem has changed in 25 builds since. Re-run on the release candidate.</v>
      </c>
    </row>
    <row r="20" spans="1:12" x14ac:dyDescent="0.35">
      <c r="A20">
        <f>16</f>
        <v>16</v>
      </c>
      <c r="B20" t="str">
        <f>INDEX(tQueue[RequirementID],MATCH($A20,tQueue[PriorityRank],0))</f>
        <v>REQ-0225</v>
      </c>
      <c r="C20" t="str">
        <f>INDEX(tQueue[SubsystemCode],MATCH($A20,tQueue[PriorityRank],0))</f>
        <v>FLT-CTRL</v>
      </c>
      <c r="D20" t="str">
        <f>INDEX(tQueue[ReqType],MATCH($A20,tQueue[PriorityRank],0))</f>
        <v>Safety</v>
      </c>
      <c r="E20" t="str">
        <f>INDEX(tQueue[Priority],MATCH($A20,tQueue[PriorityRank],0))</f>
        <v>MustShip</v>
      </c>
      <c r="F20" t="str">
        <f>INDEX(tQueue[OwnerName],MATCH($A20,tQueue[PriorityRank],0))</f>
        <v>Aditi Halvorsen</v>
      </c>
      <c r="G20" t="str">
        <f>INDEX(tQueue[ActionCode],MATCH($A20,tQueue[PriorityRank],0))</f>
        <v>RERUN</v>
      </c>
      <c r="H20" s="21">
        <f>INDEX(tQueue[RigHours],MATCH($A20,tQueue[PriorityRank],0))</f>
        <v>2.5</v>
      </c>
      <c r="I20" s="21">
        <f>INDEX(tQueue[AirframeHours],MATCH($A20,tQueue[PriorityRank],0))</f>
        <v>0</v>
      </c>
      <c r="J20" s="21">
        <f>INDEX(tQueue[CumulativeRigHours],MATCH($A20,tQueue[PriorityRank],0))</f>
        <v>20</v>
      </c>
      <c r="K20">
        <f>INDEX(tQueue[IsThisWeek],MATCH($A20,tQueue[PriorityRank],0))</f>
        <v>1</v>
      </c>
      <c r="L20" t="str">
        <f>INDEX(tQueue[RecommendedAction],MATCH($A20,tQueue[PriorityRank],0))</f>
        <v>Evidence was valid at build 51 but the subsystem has changed in 23 builds since. Re-run on the release candidate.</v>
      </c>
    </row>
    <row r="21" spans="1:12" x14ac:dyDescent="0.35">
      <c r="A21">
        <f>17</f>
        <v>17</v>
      </c>
      <c r="B21" t="str">
        <f>INDEX(tQueue[RequirementID],MATCH($A21,tQueue[PriorityRank],0))</f>
        <v>REQ-0252</v>
      </c>
      <c r="C21" t="str">
        <f>INDEX(tQueue[SubsystemCode],MATCH($A21,tQueue[PriorityRank],0))</f>
        <v>REL-MECH</v>
      </c>
      <c r="D21" t="str">
        <f>INDEX(tQueue[ReqType],MATCH($A21,tQueue[PriorityRank],0))</f>
        <v>Safety</v>
      </c>
      <c r="E21" t="str">
        <f>INDEX(tQueue[Priority],MATCH($A21,tQueue[PriorityRank],0))</f>
        <v>MustShip</v>
      </c>
      <c r="F21" t="str">
        <f>INDEX(tQueue[OwnerName],MATCH($A21,tQueue[PriorityRank],0))</f>
        <v>Dmitri Eriksen</v>
      </c>
      <c r="G21" t="str">
        <f>INDEX(tQueue[ActionCode],MATCH($A21,tQueue[PriorityRank],0))</f>
        <v>RERUN</v>
      </c>
      <c r="H21" s="21">
        <f>INDEX(tQueue[RigHours],MATCH($A21,tQueue[PriorityRank],0))</f>
        <v>2.5</v>
      </c>
      <c r="I21" s="21">
        <f>INDEX(tQueue[AirframeHours],MATCH($A21,tQueue[PriorityRank],0))</f>
        <v>0</v>
      </c>
      <c r="J21" s="21">
        <f>INDEX(tQueue[CumulativeRigHours],MATCH($A21,tQueue[PriorityRank],0))</f>
        <v>22.5</v>
      </c>
      <c r="K21">
        <f>INDEX(tQueue[IsThisWeek],MATCH($A21,tQueue[PriorityRank],0))</f>
        <v>1</v>
      </c>
      <c r="L21" t="str">
        <f>INDEX(tQueue[RecommendedAction],MATCH($A21,tQueue[PriorityRank],0))</f>
        <v>Evidence was valid at build 49 but the subsystem has changed in 22 builds since. Re-run on the release candidate.</v>
      </c>
    </row>
    <row r="22" spans="1:12" x14ac:dyDescent="0.35">
      <c r="A22">
        <f>18</f>
        <v>18</v>
      </c>
      <c r="B22" t="str">
        <f>INDEX(tQueue[RequirementID],MATCH($A22,tQueue[PriorityRank],0))</f>
        <v>REQ-0350</v>
      </c>
      <c r="C22" t="str">
        <f>INDEX(tQueue[SubsystemCode],MATCH($A22,tQueue[PriorityRank],0))</f>
        <v>FLT-CTRL</v>
      </c>
      <c r="D22" t="str">
        <f>INDEX(tQueue[ReqType],MATCH($A22,tQueue[PriorityRank],0))</f>
        <v>Safety</v>
      </c>
      <c r="E22" t="str">
        <f>INDEX(tQueue[Priority],MATCH($A22,tQueue[PriorityRank],0))</f>
        <v>MustShip</v>
      </c>
      <c r="F22" t="str">
        <f>INDEX(tQueue[OwnerName],MATCH($A22,tQueue[PriorityRank],0))</f>
        <v>Dmitri Eriksen</v>
      </c>
      <c r="G22" t="str">
        <f>INDEX(tQueue[ActionCode],MATCH($A22,tQueue[PriorityRank],0))</f>
        <v>RERUN</v>
      </c>
      <c r="H22" s="21">
        <f>INDEX(tQueue[RigHours],MATCH($A22,tQueue[PriorityRank],0))</f>
        <v>2.5</v>
      </c>
      <c r="I22" s="21">
        <f>INDEX(tQueue[AirframeHours],MATCH($A22,tQueue[PriorityRank],0))</f>
        <v>0</v>
      </c>
      <c r="J22" s="21">
        <f>INDEX(tQueue[CumulativeRigHours],MATCH($A22,tQueue[PriorityRank],0))</f>
        <v>25</v>
      </c>
      <c r="K22">
        <f>INDEX(tQueue[IsThisWeek],MATCH($A22,tQueue[PriorityRank],0))</f>
        <v>1</v>
      </c>
      <c r="L22" t="str">
        <f>INDEX(tQueue[RecommendedAction],MATCH($A22,tQueue[PriorityRank],0))</f>
        <v>Evidence was valid at build 30 but the subsystem has changed in 33 builds since. Re-run on the release candidate.</v>
      </c>
    </row>
    <row r="23" spans="1:12" x14ac:dyDescent="0.35">
      <c r="A23">
        <f>19</f>
        <v>19</v>
      </c>
      <c r="B23" t="str">
        <f>INDEX(tQueue[RequirementID],MATCH($A23,tQueue[PriorityRank],0))</f>
        <v>REQ-0359</v>
      </c>
      <c r="C23" t="str">
        <f>INDEX(tQueue[SubsystemCode],MATCH($A23,tQueue[PriorityRank],0))</f>
        <v>FLT-CTRL</v>
      </c>
      <c r="D23" t="str">
        <f>INDEX(tQueue[ReqType],MATCH($A23,tQueue[PriorityRank],0))</f>
        <v>Safety</v>
      </c>
      <c r="E23" t="str">
        <f>INDEX(tQueue[Priority],MATCH($A23,tQueue[PriorityRank],0))</f>
        <v>MustShip</v>
      </c>
      <c r="F23" t="str">
        <f>INDEX(tQueue[OwnerName],MATCH($A23,tQueue[PriorityRank],0))</f>
        <v>Elena Lindqvist</v>
      </c>
      <c r="G23" t="str">
        <f>INDEX(tQueue[ActionCode],MATCH($A23,tQueue[PriorityRank],0))</f>
        <v>RERUN</v>
      </c>
      <c r="H23" s="21">
        <f>INDEX(tQueue[RigHours],MATCH($A23,tQueue[PriorityRank],0))</f>
        <v>2.5</v>
      </c>
      <c r="I23" s="21">
        <f>INDEX(tQueue[AirframeHours],MATCH($A23,tQueue[PriorityRank],0))</f>
        <v>0</v>
      </c>
      <c r="J23" s="21">
        <f>INDEX(tQueue[CumulativeRigHours],MATCH($A23,tQueue[PriorityRank],0))</f>
        <v>27.5</v>
      </c>
      <c r="K23">
        <f>INDEX(tQueue[IsThisWeek],MATCH($A23,tQueue[PriorityRank],0))</f>
        <v>1</v>
      </c>
      <c r="L23" t="str">
        <f>INDEX(tQueue[RecommendedAction],MATCH($A23,tQueue[PriorityRank],0))</f>
        <v>Evidence was valid at build 54 but the subsystem has changed in 22 builds since. Re-run on the release candidate.</v>
      </c>
    </row>
    <row r="24" spans="1:12" x14ac:dyDescent="0.35">
      <c r="A24">
        <f>20</f>
        <v>20</v>
      </c>
      <c r="B24" t="str">
        <f>INDEX(tQueue[RequirementID],MATCH($A24,tQueue[PriorityRank],0))</f>
        <v>REQ-0372</v>
      </c>
      <c r="C24" t="str">
        <f>INDEX(tQueue[SubsystemCode],MATCH($A24,tQueue[PriorityRank],0))</f>
        <v>FLT-CTRL</v>
      </c>
      <c r="D24" t="str">
        <f>INDEX(tQueue[ReqType],MATCH($A24,tQueue[PriorityRank],0))</f>
        <v>Safety</v>
      </c>
      <c r="E24" t="str">
        <f>INDEX(tQueue[Priority],MATCH($A24,tQueue[PriorityRank],0))</f>
        <v>MustShip</v>
      </c>
      <c r="F24" t="str">
        <f>INDEX(tQueue[OwnerName],MATCH($A24,tQueue[PriorityRank],0))</f>
        <v>Jonas Weatherby</v>
      </c>
      <c r="G24" t="str">
        <f>INDEX(tQueue[ActionCode],MATCH($A24,tQueue[PriorityRank],0))</f>
        <v>RERUN</v>
      </c>
      <c r="H24" s="21">
        <f>INDEX(tQueue[RigHours],MATCH($A24,tQueue[PriorityRank],0))</f>
        <v>2.5</v>
      </c>
      <c r="I24" s="21">
        <f>INDEX(tQueue[AirframeHours],MATCH($A24,tQueue[PriorityRank],0))</f>
        <v>0</v>
      </c>
      <c r="J24" s="21">
        <f>INDEX(tQueue[CumulativeRigHours],MATCH($A24,tQueue[PriorityRank],0))</f>
        <v>30</v>
      </c>
      <c r="K24">
        <f>INDEX(tQueue[IsThisWeek],MATCH($A24,tQueue[PriorityRank],0))</f>
        <v>1</v>
      </c>
      <c r="L24" t="str">
        <f>INDEX(tQueue[RecommendedAction],MATCH($A24,tQueue[PriorityRank],0))</f>
        <v>Evidence was valid at build 29 but the subsystem has changed in 33 builds since. Re-run on the release candidate.</v>
      </c>
    </row>
    <row r="25" spans="1:12" x14ac:dyDescent="0.35">
      <c r="A25">
        <f>21</f>
        <v>21</v>
      </c>
      <c r="B25" t="str">
        <f>INDEX(tQueue[RequirementID],MATCH($A25,tQueue[PriorityRank],0))</f>
        <v>REQ-0429</v>
      </c>
      <c r="C25" t="str">
        <f>INDEX(tQueue[SubsystemCode],MATCH($A25,tQueue[PriorityRank],0))</f>
        <v>REL-MECH</v>
      </c>
      <c r="D25" t="str">
        <f>INDEX(tQueue[ReqType],MATCH($A25,tQueue[PriorityRank],0))</f>
        <v>Safety</v>
      </c>
      <c r="E25" t="str">
        <f>INDEX(tQueue[Priority],MATCH($A25,tQueue[PriorityRank],0))</f>
        <v>MustShip</v>
      </c>
      <c r="F25" t="str">
        <f>INDEX(tQueue[OwnerName],MATCH($A25,tQueue[PriorityRank],0))</f>
        <v>Sana Nakamura</v>
      </c>
      <c r="G25" t="str">
        <f>INDEX(tQueue[ActionCode],MATCH($A25,tQueue[PriorityRank],0))</f>
        <v>RERUN</v>
      </c>
      <c r="H25" s="21">
        <f>INDEX(tQueue[RigHours],MATCH($A25,tQueue[PriorityRank],0))</f>
        <v>2.5</v>
      </c>
      <c r="I25" s="21">
        <f>INDEX(tQueue[AirframeHours],MATCH($A25,tQueue[PriorityRank],0))</f>
        <v>0</v>
      </c>
      <c r="J25" s="21">
        <f>INDEX(tQueue[CumulativeRigHours],MATCH($A25,tQueue[PriorityRank],0))</f>
        <v>32.5</v>
      </c>
      <c r="K25">
        <f>INDEX(tQueue[IsThisWeek],MATCH($A25,tQueue[PriorityRank],0))</f>
        <v>1</v>
      </c>
      <c r="L25" t="str">
        <f>INDEX(tQueue[RecommendedAction],MATCH($A25,tQueue[PriorityRank],0))</f>
        <v>Evidence was valid at build 41 but the subsystem has changed in 25 builds since. Re-run on the release candidate.</v>
      </c>
    </row>
    <row r="26" spans="1:12" x14ac:dyDescent="0.35">
      <c r="A26">
        <f>22</f>
        <v>22</v>
      </c>
      <c r="B26" t="str">
        <f>INDEX(tQueue[RequirementID],MATCH($A26,tQueue[PriorityRank],0))</f>
        <v>REQ-0472</v>
      </c>
      <c r="C26" t="str">
        <f>INDEX(tQueue[SubsystemCode],MATCH($A26,tQueue[PriorityRank],0))</f>
        <v>FLT-CTRL</v>
      </c>
      <c r="D26" t="str">
        <f>INDEX(tQueue[ReqType],MATCH($A26,tQueue[PriorityRank],0))</f>
        <v>Safety</v>
      </c>
      <c r="E26" t="str">
        <f>INDEX(tQueue[Priority],MATCH($A26,tQueue[PriorityRank],0))</f>
        <v>MustShip</v>
      </c>
      <c r="F26" t="str">
        <f>INDEX(tQueue[OwnerName],MATCH($A26,tQueue[PriorityRank],0))</f>
        <v>Priya Quintana</v>
      </c>
      <c r="G26" t="str">
        <f>INDEX(tQueue[ActionCode],MATCH($A26,tQueue[PriorityRank],0))</f>
        <v>RERUN</v>
      </c>
      <c r="H26" s="21">
        <f>INDEX(tQueue[RigHours],MATCH($A26,tQueue[PriorityRank],0))</f>
        <v>2.5</v>
      </c>
      <c r="I26" s="21">
        <f>INDEX(tQueue[AirframeHours],MATCH($A26,tQueue[PriorityRank],0))</f>
        <v>0</v>
      </c>
      <c r="J26" s="21">
        <f>INDEX(tQueue[CumulativeRigHours],MATCH($A26,tQueue[PriorityRank],0))</f>
        <v>35</v>
      </c>
      <c r="K26">
        <f>INDEX(tQueue[IsThisWeek],MATCH($A26,tQueue[PriorityRank],0))</f>
        <v>1</v>
      </c>
      <c r="L26" t="str">
        <f>INDEX(tQueue[RecommendedAction],MATCH($A26,tQueue[PriorityRank],0))</f>
        <v>Evidence was valid at build 32 but the subsystem has changed in 33 builds since. Re-run on the release candidate.</v>
      </c>
    </row>
    <row r="27" spans="1:12" x14ac:dyDescent="0.35">
      <c r="A27">
        <f>23</f>
        <v>23</v>
      </c>
      <c r="B27" t="str">
        <f>INDEX(tQueue[RequirementID],MATCH($A27,tQueue[PriorityRank],0))</f>
        <v>REQ-0478</v>
      </c>
      <c r="C27" t="str">
        <f>INDEX(tQueue[SubsystemCode],MATCH($A27,tQueue[PriorityRank],0))</f>
        <v>FLT-CTRL</v>
      </c>
      <c r="D27" t="str">
        <f>INDEX(tQueue[ReqType],MATCH($A27,tQueue[PriorityRank],0))</f>
        <v>Performance</v>
      </c>
      <c r="E27" t="str">
        <f>INDEX(tQueue[Priority],MATCH($A27,tQueue[PriorityRank],0))</f>
        <v>MustShip</v>
      </c>
      <c r="F27" t="str">
        <f>INDEX(tQueue[OwnerName],MATCH($A27,tQueue[PriorityRank],0))</f>
        <v>Nils Castellan</v>
      </c>
      <c r="G27" t="str">
        <f>INDEX(tQueue[ActionCode],MATCH($A27,tQueue[PriorityRank],0))</f>
        <v>RERUN</v>
      </c>
      <c r="H27" s="21">
        <f>INDEX(tQueue[RigHours],MATCH($A27,tQueue[PriorityRank],0))</f>
        <v>2.5</v>
      </c>
      <c r="I27" s="21">
        <f>INDEX(tQueue[AirframeHours],MATCH($A27,tQueue[PriorityRank],0))</f>
        <v>0</v>
      </c>
      <c r="J27" s="21">
        <f>INDEX(tQueue[CumulativeRigHours],MATCH($A27,tQueue[PriorityRank],0))</f>
        <v>37.5</v>
      </c>
      <c r="K27">
        <f>INDEX(tQueue[IsThisWeek],MATCH($A27,tQueue[PriorityRank],0))</f>
        <v>1</v>
      </c>
      <c r="L27" t="str">
        <f>INDEX(tQueue[RecommendedAction],MATCH($A27,tQueue[PriorityRank],0))</f>
        <v>Evidence was valid at build 64 but the subsystem has changed in 18 builds since. Re-run on the release candidate.</v>
      </c>
    </row>
    <row r="28" spans="1:12" x14ac:dyDescent="0.35">
      <c r="A28">
        <f>24</f>
        <v>24</v>
      </c>
      <c r="B28" t="str">
        <f>INDEX(tQueue[RequirementID],MATCH($A28,tQueue[PriorityRank],0))</f>
        <v>REQ-0060</v>
      </c>
      <c r="C28" t="str">
        <f>INDEX(tQueue[SubsystemCode],MATCH($A28,tQueue[PriorityRank],0))</f>
        <v>FLT-CTRL</v>
      </c>
      <c r="D28" t="str">
        <f>INDEX(tQueue[ReqType],MATCH($A28,tQueue[PriorityRank],0))</f>
        <v>Safety</v>
      </c>
      <c r="E28" t="str">
        <f>INDEX(tQueue[Priority],MATCH($A28,tQueue[PriorityRank],0))</f>
        <v>MustShip</v>
      </c>
      <c r="F28" t="str">
        <f>INDEX(tQueue[OwnerName],MATCH($A28,tQueue[PriorityRank],0))</f>
        <v>Rafael Grigorescu</v>
      </c>
      <c r="G28" t="str">
        <f>INDEX(tQueue[ActionCode],MATCH($A28,tQueue[PriorityRank],0))</f>
        <v>RERUN</v>
      </c>
      <c r="H28" s="21">
        <f>INDEX(tQueue[RigHours],MATCH($A28,tQueue[PriorityRank],0))</f>
        <v>5</v>
      </c>
      <c r="I28" s="21">
        <f>INDEX(tQueue[AirframeHours],MATCH($A28,tQueue[PriorityRank],0))</f>
        <v>0</v>
      </c>
      <c r="J28" s="21">
        <f>INDEX(tQueue[CumulativeRigHours],MATCH($A28,tQueue[PriorityRank],0))</f>
        <v>42.5</v>
      </c>
      <c r="K28">
        <f>INDEX(tQueue[IsThisWeek],MATCH($A28,tQueue[PriorityRank],0))</f>
        <v>1</v>
      </c>
      <c r="L28" t="str">
        <f>INDEX(tQueue[RecommendedAction],MATCH($A28,tQueue[PriorityRank],0))</f>
        <v>Evidence was valid at build 53 but the subsystem has changed in 22 builds since. Re-run on the release candidate.</v>
      </c>
    </row>
    <row r="29" spans="1:12" x14ac:dyDescent="0.35">
      <c r="A29">
        <f>25</f>
        <v>25</v>
      </c>
      <c r="B29" t="str">
        <f>INDEX(tQueue[RequirementID],MATCH($A29,tQueue[PriorityRank],0))</f>
        <v>REQ-0069</v>
      </c>
      <c r="C29" t="str">
        <f>INDEX(tQueue[SubsystemCode],MATCH($A29,tQueue[PriorityRank],0))</f>
        <v>FLT-CTRL</v>
      </c>
      <c r="D29" t="str">
        <f>INDEX(tQueue[ReqType],MATCH($A29,tQueue[PriorityRank],0))</f>
        <v>Safety</v>
      </c>
      <c r="E29" t="str">
        <f>INDEX(tQueue[Priority],MATCH($A29,tQueue[PriorityRank],0))</f>
        <v>MustShip</v>
      </c>
      <c r="F29" t="str">
        <f>INDEX(tQueue[OwnerName],MATCH($A29,tQueue[PriorityRank],0))</f>
        <v>Jonas Weatherby</v>
      </c>
      <c r="G29" t="str">
        <f>INDEX(tQueue[ActionCode],MATCH($A29,tQueue[PriorityRank],0))</f>
        <v>RERUN</v>
      </c>
      <c r="H29" s="21">
        <f>INDEX(tQueue[RigHours],MATCH($A29,tQueue[PriorityRank],0))</f>
        <v>5</v>
      </c>
      <c r="I29" s="21">
        <f>INDEX(tQueue[AirframeHours],MATCH($A29,tQueue[PriorityRank],0))</f>
        <v>0</v>
      </c>
      <c r="J29" s="21">
        <f>INDEX(tQueue[CumulativeRigHours],MATCH($A29,tQueue[PriorityRank],0))</f>
        <v>47.5</v>
      </c>
      <c r="K29">
        <f>INDEX(tQueue[IsThisWeek],MATCH($A29,tQueue[PriorityRank],0))</f>
        <v>1</v>
      </c>
      <c r="L29" t="str">
        <f>INDEX(tQueue[RecommendedAction],MATCH($A29,tQueue[PriorityRank],0))</f>
        <v>Evidence was valid at build 59 but the subsystem has changed in 21 builds since. Re-run on the release candidate.</v>
      </c>
    </row>
    <row r="30" spans="1:12" x14ac:dyDescent="0.35">
      <c r="A30">
        <f>26</f>
        <v>26</v>
      </c>
      <c r="B30" t="str">
        <f>INDEX(tQueue[RequirementID],MATCH($A30,tQueue[PriorityRank],0))</f>
        <v>REQ-0106</v>
      </c>
      <c r="C30" t="str">
        <f>INDEX(tQueue[SubsystemCode],MATCH($A30,tQueue[PriorityRank],0))</f>
        <v>FLT-CTRL</v>
      </c>
      <c r="D30" t="str">
        <f>INDEX(tQueue[ReqType],MATCH($A30,tQueue[PriorityRank],0))</f>
        <v>Safety</v>
      </c>
      <c r="E30" t="str">
        <f>INDEX(tQueue[Priority],MATCH($A30,tQueue[PriorityRank],0))</f>
        <v>MustShip</v>
      </c>
      <c r="F30" t="str">
        <f>INDEX(tQueue[OwnerName],MATCH($A30,tQueue[PriorityRank],0))</f>
        <v>Dmitri Eriksen</v>
      </c>
      <c r="G30" t="str">
        <f>INDEX(tQueue[ActionCode],MATCH($A30,tQueue[PriorityRank],0))</f>
        <v>RERUN</v>
      </c>
      <c r="H30" s="21">
        <f>INDEX(tQueue[RigHours],MATCH($A30,tQueue[PriorityRank],0))</f>
        <v>5</v>
      </c>
      <c r="I30" s="21">
        <f>INDEX(tQueue[AirframeHours],MATCH($A30,tQueue[PriorityRank],0))</f>
        <v>0</v>
      </c>
      <c r="J30" s="21">
        <f>INDEX(tQueue[CumulativeRigHours],MATCH($A30,tQueue[PriorityRank],0))</f>
        <v>52.5</v>
      </c>
      <c r="K30">
        <f>INDEX(tQueue[IsThisWeek],MATCH($A30,tQueue[PriorityRank],0))</f>
        <v>1</v>
      </c>
      <c r="L30" t="str">
        <f>INDEX(tQueue[RecommendedAction],MATCH($A30,tQueue[PriorityRank],0))</f>
        <v>Evidence was valid at build 42 but the subsystem has changed in 27 builds since. Re-run on the release candidate.</v>
      </c>
    </row>
    <row r="31" spans="1:12" x14ac:dyDescent="0.35">
      <c r="A31">
        <f>27</f>
        <v>27</v>
      </c>
      <c r="B31" t="str">
        <f>INDEX(tQueue[RequirementID],MATCH($A31,tQueue[PriorityRank],0))</f>
        <v>REQ-0165</v>
      </c>
      <c r="C31" t="str">
        <f>INDEX(tQueue[SubsystemCode],MATCH($A31,tQueue[PriorityRank],0))</f>
        <v>REL-MECH</v>
      </c>
      <c r="D31" t="str">
        <f>INDEX(tQueue[ReqType],MATCH($A31,tQueue[PriorityRank],0))</f>
        <v>Functional</v>
      </c>
      <c r="E31" t="str">
        <f>INDEX(tQueue[Priority],MATCH($A31,tQueue[PriorityRank],0))</f>
        <v>MustShip</v>
      </c>
      <c r="F31" t="str">
        <f>INDEX(tQueue[OwnerName],MATCH($A31,tQueue[PriorityRank],0))</f>
        <v>Rafael Grigorescu</v>
      </c>
      <c r="G31" t="str">
        <f>INDEX(tQueue[ActionCode],MATCH($A31,tQueue[PriorityRank],0))</f>
        <v>RERUN</v>
      </c>
      <c r="H31" s="21">
        <f>INDEX(tQueue[RigHours],MATCH($A31,tQueue[PriorityRank],0))</f>
        <v>5</v>
      </c>
      <c r="I31" s="21">
        <f>INDEX(tQueue[AirframeHours],MATCH($A31,tQueue[PriorityRank],0))</f>
        <v>0</v>
      </c>
      <c r="J31" s="21">
        <f>INDEX(tQueue[CumulativeRigHours],MATCH($A31,tQueue[PriorityRank],0))</f>
        <v>57.5</v>
      </c>
      <c r="K31">
        <f>INDEX(tQueue[IsThisWeek],MATCH($A31,tQueue[PriorityRank],0))</f>
        <v>1</v>
      </c>
      <c r="L31" t="str">
        <f>INDEX(tQueue[RecommendedAction],MATCH($A31,tQueue[PriorityRank],0))</f>
        <v>Evidence was valid at build 71 but the subsystem has changed in 12 builds since. Re-run on the release candidate.</v>
      </c>
    </row>
    <row r="32" spans="1:12" x14ac:dyDescent="0.35">
      <c r="A32">
        <f>28</f>
        <v>28</v>
      </c>
      <c r="B32" t="str">
        <f>INDEX(tQueue[RequirementID],MATCH($A32,tQueue[PriorityRank],0))</f>
        <v>REQ-0166</v>
      </c>
      <c r="C32" t="str">
        <f>INDEX(tQueue[SubsystemCode],MATCH($A32,tQueue[PriorityRank],0))</f>
        <v>REL-MECH</v>
      </c>
      <c r="D32" t="str">
        <f>INDEX(tQueue[ReqType],MATCH($A32,tQueue[PriorityRank],0))</f>
        <v>Safety</v>
      </c>
      <c r="E32" t="str">
        <f>INDEX(tQueue[Priority],MATCH($A32,tQueue[PriorityRank],0))</f>
        <v>MustShip</v>
      </c>
      <c r="F32" t="str">
        <f>INDEX(tQueue[OwnerName],MATCH($A32,tQueue[PriorityRank],0))</f>
        <v>Elena Lindqvist</v>
      </c>
      <c r="G32" t="str">
        <f>INDEX(tQueue[ActionCode],MATCH($A32,tQueue[PriorityRank],0))</f>
        <v>RERUN</v>
      </c>
      <c r="H32" s="21">
        <f>INDEX(tQueue[RigHours],MATCH($A32,tQueue[PriorityRank],0))</f>
        <v>5</v>
      </c>
      <c r="I32" s="21">
        <f>INDEX(tQueue[AirframeHours],MATCH($A32,tQueue[PriorityRank],0))</f>
        <v>0</v>
      </c>
      <c r="J32" s="21">
        <f>INDEX(tQueue[CumulativeRigHours],MATCH($A32,tQueue[PriorityRank],0))</f>
        <v>62.5</v>
      </c>
      <c r="K32">
        <f>INDEX(tQueue[IsThisWeek],MATCH($A32,tQueue[PriorityRank],0))</f>
        <v>1</v>
      </c>
      <c r="L32" t="str">
        <f>INDEX(tQueue[RecommendedAction],MATCH($A32,tQueue[PriorityRank],0))</f>
        <v>Evidence was valid at build 54 but the subsystem has changed in 22 builds since. Re-run on the release candidate.</v>
      </c>
    </row>
    <row r="33" spans="1:12" x14ac:dyDescent="0.35">
      <c r="A33">
        <f>29</f>
        <v>29</v>
      </c>
      <c r="B33" t="str">
        <f>INDEX(tQueue[RequirementID],MATCH($A33,tQueue[PriorityRank],0))</f>
        <v>REQ-0167</v>
      </c>
      <c r="C33" t="str">
        <f>INDEX(tQueue[SubsystemCode],MATCH($A33,tQueue[PriorityRank],0))</f>
        <v>REL-MECH</v>
      </c>
      <c r="D33" t="str">
        <f>INDEX(tQueue[ReqType],MATCH($A33,tQueue[PriorityRank],0))</f>
        <v>Safety</v>
      </c>
      <c r="E33" t="str">
        <f>INDEX(tQueue[Priority],MATCH($A33,tQueue[PriorityRank],0))</f>
        <v>MustShip</v>
      </c>
      <c r="F33" t="str">
        <f>INDEX(tQueue[OwnerName],MATCH($A33,tQueue[PriorityRank],0))</f>
        <v>Katya Fairweather</v>
      </c>
      <c r="G33" t="str">
        <f>INDEX(tQueue[ActionCode],MATCH($A33,tQueue[PriorityRank],0))</f>
        <v>RERUN</v>
      </c>
      <c r="H33" s="21">
        <f>INDEX(tQueue[RigHours],MATCH($A33,tQueue[PriorityRank],0))</f>
        <v>5</v>
      </c>
      <c r="I33" s="21">
        <f>INDEX(tQueue[AirframeHours],MATCH($A33,tQueue[PriorityRank],0))</f>
        <v>0</v>
      </c>
      <c r="J33" s="21">
        <f>INDEX(tQueue[CumulativeRigHours],MATCH($A33,tQueue[PriorityRank],0))</f>
        <v>67.5</v>
      </c>
      <c r="K33">
        <f>INDEX(tQueue[IsThisWeek],MATCH($A33,tQueue[PriorityRank],0))</f>
        <v>1</v>
      </c>
      <c r="L33" t="str">
        <f>INDEX(tQueue[RecommendedAction],MATCH($A33,tQueue[PriorityRank],0))</f>
        <v>Evidence was valid at build 65 but the subsystem has changed in 16 builds since. Re-run on the release candidate.</v>
      </c>
    </row>
    <row r="34" spans="1:12" x14ac:dyDescent="0.35">
      <c r="A34">
        <f>30</f>
        <v>30</v>
      </c>
      <c r="B34" t="str">
        <f>INDEX(tQueue[RequirementID],MATCH($A34,tQueue[PriorityRank],0))</f>
        <v>REQ-0191</v>
      </c>
      <c r="C34" t="str">
        <f>INDEX(tQueue[SubsystemCode],MATCH($A34,tQueue[PriorityRank],0))</f>
        <v>REL-MECH</v>
      </c>
      <c r="D34" t="str">
        <f>INDEX(tQueue[ReqType],MATCH($A34,tQueue[PriorityRank],0))</f>
        <v>Safety</v>
      </c>
      <c r="E34" t="str">
        <f>INDEX(tQueue[Priority],MATCH($A34,tQueue[PriorityRank],0))</f>
        <v>MustShip</v>
      </c>
      <c r="F34" t="str">
        <f>INDEX(tQueue[OwnerName],MATCH($A34,tQueue[PriorityRank],0))</f>
        <v>Mei Thackeray</v>
      </c>
      <c r="G34" t="str">
        <f>INDEX(tQueue[ActionCode],MATCH($A34,tQueue[PriorityRank],0))</f>
        <v>RERUN</v>
      </c>
      <c r="H34" s="21">
        <f>INDEX(tQueue[RigHours],MATCH($A34,tQueue[PriorityRank],0))</f>
        <v>5</v>
      </c>
      <c r="I34" s="21">
        <f>INDEX(tQueue[AirframeHours],MATCH($A34,tQueue[PriorityRank],0))</f>
        <v>0</v>
      </c>
      <c r="J34" s="21">
        <f>INDEX(tQueue[CumulativeRigHours],MATCH($A34,tQueue[PriorityRank],0))</f>
        <v>72.5</v>
      </c>
      <c r="K34">
        <f>INDEX(tQueue[IsThisWeek],MATCH($A34,tQueue[PriorityRank],0))</f>
        <v>1</v>
      </c>
      <c r="L34" t="str">
        <f>INDEX(tQueue[RecommendedAction],MATCH($A34,tQueue[PriorityRank],0))</f>
        <v>Evidence was valid at build 65 but the subsystem has changed in 16 builds since. Re-run on the release candidate.</v>
      </c>
    </row>
  </sheetData>
  <conditionalFormatting sqref="A5:L34">
    <cfRule type="expression" dxfId="3" priority="1" stopIfTrue="1">
      <formula>$K5=1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2617-0DDD-43EB-BEF2-FF98D0A57FE6}">
  <dimension ref="A1:L12"/>
  <sheetViews>
    <sheetView workbookViewId="0"/>
  </sheetViews>
  <sheetFormatPr defaultRowHeight="14.5" x14ac:dyDescent="0.35"/>
  <cols>
    <col min="1" max="1" width="30.6328125" customWidth="1"/>
  </cols>
  <sheetData>
    <row r="1" spans="1:12" ht="18.5" x14ac:dyDescent="0.45">
      <c r="A1" s="22" t="s">
        <v>2671</v>
      </c>
    </row>
    <row r="2" spans="1:12" x14ac:dyDescent="0.35">
      <c r="A2" s="13" t="s">
        <v>2672</v>
      </c>
    </row>
    <row r="4" spans="1:12" x14ac:dyDescent="0.35">
      <c r="A4" s="4" t="s">
        <v>2650</v>
      </c>
      <c r="B4" s="4" t="s">
        <v>24</v>
      </c>
      <c r="C4" s="4" t="s">
        <v>2673</v>
      </c>
      <c r="D4" s="4" t="s">
        <v>2651</v>
      </c>
      <c r="E4" s="4" t="s">
        <v>51</v>
      </c>
      <c r="F4" s="4" t="s">
        <v>2652</v>
      </c>
      <c r="G4" s="4" t="s">
        <v>73</v>
      </c>
      <c r="H4" s="4" t="s">
        <v>1262</v>
      </c>
      <c r="I4" s="4" t="s">
        <v>2674</v>
      </c>
      <c r="J4" s="4" t="s">
        <v>2675</v>
      </c>
      <c r="K4" s="4" t="s">
        <v>2653</v>
      </c>
      <c r="L4" s="4" t="s">
        <v>2666</v>
      </c>
    </row>
    <row r="5" spans="1:12" x14ac:dyDescent="0.35">
      <c r="A5" t="str">
        <f>INDEX(tSub[SubsystemName],1)</f>
        <v>Flight Control Interface</v>
      </c>
      <c r="B5" t="str">
        <f>INDEX(tSub[Criticality],1)</f>
        <v>Safety</v>
      </c>
      <c r="C5">
        <f>INDEX(tSub[Requirements],1)</f>
        <v>79</v>
      </c>
      <c r="D5">
        <f>INDEX(tSub[MustShip],1)</f>
        <v>47</v>
      </c>
      <c r="E5">
        <f>INDEX(tSub[CurrentMustShip],1)</f>
        <v>11</v>
      </c>
      <c r="F5" s="19">
        <f>IF(D5=0,0,E5/D5*100)</f>
        <v>23.404255319148938</v>
      </c>
      <c r="G5">
        <f>INDEX(tSub[NoEvidence],1)</f>
        <v>0</v>
      </c>
      <c r="H5">
        <f>INDEX(tSub[Insufficient],1)</f>
        <v>22</v>
      </c>
      <c r="I5">
        <f>INDEX(tSub[StaleByCode],1)</f>
        <v>31</v>
      </c>
      <c r="J5">
        <f>INDEX(tSub[StaleByReq],1)</f>
        <v>3</v>
      </c>
      <c r="K5">
        <f>INDEX(tSub[BuildsChanged],1)</f>
        <v>45</v>
      </c>
      <c r="L5" s="21">
        <f>INDEX(tSub[RigHoursOutstanding],1)</f>
        <v>120</v>
      </c>
    </row>
    <row r="6" spans="1:12" x14ac:dyDescent="0.35">
      <c r="A6" t="str">
        <f>INDEX(tSub[SubsystemName],2)</f>
        <v>Payload Release Mechanism</v>
      </c>
      <c r="B6" t="str">
        <f>INDEX(tSub[Criticality],2)</f>
        <v>Safety</v>
      </c>
      <c r="C6">
        <f>INDEX(tSub[Requirements],2)</f>
        <v>93</v>
      </c>
      <c r="D6">
        <f>INDEX(tSub[MustShip],2)</f>
        <v>62</v>
      </c>
      <c r="E6">
        <f>INDEX(tSub[CurrentMustShip],2)</f>
        <v>20</v>
      </c>
      <c r="F6" s="19">
        <f>IF(D6=0,0,E6/D6*100)</f>
        <v>32.258064516129032</v>
      </c>
      <c r="G6">
        <f>INDEX(tSub[NoEvidence],2)</f>
        <v>6</v>
      </c>
      <c r="H6">
        <f>INDEX(tSub[Insufficient],2)</f>
        <v>25</v>
      </c>
      <c r="I6">
        <f>INDEX(tSub[StaleByCode],2)</f>
        <v>30</v>
      </c>
      <c r="J6">
        <f>INDEX(tSub[StaleByReq],2)</f>
        <v>3</v>
      </c>
      <c r="K6">
        <f>INDEX(tSub[BuildsChanged],2)</f>
        <v>42</v>
      </c>
      <c r="L6" s="21">
        <f>INDEX(tSub[RigHoursOutstanding],2)</f>
        <v>132.5</v>
      </c>
    </row>
    <row r="7" spans="1:12" x14ac:dyDescent="0.35">
      <c r="A7" t="str">
        <f>INDEX(tSub[SubsystemName],3)</f>
        <v>Power Management</v>
      </c>
      <c r="B7" t="str">
        <f>INDEX(tSub[Criticality],3)</f>
        <v>Mission</v>
      </c>
      <c r="C7">
        <f>INDEX(tSub[Requirements],3)</f>
        <v>78</v>
      </c>
      <c r="D7">
        <f>INDEX(tSub[MustShip],3)</f>
        <v>37</v>
      </c>
      <c r="E7">
        <f>INDEX(tSub[CurrentMustShip],3)</f>
        <v>22</v>
      </c>
      <c r="F7" s="19">
        <f>IF(D7=0,0,E7/D7*100)</f>
        <v>59.45945945945946</v>
      </c>
      <c r="G7">
        <f>INDEX(tSub[NoEvidence],3)</f>
        <v>4</v>
      </c>
      <c r="H7">
        <f>INDEX(tSub[Insufficient],3)</f>
        <v>20</v>
      </c>
      <c r="I7">
        <f>INDEX(tSub[StaleByCode],3)</f>
        <v>5</v>
      </c>
      <c r="J7">
        <f>INDEX(tSub[StaleByReq],3)</f>
        <v>0</v>
      </c>
      <c r="K7">
        <f>INDEX(tSub[BuildsChanged],3)</f>
        <v>15</v>
      </c>
      <c r="L7" s="21">
        <f>INDEX(tSub[RigHoursOutstanding],3)</f>
        <v>32.5</v>
      </c>
    </row>
    <row r="8" spans="1:12" x14ac:dyDescent="0.35">
      <c r="A8" t="str">
        <f>INDEX(tSub[SubsystemName],4)</f>
        <v>Command &amp; Telemetry Link</v>
      </c>
      <c r="B8" t="str">
        <f>INDEX(tSub[Criticality],4)</f>
        <v>Mission</v>
      </c>
      <c r="C8">
        <f>INDEX(tSub[Requirements],4)</f>
        <v>73</v>
      </c>
      <c r="D8">
        <f>INDEX(tSub[MustShip],4)</f>
        <v>43</v>
      </c>
      <c r="E8">
        <f>INDEX(tSub[CurrentMustShip],4)</f>
        <v>26</v>
      </c>
      <c r="F8" s="19">
        <f>IF(D8=0,0,E8/D8*100)</f>
        <v>60.465116279069761</v>
      </c>
      <c r="G8">
        <f>INDEX(tSub[NoEvidence],4)</f>
        <v>5</v>
      </c>
      <c r="H8">
        <f>INDEX(tSub[Insufficient],4)</f>
        <v>15</v>
      </c>
      <c r="I8">
        <f>INDEX(tSub[StaleByCode],4)</f>
        <v>5</v>
      </c>
      <c r="J8">
        <f>INDEX(tSub[StaleByReq],4)</f>
        <v>0</v>
      </c>
      <c r="K8">
        <f>INDEX(tSub[BuildsChanged],4)</f>
        <v>23</v>
      </c>
      <c r="L8" s="21">
        <f>INDEX(tSub[RigHoursOutstanding],4)</f>
        <v>52.5</v>
      </c>
    </row>
    <row r="9" spans="1:12" x14ac:dyDescent="0.35">
      <c r="A9" t="str">
        <f>INDEX(tSub[SubsystemName],5)</f>
        <v>Structural Interface</v>
      </c>
      <c r="B9" t="str">
        <f>INDEX(tSub[Criticality],5)</f>
        <v>Safety</v>
      </c>
      <c r="C9">
        <f>INDEX(tSub[Requirements],5)</f>
        <v>29</v>
      </c>
      <c r="D9">
        <f>INDEX(tSub[MustShip],5)</f>
        <v>19</v>
      </c>
      <c r="E9">
        <f>INDEX(tSub[CurrentMustShip],5)</f>
        <v>13</v>
      </c>
      <c r="F9" s="19">
        <f>IF(D9=0,0,E9/D9*100)</f>
        <v>68.421052631578945</v>
      </c>
      <c r="G9">
        <f>INDEX(tSub[NoEvidence],5)</f>
        <v>0</v>
      </c>
      <c r="H9">
        <f>INDEX(tSub[Insufficient],5)</f>
        <v>4</v>
      </c>
      <c r="I9">
        <f>INDEX(tSub[StaleByCode],5)</f>
        <v>4</v>
      </c>
      <c r="J9">
        <f>INDEX(tSub[StaleByReq],5)</f>
        <v>0</v>
      </c>
      <c r="K9">
        <f>INDEX(tSub[BuildsChanged],5)</f>
        <v>15</v>
      </c>
      <c r="L9" s="21">
        <f>INDEX(tSub[RigHoursOutstanding],5)</f>
        <v>15</v>
      </c>
    </row>
    <row r="10" spans="1:12" x14ac:dyDescent="0.35">
      <c r="A10" t="str">
        <f>INDEX(tSub[SubsystemName],6)</f>
        <v>Ground Control Software</v>
      </c>
      <c r="B10" t="str">
        <f>INDEX(tSub[Criticality],6)</f>
        <v>Support</v>
      </c>
      <c r="C10">
        <f>INDEX(tSub[Requirements],6)</f>
        <v>61</v>
      </c>
      <c r="D10">
        <f>INDEX(tSub[MustShip],6)</f>
        <v>28</v>
      </c>
      <c r="E10">
        <f>INDEX(tSub[CurrentMustShip],6)</f>
        <v>20</v>
      </c>
      <c r="F10" s="19">
        <f>IF(D10=0,0,E10/D10*100)</f>
        <v>71.428571428571431</v>
      </c>
      <c r="G10">
        <f>INDEX(tSub[NoEvidence],6)</f>
        <v>2</v>
      </c>
      <c r="H10">
        <f>INDEX(tSub[Insufficient],6)</f>
        <v>12</v>
      </c>
      <c r="I10">
        <f>INDEX(tSub[StaleByCode],6)</f>
        <v>4</v>
      </c>
      <c r="J10">
        <f>INDEX(tSub[StaleByReq],6)</f>
        <v>1</v>
      </c>
      <c r="K10">
        <f>INDEX(tSub[BuildsChanged],6)</f>
        <v>21</v>
      </c>
      <c r="L10" s="21">
        <f>INDEX(tSub[RigHoursOutstanding],6)</f>
        <v>25</v>
      </c>
    </row>
    <row r="11" spans="1:12" x14ac:dyDescent="0.35">
      <c r="A11" t="str">
        <f>INDEX(tSub[SubsystemName],7)</f>
        <v>Navigation &amp; Sensor Fusion</v>
      </c>
      <c r="B11" t="str">
        <f>INDEX(tSub[Criticality],7)</f>
        <v>Mission</v>
      </c>
      <c r="C11">
        <f>INDEX(tSub[Requirements],7)</f>
        <v>66</v>
      </c>
      <c r="D11">
        <f>INDEX(tSub[MustShip],7)</f>
        <v>33</v>
      </c>
      <c r="E11">
        <f>INDEX(tSub[CurrentMustShip],7)</f>
        <v>24</v>
      </c>
      <c r="F11" s="19">
        <f>IF(D11=0,0,E11/D11*100)</f>
        <v>72.727272727272734</v>
      </c>
      <c r="G11">
        <f>INDEX(tSub[NoEvidence],7)</f>
        <v>1</v>
      </c>
      <c r="H11">
        <f>INDEX(tSub[Insufficient],7)</f>
        <v>10</v>
      </c>
      <c r="I11">
        <f>INDEX(tSub[StaleByCode],7)</f>
        <v>5</v>
      </c>
      <c r="J11">
        <f>INDEX(tSub[StaleByReq],7)</f>
        <v>0</v>
      </c>
      <c r="K11">
        <f>INDEX(tSub[BuildsChanged],7)</f>
        <v>17</v>
      </c>
      <c r="L11" s="21">
        <f>INDEX(tSub[RigHoursOutstanding],7)</f>
        <v>30</v>
      </c>
    </row>
    <row r="12" spans="1:12" x14ac:dyDescent="0.35">
      <c r="A12" t="str">
        <f>INDEX(tSub[SubsystemName],8)</f>
        <v>Diagnostics &amp; Logging</v>
      </c>
      <c r="B12" t="str">
        <f>INDEX(tSub[Criticality],8)</f>
        <v>Support</v>
      </c>
      <c r="C12">
        <f>INDEX(tSub[Requirements],8)</f>
        <v>40</v>
      </c>
      <c r="D12">
        <f>INDEX(tSub[MustShip],8)</f>
        <v>12</v>
      </c>
      <c r="E12">
        <f>INDEX(tSub[CurrentMustShip],8)</f>
        <v>10</v>
      </c>
      <c r="F12" s="19">
        <f>IF(D12=0,0,E12/D12*100)</f>
        <v>83.333333333333343</v>
      </c>
      <c r="G12">
        <f>INDEX(tSub[NoEvidence],8)</f>
        <v>0</v>
      </c>
      <c r="H12">
        <f>INDEX(tSub[Insufficient],8)</f>
        <v>5</v>
      </c>
      <c r="I12">
        <f>INDEX(tSub[StaleByCode],8)</f>
        <v>4</v>
      </c>
      <c r="J12">
        <f>INDEX(tSub[StaleByReq],8)</f>
        <v>0</v>
      </c>
      <c r="K12">
        <f>INDEX(tSub[BuildsChanged],8)</f>
        <v>18</v>
      </c>
      <c r="L12" s="21">
        <f>INDEX(tSub[RigHoursOutstanding],8)</f>
        <v>17.5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28AB7-D482-438D-A25A-81F60B36763F}">
  <dimension ref="A1:K49"/>
  <sheetViews>
    <sheetView workbookViewId="0"/>
  </sheetViews>
  <sheetFormatPr defaultRowHeight="14.5" x14ac:dyDescent="0.35"/>
  <cols>
    <col min="1" max="1" width="11.6328125" customWidth="1"/>
    <col min="4" max="4" width="22.6328125" customWidth="1"/>
    <col min="11" max="11" width="80.6328125" customWidth="1"/>
  </cols>
  <sheetData>
    <row r="1" spans="1:11" ht="18.5" x14ac:dyDescent="0.45">
      <c r="A1" s="22" t="s">
        <v>2676</v>
      </c>
    </row>
    <row r="2" spans="1:11" x14ac:dyDescent="0.35">
      <c r="A2" s="13" t="s">
        <v>2677</v>
      </c>
    </row>
    <row r="4" spans="1:11" x14ac:dyDescent="0.35">
      <c r="A4" s="3" t="s">
        <v>2678</v>
      </c>
      <c r="B4">
        <f>COUNTIF(tRAID[IsOpen],1)</f>
        <v>45</v>
      </c>
    </row>
    <row r="5" spans="1:11" x14ac:dyDescent="0.35">
      <c r="A5" s="3" t="s">
        <v>2679</v>
      </c>
      <c r="B5">
        <f>COUNTIFS(tRAID[ExposureBand],"Critical",tRAID[IsOpen],1)</f>
        <v>9</v>
      </c>
    </row>
    <row r="6" spans="1:11" x14ac:dyDescent="0.35">
      <c r="A6" s="3" t="s">
        <v>2680</v>
      </c>
      <c r="B6">
        <f>COUNTIFS(tRAID[IsOverdue],1,tRAID[IsOpen],1)</f>
        <v>26</v>
      </c>
    </row>
    <row r="7" spans="1:11" x14ac:dyDescent="0.35">
      <c r="A7" s="3" t="s">
        <v>2681</v>
      </c>
      <c r="B7">
        <f>SUMIFS(tRAID[ExposureScore],tRAID[IsOpen],1)</f>
        <v>466</v>
      </c>
    </row>
    <row r="9" spans="1:11" x14ac:dyDescent="0.35">
      <c r="A9" s="4" t="s">
        <v>2591</v>
      </c>
      <c r="B9" s="4" t="s">
        <v>2663</v>
      </c>
      <c r="C9" s="4" t="s">
        <v>2650</v>
      </c>
      <c r="D9" s="4" t="s">
        <v>2664</v>
      </c>
      <c r="E9" s="4" t="s">
        <v>2682</v>
      </c>
      <c r="F9" s="4" t="s">
        <v>1308</v>
      </c>
      <c r="G9" s="4" t="s">
        <v>2683</v>
      </c>
      <c r="H9" s="4" t="s">
        <v>2684</v>
      </c>
      <c r="I9" s="4" t="s">
        <v>2685</v>
      </c>
      <c r="J9" s="4" t="s">
        <v>2686</v>
      </c>
      <c r="K9" s="4" t="s">
        <v>2687</v>
      </c>
    </row>
    <row r="10" spans="1:11" x14ac:dyDescent="0.35">
      <c r="A10" t="str">
        <f>INDEX(tRAID[RAIDID],1)</f>
        <v>RAID-041</v>
      </c>
      <c r="B10" t="str">
        <f>INDEX(tRAID[RAIDType],1)</f>
        <v>Issue</v>
      </c>
      <c r="C10" t="str">
        <f>INDEX(tRAID[SubsystemCode],1)</f>
        <v>PWR-MGMT</v>
      </c>
      <c r="D10" t="str">
        <f>INDEX(tRAID[OwnerName],1)</f>
        <v>Camille Villalobos</v>
      </c>
      <c r="E10">
        <f>INDEX(tRAID[Probability],1)</f>
        <v>5</v>
      </c>
      <c r="F10">
        <f>INDEX(tRAID[Impact],1)</f>
        <v>5</v>
      </c>
      <c r="G10">
        <f>INDEX(tRAID[ExposureScore],1)</f>
        <v>25</v>
      </c>
      <c r="H10" t="str">
        <f>INDEX(tRAID[ExposureBand],1)</f>
        <v>Critical</v>
      </c>
      <c r="I10" t="str">
        <f>INDEX(tRAID[RAIDStatus],1)</f>
        <v>Closed</v>
      </c>
      <c r="J10">
        <f>INDEX(tRAID[DaysOverdue],1)</f>
        <v>0</v>
      </c>
      <c r="K10" t="str">
        <f>INDEX(tRAID[MitigationNote],1)</f>
        <v>Closed: mitigation completed and evidence attached to the verification record.</v>
      </c>
    </row>
    <row r="11" spans="1:11" x14ac:dyDescent="0.35">
      <c r="A11" t="str">
        <f>INDEX(tRAID[RAIDID],2)</f>
        <v>RAID-045</v>
      </c>
      <c r="B11" t="str">
        <f>INDEX(tRAID[RAIDType],2)</f>
        <v>Issue</v>
      </c>
      <c r="C11" t="str">
        <f>INDEX(tRAID[SubsystemCode],2)</f>
        <v>REL-MECH</v>
      </c>
      <c r="D11" t="str">
        <f>INDEX(tRAID[OwnerName],2)</f>
        <v>Dmitri Eriksen</v>
      </c>
      <c r="E11">
        <f>INDEX(tRAID[Probability],2)</f>
        <v>5</v>
      </c>
      <c r="F11">
        <f>INDEX(tRAID[Impact],2)</f>
        <v>5</v>
      </c>
      <c r="G11">
        <f>INDEX(tRAID[ExposureScore],2)</f>
        <v>25</v>
      </c>
      <c r="H11" t="str">
        <f>INDEX(tRAID[ExposureBand],2)</f>
        <v>Critical</v>
      </c>
      <c r="I11" t="str">
        <f>INDEX(tRAID[RAIDStatus],2)</f>
        <v>Open</v>
      </c>
      <c r="J11">
        <f>INDEX(tRAID[DaysOverdue],2)</f>
        <v>54</v>
      </c>
      <c r="K11" t="str">
        <f>INDEX(tRAID[MitigationNote],2)</f>
        <v>Open: no mitigation started. Requires a decision at the next programme board.</v>
      </c>
    </row>
    <row r="12" spans="1:11" x14ac:dyDescent="0.35">
      <c r="A12" t="str">
        <f>INDEX(tRAID[RAIDID],3)</f>
        <v>RAID-055</v>
      </c>
      <c r="B12" t="str">
        <f>INDEX(tRAID[RAIDType],3)</f>
        <v>Risk</v>
      </c>
      <c r="C12" t="str">
        <f>INDEX(tRAID[SubsystemCode],3)</f>
        <v>REL-MECH</v>
      </c>
      <c r="D12" t="str">
        <f>INDEX(tRAID[OwnerName],3)</f>
        <v>Nils Castellan</v>
      </c>
      <c r="E12">
        <f>INDEX(tRAID[Probability],3)</f>
        <v>5</v>
      </c>
      <c r="F12">
        <f>INDEX(tRAID[Impact],3)</f>
        <v>5</v>
      </c>
      <c r="G12">
        <f>INDEX(tRAID[ExposureScore],3)</f>
        <v>25</v>
      </c>
      <c r="H12" t="str">
        <f>INDEX(tRAID[ExposureBand],3)</f>
        <v>Critical</v>
      </c>
      <c r="I12" t="str">
        <f>INDEX(tRAID[RAIDStatus],3)</f>
        <v>Open</v>
      </c>
      <c r="J12">
        <f>INDEX(tRAID[DaysOverdue],3)</f>
        <v>239</v>
      </c>
      <c r="K12" t="str">
        <f>INDEX(tRAID[MitigationNote],3)</f>
        <v>Open: no mitigation started. Requires a decision at the next programme board.</v>
      </c>
    </row>
    <row r="13" spans="1:11" x14ac:dyDescent="0.35">
      <c r="A13" t="str">
        <f>INDEX(tRAID[RAIDID],4)</f>
        <v>RAID-061</v>
      </c>
      <c r="B13" t="str">
        <f>INDEX(tRAID[RAIDType],4)</f>
        <v>Issue</v>
      </c>
      <c r="C13" t="str">
        <f>INDEX(tRAID[SubsystemCode],4)</f>
        <v>COMM-LNK</v>
      </c>
      <c r="D13" t="str">
        <f>INDEX(tRAID[OwnerName],4)</f>
        <v>Sana Nakamura</v>
      </c>
      <c r="E13">
        <f>INDEX(tRAID[Probability],4)</f>
        <v>5</v>
      </c>
      <c r="F13">
        <f>INDEX(tRAID[Impact],4)</f>
        <v>5</v>
      </c>
      <c r="G13">
        <f>INDEX(tRAID[ExposureScore],4)</f>
        <v>25</v>
      </c>
      <c r="H13" t="str">
        <f>INDEX(tRAID[ExposureBand],4)</f>
        <v>Critical</v>
      </c>
      <c r="I13" t="str">
        <f>INDEX(tRAID[RAIDStatus],4)</f>
        <v>Open</v>
      </c>
      <c r="J13">
        <f>INDEX(tRAID[DaysOverdue],4)</f>
        <v>102</v>
      </c>
      <c r="K13" t="str">
        <f>INDEX(tRAID[MitigationNote],4)</f>
        <v>Open: no mitigation started. Requires a decision at the next programme board.</v>
      </c>
    </row>
    <row r="14" spans="1:11" x14ac:dyDescent="0.35">
      <c r="A14" t="str">
        <f>INDEX(tRAID[RAIDID],5)</f>
        <v>RAID-083</v>
      </c>
      <c r="B14" t="str">
        <f>INDEX(tRAID[RAIDType],5)</f>
        <v>Dependency</v>
      </c>
      <c r="C14" t="str">
        <f>INDEX(tRAID[SubsystemCode],5)</f>
        <v>PWR-MGMT</v>
      </c>
      <c r="D14" t="str">
        <f>INDEX(tRAID[OwnerName],5)</f>
        <v>Hiroshi Ibarra</v>
      </c>
      <c r="E14">
        <f>INDEX(tRAID[Probability],5)</f>
        <v>5</v>
      </c>
      <c r="F14">
        <f>INDEX(tRAID[Impact],5)</f>
        <v>5</v>
      </c>
      <c r="G14">
        <f>INDEX(tRAID[ExposureScore],5)</f>
        <v>25</v>
      </c>
      <c r="H14" t="str">
        <f>INDEX(tRAID[ExposureBand],5)</f>
        <v>Critical</v>
      </c>
      <c r="I14" t="str">
        <f>INDEX(tRAID[RAIDStatus],5)</f>
        <v>Closed</v>
      </c>
      <c r="J14">
        <f>INDEX(tRAID[DaysOverdue],5)</f>
        <v>0</v>
      </c>
      <c r="K14" t="str">
        <f>INDEX(tRAID[MitigationNote],5)</f>
        <v>Closed: mitigation completed and evidence attached to the verification record.</v>
      </c>
    </row>
    <row r="15" spans="1:11" x14ac:dyDescent="0.35">
      <c r="A15" t="str">
        <f>INDEX(tRAID[RAIDID],6)</f>
        <v>RAID-091</v>
      </c>
      <c r="B15" t="str">
        <f>INDEX(tRAID[RAIDType],6)</f>
        <v>Risk</v>
      </c>
      <c r="C15" t="str">
        <f>INDEX(tRAID[SubsystemCode],6)</f>
        <v>PWR-MGMT</v>
      </c>
      <c r="D15" t="str">
        <f>INDEX(tRAID[OwnerName],6)</f>
        <v>Aditi Halvorsen</v>
      </c>
      <c r="E15">
        <f>INDEX(tRAID[Probability],6)</f>
        <v>5</v>
      </c>
      <c r="F15">
        <f>INDEX(tRAID[Impact],6)</f>
        <v>5</v>
      </c>
      <c r="G15">
        <f>INDEX(tRAID[ExposureScore],6)</f>
        <v>25</v>
      </c>
      <c r="H15" t="str">
        <f>INDEX(tRAID[ExposureBand],6)</f>
        <v>Critical</v>
      </c>
      <c r="I15" t="str">
        <f>INDEX(tRAID[RAIDStatus],6)</f>
        <v>Closed</v>
      </c>
      <c r="J15">
        <f>INDEX(tRAID[DaysOverdue],6)</f>
        <v>0</v>
      </c>
      <c r="K15" t="str">
        <f>INDEX(tRAID[MitigationNote],6)</f>
        <v>Closed: mitigation completed and evidence attached to the verification record.</v>
      </c>
    </row>
    <row r="16" spans="1:11" x14ac:dyDescent="0.35">
      <c r="A16" t="str">
        <f>INDEX(tRAID[RAIDID],7)</f>
        <v>RAID-032</v>
      </c>
      <c r="B16" t="str">
        <f>INDEX(tRAID[RAIDType],7)</f>
        <v>Risk</v>
      </c>
      <c r="C16" t="str">
        <f>INDEX(tRAID[SubsystemCode],7)</f>
        <v>DIAG-LOG</v>
      </c>
      <c r="D16" t="str">
        <f>INDEX(tRAID[OwnerName],7)</f>
        <v>Mei Thackeray</v>
      </c>
      <c r="E16">
        <f>INDEX(tRAID[Probability],7)</f>
        <v>4</v>
      </c>
      <c r="F16">
        <f>INDEX(tRAID[Impact],7)</f>
        <v>5</v>
      </c>
      <c r="G16">
        <f>INDEX(tRAID[ExposureScore],7)</f>
        <v>24</v>
      </c>
      <c r="H16" t="str">
        <f>INDEX(tRAID[ExposureBand],7)</f>
        <v>Critical</v>
      </c>
      <c r="I16" t="str">
        <f>INDEX(tRAID[RAIDStatus],7)</f>
        <v>Mitigating</v>
      </c>
      <c r="J16">
        <f>INDEX(tRAID[DaysOverdue],7)</f>
        <v>0</v>
      </c>
      <c r="K16" t="str">
        <f>INDEX(tRAID[MitigationNote],7)</f>
        <v>Mitigation in progress; owner reporting weekly to the programme board.</v>
      </c>
    </row>
    <row r="17" spans="1:11" x14ac:dyDescent="0.35">
      <c r="A17" t="str">
        <f>INDEX(tRAID[RAIDID],8)</f>
        <v>RAID-075</v>
      </c>
      <c r="B17" t="str">
        <f>INDEX(tRAID[RAIDType],8)</f>
        <v>Assumption</v>
      </c>
      <c r="C17" t="str">
        <f>INDEX(tRAID[SubsystemCode],8)</f>
        <v>COMM-LNK</v>
      </c>
      <c r="D17" t="str">
        <f>INDEX(tRAID[OwnerName],8)</f>
        <v>Ulrike Dalgleish</v>
      </c>
      <c r="E17">
        <f>INDEX(tRAID[Probability],8)</f>
        <v>4</v>
      </c>
      <c r="F17">
        <f>INDEX(tRAID[Impact],8)</f>
        <v>5</v>
      </c>
      <c r="G17">
        <f>INDEX(tRAID[ExposureScore],8)</f>
        <v>24</v>
      </c>
      <c r="H17" t="str">
        <f>INDEX(tRAID[ExposureBand],8)</f>
        <v>Critical</v>
      </c>
      <c r="I17" t="str">
        <f>INDEX(tRAID[RAIDStatus],8)</f>
        <v>Closed</v>
      </c>
      <c r="J17">
        <f>INDEX(tRAID[DaysOverdue],8)</f>
        <v>0</v>
      </c>
      <c r="K17" t="str">
        <f>INDEX(tRAID[MitigationNote],8)</f>
        <v>Closed: mitigation completed and evidence attached to the verification record.</v>
      </c>
    </row>
    <row r="18" spans="1:11" x14ac:dyDescent="0.35">
      <c r="A18" t="str">
        <f>INDEX(tRAID[RAIDID],9)</f>
        <v>RAID-086</v>
      </c>
      <c r="B18" t="str">
        <f>INDEX(tRAID[RAIDType],9)</f>
        <v>Dependency</v>
      </c>
      <c r="C18" t="str">
        <f>INDEX(tRAID[SubsystemCode],9)</f>
        <v>STRUCT-I</v>
      </c>
      <c r="D18" t="str">
        <f>INDEX(tRAID[OwnerName],9)</f>
        <v>Hiroshi Ibarra</v>
      </c>
      <c r="E18">
        <f>INDEX(tRAID[Probability],9)</f>
        <v>4</v>
      </c>
      <c r="F18">
        <f>INDEX(tRAID[Impact],9)</f>
        <v>5</v>
      </c>
      <c r="G18">
        <f>INDEX(tRAID[ExposureScore],9)</f>
        <v>24</v>
      </c>
      <c r="H18" t="str">
        <f>INDEX(tRAID[ExposureBand],9)</f>
        <v>Critical</v>
      </c>
      <c r="I18" t="str">
        <f>INDEX(tRAID[RAIDStatus],9)</f>
        <v>Closed</v>
      </c>
      <c r="J18">
        <f>INDEX(tRAID[DaysOverdue],9)</f>
        <v>0</v>
      </c>
      <c r="K18" t="str">
        <f>INDEX(tRAID[MitigationNote],9)</f>
        <v>Closed: mitigation completed and evidence attached to the verification record.</v>
      </c>
    </row>
    <row r="19" spans="1:11" x14ac:dyDescent="0.35">
      <c r="A19" t="str">
        <f>INDEX(tRAID[RAIDID],10)</f>
        <v>RAID-051</v>
      </c>
      <c r="B19" t="str">
        <f>INDEX(tRAID[RAIDType],10)</f>
        <v>Risk</v>
      </c>
      <c r="C19" t="str">
        <f>INDEX(tRAID[SubsystemCode],10)</f>
        <v>FLT-CTRL</v>
      </c>
      <c r="D19" t="str">
        <f>INDEX(tRAID[OwnerName],10)</f>
        <v>Jonas Weatherby</v>
      </c>
      <c r="E19">
        <f>INDEX(tRAID[Probability],10)</f>
        <v>5</v>
      </c>
      <c r="F19">
        <f>INDEX(tRAID[Impact],10)</f>
        <v>4</v>
      </c>
      <c r="G19">
        <f>INDEX(tRAID[ExposureScore],10)</f>
        <v>22</v>
      </c>
      <c r="H19" t="str">
        <f>INDEX(tRAID[ExposureBand],10)</f>
        <v>Critical</v>
      </c>
      <c r="I19" t="str">
        <f>INDEX(tRAID[RAIDStatus],10)</f>
        <v>Closed</v>
      </c>
      <c r="J19">
        <f>INDEX(tRAID[DaysOverdue],10)</f>
        <v>0</v>
      </c>
      <c r="K19" t="str">
        <f>INDEX(tRAID[MitigationNote],10)</f>
        <v>Closed: mitigation completed and evidence attached to the verification record.</v>
      </c>
    </row>
    <row r="20" spans="1:11" x14ac:dyDescent="0.35">
      <c r="A20" t="str">
        <f>INDEX(tRAID[RAIDID],11)</f>
        <v>RAID-090</v>
      </c>
      <c r="B20" t="str">
        <f>INDEX(tRAID[RAIDType],11)</f>
        <v>Issue</v>
      </c>
      <c r="C20" t="str">
        <f>INDEX(tRAID[SubsystemCode],11)</f>
        <v>FLT-CTRL</v>
      </c>
      <c r="D20" t="str">
        <f>INDEX(tRAID[OwnerName],11)</f>
        <v>Tomas Ustinov</v>
      </c>
      <c r="E20">
        <f>INDEX(tRAID[Probability],11)</f>
        <v>5</v>
      </c>
      <c r="F20">
        <f>INDEX(tRAID[Impact],11)</f>
        <v>4</v>
      </c>
      <c r="G20">
        <f>INDEX(tRAID[ExposureScore],11)</f>
        <v>22</v>
      </c>
      <c r="H20" t="str">
        <f>INDEX(tRAID[ExposureBand],11)</f>
        <v>Critical</v>
      </c>
      <c r="I20" t="str">
        <f>INDEX(tRAID[RAIDStatus],11)</f>
        <v>Open</v>
      </c>
      <c r="J20">
        <f>INDEX(tRAID[DaysOverdue],11)</f>
        <v>0</v>
      </c>
      <c r="K20" t="str">
        <f>INDEX(tRAID[MitigationNote],11)</f>
        <v>Open: no mitigation started. Requires a decision at the next programme board.</v>
      </c>
    </row>
    <row r="21" spans="1:11" x14ac:dyDescent="0.35">
      <c r="A21" t="str">
        <f>INDEX(tRAID[RAIDID],12)</f>
        <v>RAID-004</v>
      </c>
      <c r="B21" t="str">
        <f>INDEX(tRAID[RAIDType],12)</f>
        <v>Issue</v>
      </c>
      <c r="C21" t="str">
        <f>INDEX(tRAID[SubsystemCode],12)</f>
        <v>COMM-LNK</v>
      </c>
      <c r="D21" t="str">
        <f>INDEX(tRAID[OwnerName],12)</f>
        <v>Tomas Ustinov</v>
      </c>
      <c r="E21">
        <f>INDEX(tRAID[Probability],12)</f>
        <v>3</v>
      </c>
      <c r="F21">
        <f>INDEX(tRAID[Impact],12)</f>
        <v>5</v>
      </c>
      <c r="G21">
        <f>INDEX(tRAID[ExposureScore],12)</f>
        <v>20</v>
      </c>
      <c r="H21" t="str">
        <f>INDEX(tRAID[ExposureBand],12)</f>
        <v>Critical</v>
      </c>
      <c r="I21" t="str">
        <f>INDEX(tRAID[RAIDStatus],12)</f>
        <v>Mitigating</v>
      </c>
      <c r="J21">
        <f>INDEX(tRAID[DaysOverdue],12)</f>
        <v>0</v>
      </c>
      <c r="K21" t="str">
        <f>INDEX(tRAID[MitigationNote],12)</f>
        <v>Mitigation in progress; owner reporting weekly to the programme board.</v>
      </c>
    </row>
    <row r="22" spans="1:11" x14ac:dyDescent="0.35">
      <c r="A22" t="str">
        <f>INDEX(tRAID[RAIDID],13)</f>
        <v>RAID-015</v>
      </c>
      <c r="B22" t="str">
        <f>INDEX(tRAID[RAIDType],13)</f>
        <v>Issue</v>
      </c>
      <c r="C22" t="str">
        <f>INDEX(tRAID[SubsystemCode],13)</f>
        <v>FLT-CTRL</v>
      </c>
      <c r="D22" t="str">
        <f>INDEX(tRAID[OwnerName],13)</f>
        <v>Aditi Halvorsen</v>
      </c>
      <c r="E22">
        <f>INDEX(tRAID[Probability],13)</f>
        <v>3</v>
      </c>
      <c r="F22">
        <f>INDEX(tRAID[Impact],13)</f>
        <v>5</v>
      </c>
      <c r="G22">
        <f>INDEX(tRAID[ExposureScore],13)</f>
        <v>20</v>
      </c>
      <c r="H22" t="str">
        <f>INDEX(tRAID[ExposureBand],13)</f>
        <v>Critical</v>
      </c>
      <c r="I22" t="str">
        <f>INDEX(tRAID[RAIDStatus],13)</f>
        <v>Closed</v>
      </c>
      <c r="J22">
        <f>INDEX(tRAID[DaysOverdue],13)</f>
        <v>0</v>
      </c>
      <c r="K22" t="str">
        <f>INDEX(tRAID[MitigationNote],13)</f>
        <v>Closed: mitigation completed and evidence attached to the verification record.</v>
      </c>
    </row>
    <row r="23" spans="1:11" x14ac:dyDescent="0.35">
      <c r="A23" t="str">
        <f>INDEX(tRAID[RAIDID],14)</f>
        <v>RAID-018</v>
      </c>
      <c r="B23" t="str">
        <f>INDEX(tRAID[RAIDType],14)</f>
        <v>Dependency</v>
      </c>
      <c r="C23" t="str">
        <f>INDEX(tRAID[SubsystemCode],14)</f>
        <v>REL-MECH</v>
      </c>
      <c r="D23" t="str">
        <f>INDEX(tRAID[OwnerName],14)</f>
        <v>Bruno Oyelaran</v>
      </c>
      <c r="E23">
        <f>INDEX(tRAID[Probability],14)</f>
        <v>3</v>
      </c>
      <c r="F23">
        <f>INDEX(tRAID[Impact],14)</f>
        <v>5</v>
      </c>
      <c r="G23">
        <f>INDEX(tRAID[ExposureScore],14)</f>
        <v>20</v>
      </c>
      <c r="H23" t="str">
        <f>INDEX(tRAID[ExposureBand],14)</f>
        <v>Critical</v>
      </c>
      <c r="I23" t="str">
        <f>INDEX(tRAID[RAIDStatus],14)</f>
        <v>Mitigating</v>
      </c>
      <c r="J23">
        <f>INDEX(tRAID[DaysOverdue],14)</f>
        <v>0</v>
      </c>
      <c r="K23" t="str">
        <f>INDEX(tRAID[MitigationNote],14)</f>
        <v>Mitigation in progress; owner reporting weekly to the programme board.</v>
      </c>
    </row>
    <row r="24" spans="1:11" x14ac:dyDescent="0.35">
      <c r="A24" t="str">
        <f>INDEX(tRAID[RAIDID],15)</f>
        <v>RAID-033</v>
      </c>
      <c r="B24" t="str">
        <f>INDEX(tRAID[RAIDType],15)</f>
        <v>Risk</v>
      </c>
      <c r="C24" t="str">
        <f>INDEX(tRAID[SubsystemCode],15)</f>
        <v>GND-CTRL</v>
      </c>
      <c r="D24" t="str">
        <f>INDEX(tRAID[OwnerName],15)</f>
        <v>Liam Moreau</v>
      </c>
      <c r="E24">
        <f>INDEX(tRAID[Probability],15)</f>
        <v>3</v>
      </c>
      <c r="F24">
        <f>INDEX(tRAID[Impact],15)</f>
        <v>5</v>
      </c>
      <c r="G24">
        <f>INDEX(tRAID[ExposureScore],15)</f>
        <v>20</v>
      </c>
      <c r="H24" t="str">
        <f>INDEX(tRAID[ExposureBand],15)</f>
        <v>Critical</v>
      </c>
      <c r="I24" t="str">
        <f>INDEX(tRAID[RAIDStatus],15)</f>
        <v>Closed</v>
      </c>
      <c r="J24">
        <f>INDEX(tRAID[DaysOverdue],15)</f>
        <v>0</v>
      </c>
      <c r="K24" t="str">
        <f>INDEX(tRAID[MitigationNote],15)</f>
        <v>Closed: mitigation completed and evidence attached to the verification record.</v>
      </c>
    </row>
    <row r="25" spans="1:11" x14ac:dyDescent="0.35">
      <c r="A25" t="str">
        <f>INDEX(tRAID[RAIDID],16)</f>
        <v>RAID-042</v>
      </c>
      <c r="B25" t="str">
        <f>INDEX(tRAID[RAIDType],16)</f>
        <v>Risk</v>
      </c>
      <c r="C25" t="str">
        <f>INDEX(tRAID[SubsystemCode],16)</f>
        <v>PWR-MGMT</v>
      </c>
      <c r="D25" t="str">
        <f>INDEX(tRAID[OwnerName],16)</f>
        <v>Aditi Halvorsen</v>
      </c>
      <c r="E25">
        <f>INDEX(tRAID[Probability],16)</f>
        <v>3</v>
      </c>
      <c r="F25">
        <f>INDEX(tRAID[Impact],16)</f>
        <v>5</v>
      </c>
      <c r="G25">
        <f>INDEX(tRAID[ExposureScore],16)</f>
        <v>20</v>
      </c>
      <c r="H25" t="str">
        <f>INDEX(tRAID[ExposureBand],16)</f>
        <v>Critical</v>
      </c>
      <c r="I25" t="str">
        <f>INDEX(tRAID[RAIDStatus],16)</f>
        <v>Open</v>
      </c>
      <c r="J25">
        <f>INDEX(tRAID[DaysOverdue],16)</f>
        <v>71</v>
      </c>
      <c r="K25" t="str">
        <f>INDEX(tRAID[MitigationNote],16)</f>
        <v>Open: no mitigation started. Requires a decision at the next programme board.</v>
      </c>
    </row>
    <row r="26" spans="1:11" x14ac:dyDescent="0.35">
      <c r="A26" t="str">
        <f>INDEX(tRAID[RAIDID],17)</f>
        <v>RAID-072</v>
      </c>
      <c r="B26" t="str">
        <f>INDEX(tRAID[RAIDType],17)</f>
        <v>Issue</v>
      </c>
      <c r="C26" t="str">
        <f>INDEX(tRAID[SubsystemCode],17)</f>
        <v>REL-MECH</v>
      </c>
      <c r="D26" t="str">
        <f>INDEX(tRAID[OwnerName],17)</f>
        <v>Ulrike Dalgleish</v>
      </c>
      <c r="E26">
        <f>INDEX(tRAID[Probability],17)</f>
        <v>3</v>
      </c>
      <c r="F26">
        <f>INDEX(tRAID[Impact],17)</f>
        <v>5</v>
      </c>
      <c r="G26">
        <f>INDEX(tRAID[ExposureScore],17)</f>
        <v>20</v>
      </c>
      <c r="H26" t="str">
        <f>INDEX(tRAID[ExposureBand],17)</f>
        <v>Critical</v>
      </c>
      <c r="I26" t="str">
        <f>INDEX(tRAID[RAIDStatus],17)</f>
        <v>Closed</v>
      </c>
      <c r="J26">
        <f>INDEX(tRAID[DaysOverdue],17)</f>
        <v>0</v>
      </c>
      <c r="K26" t="str">
        <f>INDEX(tRAID[MitigationNote],17)</f>
        <v>Closed: mitigation completed and evidence attached to the verification record.</v>
      </c>
    </row>
    <row r="27" spans="1:11" x14ac:dyDescent="0.35">
      <c r="A27" t="str">
        <f>INDEX(tRAID[RAIDID],18)</f>
        <v>RAID-073</v>
      </c>
      <c r="B27" t="str">
        <f>INDEX(tRAID[RAIDType],18)</f>
        <v>Risk</v>
      </c>
      <c r="C27" t="str">
        <f>INDEX(tRAID[SubsystemCode],18)</f>
        <v>FLT-CTRL</v>
      </c>
      <c r="D27" t="str">
        <f>INDEX(tRAID[OwnerName],18)</f>
        <v>Sana Nakamura</v>
      </c>
      <c r="E27">
        <f>INDEX(tRAID[Probability],18)</f>
        <v>3</v>
      </c>
      <c r="F27">
        <f>INDEX(tRAID[Impact],18)</f>
        <v>5</v>
      </c>
      <c r="G27">
        <f>INDEX(tRAID[ExposureScore],18)</f>
        <v>20</v>
      </c>
      <c r="H27" t="str">
        <f>INDEX(tRAID[ExposureBand],18)</f>
        <v>Critical</v>
      </c>
      <c r="I27" t="str">
        <f>INDEX(tRAID[RAIDStatus],18)</f>
        <v>Open</v>
      </c>
      <c r="J27">
        <f>INDEX(tRAID[DaysOverdue],18)</f>
        <v>355</v>
      </c>
      <c r="K27" t="str">
        <f>INDEX(tRAID[MitigationNote],18)</f>
        <v>Open: no mitigation started. Requires a decision at the next programme board.</v>
      </c>
    </row>
    <row r="28" spans="1:11" x14ac:dyDescent="0.35">
      <c r="A28" t="str">
        <f>INDEX(tRAID[RAIDID],19)</f>
        <v>RAID-043</v>
      </c>
      <c r="B28" t="str">
        <f>INDEX(tRAID[RAIDType],19)</f>
        <v>Risk</v>
      </c>
      <c r="C28" t="str">
        <f>INDEX(tRAID[SubsystemCode],19)</f>
        <v>REL-MECH</v>
      </c>
      <c r="D28" t="str">
        <f>INDEX(tRAID[OwnerName],19)</f>
        <v>Camille Villalobos</v>
      </c>
      <c r="E28">
        <f>INDEX(tRAID[Probability],19)</f>
        <v>4</v>
      </c>
      <c r="F28">
        <f>INDEX(tRAID[Impact],19)</f>
        <v>4</v>
      </c>
      <c r="G28">
        <f>INDEX(tRAID[ExposureScore],19)</f>
        <v>18</v>
      </c>
      <c r="H28" t="str">
        <f>INDEX(tRAID[ExposureBand],19)</f>
        <v>High</v>
      </c>
      <c r="I28" t="str">
        <f>INDEX(tRAID[RAIDStatus],19)</f>
        <v>Closed</v>
      </c>
      <c r="J28">
        <f>INDEX(tRAID[DaysOverdue],19)</f>
        <v>0</v>
      </c>
      <c r="K28" t="str">
        <f>INDEX(tRAID[MitigationNote],19)</f>
        <v>Closed: mitigation completed and evidence attached to the verification record.</v>
      </c>
    </row>
    <row r="29" spans="1:11" x14ac:dyDescent="0.35">
      <c r="A29" t="str">
        <f>INDEX(tRAID[RAIDID],20)</f>
        <v>RAID-048</v>
      </c>
      <c r="B29" t="str">
        <f>INDEX(tRAID[RAIDType],20)</f>
        <v>Issue</v>
      </c>
      <c r="C29" t="str">
        <f>INDEX(tRAID[SubsystemCode],20)</f>
        <v>PWR-MGMT</v>
      </c>
      <c r="D29" t="str">
        <f>INDEX(tRAID[OwnerName],20)</f>
        <v>Farid Saltzman</v>
      </c>
      <c r="E29">
        <f>INDEX(tRAID[Probability],20)</f>
        <v>4</v>
      </c>
      <c r="F29">
        <f>INDEX(tRAID[Impact],20)</f>
        <v>4</v>
      </c>
      <c r="G29">
        <f>INDEX(tRAID[ExposureScore],20)</f>
        <v>18</v>
      </c>
      <c r="H29" t="str">
        <f>INDEX(tRAID[ExposureBand],20)</f>
        <v>High</v>
      </c>
      <c r="I29" t="str">
        <f>INDEX(tRAID[RAIDStatus],20)</f>
        <v>Closed</v>
      </c>
      <c r="J29">
        <f>INDEX(tRAID[DaysOverdue],20)</f>
        <v>0</v>
      </c>
      <c r="K29" t="str">
        <f>INDEX(tRAID[MitigationNote],20)</f>
        <v>Closed: mitigation completed and evidence attached to the verification record.</v>
      </c>
    </row>
    <row r="30" spans="1:11" x14ac:dyDescent="0.35">
      <c r="A30" t="str">
        <f>INDEX(tRAID[RAIDID],21)</f>
        <v>RAID-005</v>
      </c>
      <c r="B30" t="str">
        <f>INDEX(tRAID[RAIDType],21)</f>
        <v>Assumption</v>
      </c>
      <c r="C30" t="str">
        <f>INDEX(tRAID[SubsystemCode],21)</f>
        <v>STRUCT-I</v>
      </c>
      <c r="D30" t="str">
        <f>INDEX(tRAID[OwnerName],21)</f>
        <v>Nils Castellan</v>
      </c>
      <c r="E30">
        <f>INDEX(tRAID[Probability],21)</f>
        <v>5</v>
      </c>
      <c r="F30">
        <f>INDEX(tRAID[Impact],21)</f>
        <v>3</v>
      </c>
      <c r="G30">
        <f>INDEX(tRAID[ExposureScore],21)</f>
        <v>17</v>
      </c>
      <c r="H30" t="str">
        <f>INDEX(tRAID[ExposureBand],21)</f>
        <v>High</v>
      </c>
      <c r="I30" t="str">
        <f>INDEX(tRAID[RAIDStatus],21)</f>
        <v>Closed</v>
      </c>
      <c r="J30">
        <f>INDEX(tRAID[DaysOverdue],21)</f>
        <v>0</v>
      </c>
      <c r="K30" t="str">
        <f>INDEX(tRAID[MitigationNote],21)</f>
        <v>Closed: mitigation completed and evidence attached to the verification record.</v>
      </c>
    </row>
    <row r="31" spans="1:11" x14ac:dyDescent="0.35">
      <c r="A31" t="str">
        <f>INDEX(tRAID[RAIDID],22)</f>
        <v>RAID-009</v>
      </c>
      <c r="B31" t="str">
        <f>INDEX(tRAID[RAIDType],22)</f>
        <v>Issue</v>
      </c>
      <c r="C31" t="str">
        <f>INDEX(tRAID[SubsystemCode],22)</f>
        <v>FLT-CTRL</v>
      </c>
      <c r="D31" t="str">
        <f>INDEX(tRAID[OwnerName],22)</f>
        <v>Jonas Weatherby</v>
      </c>
      <c r="E31">
        <f>INDEX(tRAID[Probability],22)</f>
        <v>5</v>
      </c>
      <c r="F31">
        <f>INDEX(tRAID[Impact],22)</f>
        <v>3</v>
      </c>
      <c r="G31">
        <f>INDEX(tRAID[ExposureScore],22)</f>
        <v>17</v>
      </c>
      <c r="H31" t="str">
        <f>INDEX(tRAID[ExposureBand],22)</f>
        <v>High</v>
      </c>
      <c r="I31" t="str">
        <f>INDEX(tRAID[RAIDStatus],22)</f>
        <v>Closed</v>
      </c>
      <c r="J31">
        <f>INDEX(tRAID[DaysOverdue],22)</f>
        <v>0</v>
      </c>
      <c r="K31" t="str">
        <f>INDEX(tRAID[MitigationNote],22)</f>
        <v>Closed: mitigation completed and evidence attached to the verification record.</v>
      </c>
    </row>
    <row r="32" spans="1:11" x14ac:dyDescent="0.35">
      <c r="A32" t="str">
        <f>INDEX(tRAID[RAIDID],23)</f>
        <v>RAID-027</v>
      </c>
      <c r="B32" t="str">
        <f>INDEX(tRAID[RAIDType],23)</f>
        <v>Risk</v>
      </c>
      <c r="C32" t="str">
        <f>INDEX(tRAID[SubsystemCode],23)</f>
        <v>STRUCT-I</v>
      </c>
      <c r="D32" t="str">
        <f>INDEX(tRAID[OwnerName],23)</f>
        <v>Rafael Grigorescu</v>
      </c>
      <c r="E32">
        <f>INDEX(tRAID[Probability],23)</f>
        <v>5</v>
      </c>
      <c r="F32">
        <f>INDEX(tRAID[Impact],23)</f>
        <v>3</v>
      </c>
      <c r="G32">
        <f>INDEX(tRAID[ExposureScore],23)</f>
        <v>17</v>
      </c>
      <c r="H32" t="str">
        <f>INDEX(tRAID[ExposureBand],23)</f>
        <v>High</v>
      </c>
      <c r="I32" t="str">
        <f>INDEX(tRAID[RAIDStatus],23)</f>
        <v>Mitigating</v>
      </c>
      <c r="J32">
        <f>INDEX(tRAID[DaysOverdue],23)</f>
        <v>0</v>
      </c>
      <c r="K32" t="str">
        <f>INDEX(tRAID[MitigationNote],23)</f>
        <v>Mitigation in progress; owner reporting weekly to the programme board.</v>
      </c>
    </row>
    <row r="33" spans="1:11" x14ac:dyDescent="0.35">
      <c r="A33" t="str">
        <f>INDEX(tRAID[RAIDID],24)</f>
        <v>RAID-068</v>
      </c>
      <c r="B33" t="str">
        <f>INDEX(tRAID[RAIDType],24)</f>
        <v>Risk</v>
      </c>
      <c r="C33" t="str">
        <f>INDEX(tRAID[SubsystemCode],24)</f>
        <v>NAV-SENS</v>
      </c>
      <c r="D33" t="str">
        <f>INDEX(tRAID[OwnerName],24)</f>
        <v>Nils Castellan</v>
      </c>
      <c r="E33">
        <f>INDEX(tRAID[Probability],24)</f>
        <v>5</v>
      </c>
      <c r="F33">
        <f>INDEX(tRAID[Impact],24)</f>
        <v>3</v>
      </c>
      <c r="G33">
        <f>INDEX(tRAID[ExposureScore],24)</f>
        <v>17</v>
      </c>
      <c r="H33" t="str">
        <f>INDEX(tRAID[ExposureBand],24)</f>
        <v>High</v>
      </c>
      <c r="I33" t="str">
        <f>INDEX(tRAID[RAIDStatus],24)</f>
        <v>Mitigating</v>
      </c>
      <c r="J33">
        <f>INDEX(tRAID[DaysOverdue],24)</f>
        <v>0</v>
      </c>
      <c r="K33" t="str">
        <f>INDEX(tRAID[MitigationNote],24)</f>
        <v>Mitigation in progress; owner reporting weekly to the programme board.</v>
      </c>
    </row>
    <row r="34" spans="1:11" x14ac:dyDescent="0.35">
      <c r="A34" t="str">
        <f>INDEX(tRAID[RAIDID],25)</f>
        <v>RAID-017</v>
      </c>
      <c r="B34" t="str">
        <f>INDEX(tRAID[RAIDType],25)</f>
        <v>Assumption</v>
      </c>
      <c r="C34" t="str">
        <f>INDEX(tRAID[SubsystemCode],25)</f>
        <v>FLT-CTRL</v>
      </c>
      <c r="D34" t="str">
        <f>INDEX(tRAID[OwnerName],25)</f>
        <v>Aditi Halvorsen</v>
      </c>
      <c r="E34">
        <f>INDEX(tRAID[Probability],25)</f>
        <v>2</v>
      </c>
      <c r="F34">
        <f>INDEX(tRAID[Impact],25)</f>
        <v>5</v>
      </c>
      <c r="G34">
        <f>INDEX(tRAID[ExposureScore],25)</f>
        <v>15</v>
      </c>
      <c r="H34" t="str">
        <f>INDEX(tRAID[ExposureBand],25)</f>
        <v>High</v>
      </c>
      <c r="I34" t="str">
        <f>INDEX(tRAID[RAIDStatus],25)</f>
        <v>Open</v>
      </c>
      <c r="J34">
        <f>INDEX(tRAID[DaysOverdue],25)</f>
        <v>0</v>
      </c>
      <c r="K34" t="str">
        <f>INDEX(tRAID[MitigationNote],25)</f>
        <v>Open: no mitigation started. Requires a decision at the next programme board.</v>
      </c>
    </row>
    <row r="35" spans="1:11" x14ac:dyDescent="0.35">
      <c r="A35" t="str">
        <f>INDEX(tRAID[RAIDID],26)</f>
        <v>RAID-021</v>
      </c>
      <c r="B35" t="str">
        <f>INDEX(tRAID[RAIDType],26)</f>
        <v>Issue</v>
      </c>
      <c r="C35" t="str">
        <f>INDEX(tRAID[SubsystemCode],26)</f>
        <v>NAV-SENS</v>
      </c>
      <c r="D35" t="str">
        <f>INDEX(tRAID[OwnerName],26)</f>
        <v>Mei Thackeray</v>
      </c>
      <c r="E35">
        <f>INDEX(tRAID[Probability],26)</f>
        <v>3</v>
      </c>
      <c r="F35">
        <f>INDEX(tRAID[Impact],26)</f>
        <v>4</v>
      </c>
      <c r="G35">
        <f>INDEX(tRAID[ExposureScore],26)</f>
        <v>14</v>
      </c>
      <c r="H35" t="str">
        <f>INDEX(tRAID[ExposureBand],26)</f>
        <v>High</v>
      </c>
      <c r="I35" t="str">
        <f>INDEX(tRAID[RAIDStatus],26)</f>
        <v>Mitigating</v>
      </c>
      <c r="J35">
        <f>INDEX(tRAID[DaysOverdue],26)</f>
        <v>230</v>
      </c>
      <c r="K35" t="str">
        <f>INDEX(tRAID[MitigationNote],26)</f>
        <v>Mitigation in progress; owner reporting weekly to the programme board.</v>
      </c>
    </row>
    <row r="36" spans="1:11" x14ac:dyDescent="0.35">
      <c r="A36" t="str">
        <f>INDEX(tRAID[RAIDID],27)</f>
        <v>RAID-028</v>
      </c>
      <c r="B36" t="str">
        <f>INDEX(tRAID[RAIDType],27)</f>
        <v>Risk</v>
      </c>
      <c r="C36" t="str">
        <f>INDEX(tRAID[SubsystemCode],27)</f>
        <v>GND-CTRL</v>
      </c>
      <c r="D36" t="str">
        <f>INDEX(tRAID[OwnerName],27)</f>
        <v>Mei Thackeray</v>
      </c>
      <c r="E36">
        <f>INDEX(tRAID[Probability],27)</f>
        <v>3</v>
      </c>
      <c r="F36">
        <f>INDEX(tRAID[Impact],27)</f>
        <v>4</v>
      </c>
      <c r="G36">
        <f>INDEX(tRAID[ExposureScore],27)</f>
        <v>14</v>
      </c>
      <c r="H36" t="str">
        <f>INDEX(tRAID[ExposureBand],27)</f>
        <v>High</v>
      </c>
      <c r="I36" t="str">
        <f>INDEX(tRAID[RAIDStatus],27)</f>
        <v>Mitigating</v>
      </c>
      <c r="J36">
        <f>INDEX(tRAID[DaysOverdue],27)</f>
        <v>0</v>
      </c>
      <c r="K36" t="str">
        <f>INDEX(tRAID[MitigationNote],27)</f>
        <v>Mitigation in progress; owner reporting weekly to the programme board.</v>
      </c>
    </row>
    <row r="37" spans="1:11" x14ac:dyDescent="0.35">
      <c r="A37" t="str">
        <f>INDEX(tRAID[RAIDID],28)</f>
        <v>RAID-030</v>
      </c>
      <c r="B37" t="str">
        <f>INDEX(tRAID[RAIDType],28)</f>
        <v>Assumption</v>
      </c>
      <c r="C37" t="str">
        <f>INDEX(tRAID[SubsystemCode],28)</f>
        <v>DIAG-LOG</v>
      </c>
      <c r="D37" t="str">
        <f>INDEX(tRAID[OwnerName],28)</f>
        <v>Elena Lindqvist</v>
      </c>
      <c r="E37">
        <f>INDEX(tRAID[Probability],28)</f>
        <v>4</v>
      </c>
      <c r="F37">
        <f>INDEX(tRAID[Impact],28)</f>
        <v>3</v>
      </c>
      <c r="G37">
        <f>INDEX(tRAID[ExposureScore],28)</f>
        <v>14</v>
      </c>
      <c r="H37" t="str">
        <f>INDEX(tRAID[ExposureBand],28)</f>
        <v>High</v>
      </c>
      <c r="I37" t="str">
        <f>INDEX(tRAID[RAIDStatus],28)</f>
        <v>Closed</v>
      </c>
      <c r="J37">
        <f>INDEX(tRAID[DaysOverdue],28)</f>
        <v>0</v>
      </c>
      <c r="K37" t="str">
        <f>INDEX(tRAID[MitigationNote],28)</f>
        <v>Closed: mitigation completed and evidence attached to the verification record.</v>
      </c>
    </row>
    <row r="38" spans="1:11" x14ac:dyDescent="0.35">
      <c r="A38" t="str">
        <f>INDEX(tRAID[RAIDID],29)</f>
        <v>RAID-036</v>
      </c>
      <c r="B38" t="str">
        <f>INDEX(tRAID[RAIDType],29)</f>
        <v>Risk</v>
      </c>
      <c r="C38" t="str">
        <f>INDEX(tRAID[SubsystemCode],29)</f>
        <v>FLT-CTRL</v>
      </c>
      <c r="D38" t="str">
        <f>INDEX(tRAID[OwnerName],29)</f>
        <v>Jonas Weatherby</v>
      </c>
      <c r="E38">
        <f>INDEX(tRAID[Probability],29)</f>
        <v>3</v>
      </c>
      <c r="F38">
        <f>INDEX(tRAID[Impact],29)</f>
        <v>4</v>
      </c>
      <c r="G38">
        <f>INDEX(tRAID[ExposureScore],29)</f>
        <v>14</v>
      </c>
      <c r="H38" t="str">
        <f>INDEX(tRAID[ExposureBand],29)</f>
        <v>High</v>
      </c>
      <c r="I38" t="str">
        <f>INDEX(tRAID[RAIDStatus],29)</f>
        <v>Open</v>
      </c>
      <c r="J38">
        <f>INDEX(tRAID[DaysOverdue],29)</f>
        <v>243</v>
      </c>
      <c r="K38" t="str">
        <f>INDEX(tRAID[MitigationNote],29)</f>
        <v>Open: no mitigation started. Requires a decision at the next programme board.</v>
      </c>
    </row>
    <row r="39" spans="1:11" x14ac:dyDescent="0.35">
      <c r="A39" t="str">
        <f>INDEX(tRAID[RAIDID],30)</f>
        <v>RAID-039</v>
      </c>
      <c r="B39" t="str">
        <f>INDEX(tRAID[RAIDType],30)</f>
        <v>Risk</v>
      </c>
      <c r="C39" t="str">
        <f>INDEX(tRAID[SubsystemCode],30)</f>
        <v>REL-MECH</v>
      </c>
      <c r="D39" t="str">
        <f>INDEX(tRAID[OwnerName],30)</f>
        <v>Olabisi Jindal</v>
      </c>
      <c r="E39">
        <f>INDEX(tRAID[Probability],30)</f>
        <v>3</v>
      </c>
      <c r="F39">
        <f>INDEX(tRAID[Impact],30)</f>
        <v>4</v>
      </c>
      <c r="G39">
        <f>INDEX(tRAID[ExposureScore],30)</f>
        <v>14</v>
      </c>
      <c r="H39" t="str">
        <f>INDEX(tRAID[ExposureBand],30)</f>
        <v>High</v>
      </c>
      <c r="I39" t="str">
        <f>INDEX(tRAID[RAIDStatus],30)</f>
        <v>Open</v>
      </c>
      <c r="J39">
        <f>INDEX(tRAID[DaysOverdue],30)</f>
        <v>236</v>
      </c>
      <c r="K39" t="str">
        <f>INDEX(tRAID[MitigationNote],30)</f>
        <v>Open: no mitigation started. Requires a decision at the next programme board.</v>
      </c>
    </row>
    <row r="40" spans="1:11" x14ac:dyDescent="0.35">
      <c r="A40" t="str">
        <f>INDEX(tRAID[RAIDID],31)</f>
        <v>RAID-053</v>
      </c>
      <c r="B40" t="str">
        <f>INDEX(tRAID[RAIDType],31)</f>
        <v>Assumption</v>
      </c>
      <c r="C40" t="str">
        <f>INDEX(tRAID[SubsystemCode],31)</f>
        <v>NAV-SENS</v>
      </c>
      <c r="D40" t="str">
        <f>INDEX(tRAID[OwnerName],31)</f>
        <v>Priya Quintana</v>
      </c>
      <c r="E40">
        <f>INDEX(tRAID[Probability],31)</f>
        <v>3</v>
      </c>
      <c r="F40">
        <f>INDEX(tRAID[Impact],31)</f>
        <v>4</v>
      </c>
      <c r="G40">
        <f>INDEX(tRAID[ExposureScore],31)</f>
        <v>14</v>
      </c>
      <c r="H40" t="str">
        <f>INDEX(tRAID[ExposureBand],31)</f>
        <v>High</v>
      </c>
      <c r="I40" t="str">
        <f>INDEX(tRAID[RAIDStatus],31)</f>
        <v>Closed</v>
      </c>
      <c r="J40">
        <f>INDEX(tRAID[DaysOverdue],31)</f>
        <v>0</v>
      </c>
      <c r="K40" t="str">
        <f>INDEX(tRAID[MitigationNote],31)</f>
        <v>Closed: mitigation completed and evidence attached to the verification record.</v>
      </c>
    </row>
    <row r="41" spans="1:11" x14ac:dyDescent="0.35">
      <c r="A41" t="str">
        <f>INDEX(tRAID[RAIDID],32)</f>
        <v>RAID-059</v>
      </c>
      <c r="B41" t="str">
        <f>INDEX(tRAID[RAIDType],32)</f>
        <v>Dependency</v>
      </c>
      <c r="C41" t="str">
        <f>INDEX(tRAID[SubsystemCode],32)</f>
        <v>FLT-CTRL</v>
      </c>
      <c r="D41" t="str">
        <f>INDEX(tRAID[OwnerName],32)</f>
        <v>Mei Thackeray</v>
      </c>
      <c r="E41">
        <f>INDEX(tRAID[Probability],32)</f>
        <v>3</v>
      </c>
      <c r="F41">
        <f>INDEX(tRAID[Impact],32)</f>
        <v>4</v>
      </c>
      <c r="G41">
        <f>INDEX(tRAID[ExposureScore],32)</f>
        <v>14</v>
      </c>
      <c r="H41" t="str">
        <f>INDEX(tRAID[ExposureBand],32)</f>
        <v>High</v>
      </c>
      <c r="I41" t="str">
        <f>INDEX(tRAID[RAIDStatus],32)</f>
        <v>Closed</v>
      </c>
      <c r="J41">
        <f>INDEX(tRAID[DaysOverdue],32)</f>
        <v>0</v>
      </c>
      <c r="K41" t="str">
        <f>INDEX(tRAID[MitigationNote],32)</f>
        <v>Closed: mitigation completed and evidence attached to the verification record.</v>
      </c>
    </row>
    <row r="42" spans="1:11" x14ac:dyDescent="0.35">
      <c r="A42" t="str">
        <f>INDEX(tRAID[RAIDID],33)</f>
        <v>RAID-080</v>
      </c>
      <c r="B42" t="str">
        <f>INDEX(tRAID[RAIDType],33)</f>
        <v>Issue</v>
      </c>
      <c r="C42" t="str">
        <f>INDEX(tRAID[SubsystemCode],33)</f>
        <v>GND-CTRL</v>
      </c>
      <c r="D42" t="str">
        <f>INDEX(tRAID[OwnerName],33)</f>
        <v>Nils Castellan</v>
      </c>
      <c r="E42">
        <f>INDEX(tRAID[Probability],33)</f>
        <v>3</v>
      </c>
      <c r="F42">
        <f>INDEX(tRAID[Impact],33)</f>
        <v>4</v>
      </c>
      <c r="G42">
        <f>INDEX(tRAID[ExposureScore],33)</f>
        <v>14</v>
      </c>
      <c r="H42" t="str">
        <f>INDEX(tRAID[ExposureBand],33)</f>
        <v>High</v>
      </c>
      <c r="I42" t="str">
        <f>INDEX(tRAID[RAIDStatus],33)</f>
        <v>Mitigating</v>
      </c>
      <c r="J42">
        <f>INDEX(tRAID[DaysOverdue],33)</f>
        <v>0</v>
      </c>
      <c r="K42" t="str">
        <f>INDEX(tRAID[MitigationNote],33)</f>
        <v>Mitigation in progress; owner reporting weekly to the programme board.</v>
      </c>
    </row>
    <row r="43" spans="1:11" x14ac:dyDescent="0.35">
      <c r="A43" t="str">
        <f>INDEX(tRAID[RAIDID],34)</f>
        <v>RAID-084</v>
      </c>
      <c r="B43" t="str">
        <f>INDEX(tRAID[RAIDType],34)</f>
        <v>Dependency</v>
      </c>
      <c r="C43" t="str">
        <f>INDEX(tRAID[SubsystemCode],34)</f>
        <v>REL-MECH</v>
      </c>
      <c r="D43" t="str">
        <f>INDEX(tRAID[OwnerName],34)</f>
        <v>Mei Thackeray</v>
      </c>
      <c r="E43">
        <f>INDEX(tRAID[Probability],34)</f>
        <v>4</v>
      </c>
      <c r="F43">
        <f>INDEX(tRAID[Impact],34)</f>
        <v>3</v>
      </c>
      <c r="G43">
        <f>INDEX(tRAID[ExposureScore],34)</f>
        <v>14</v>
      </c>
      <c r="H43" t="str">
        <f>INDEX(tRAID[ExposureBand],34)</f>
        <v>High</v>
      </c>
      <c r="I43" t="str">
        <f>INDEX(tRAID[RAIDStatus],34)</f>
        <v>Closed</v>
      </c>
      <c r="J43">
        <f>INDEX(tRAID[DaysOverdue],34)</f>
        <v>0</v>
      </c>
      <c r="K43" t="str">
        <f>INDEX(tRAID[MitigationNote],34)</f>
        <v>Closed: mitigation completed and evidence attached to the verification record.</v>
      </c>
    </row>
    <row r="44" spans="1:11" x14ac:dyDescent="0.35">
      <c r="A44" t="str">
        <f>INDEX(tRAID[RAIDID],35)</f>
        <v>RAID-001</v>
      </c>
      <c r="B44" t="str">
        <f>INDEX(tRAID[RAIDType],35)</f>
        <v>Issue</v>
      </c>
      <c r="C44" t="str">
        <f>INDEX(tRAID[SubsystemCode],35)</f>
        <v>REL-MECH</v>
      </c>
      <c r="D44" t="str">
        <f>INDEX(tRAID[OwnerName],35)</f>
        <v>Olabisi Jindal</v>
      </c>
      <c r="E44">
        <f>INDEX(tRAID[Probability],35)</f>
        <v>5</v>
      </c>
      <c r="F44">
        <f>INDEX(tRAID[Impact],35)</f>
        <v>2</v>
      </c>
      <c r="G44">
        <f>INDEX(tRAID[ExposureScore],35)</f>
        <v>10</v>
      </c>
      <c r="H44" t="str">
        <f>INDEX(tRAID[ExposureBand],35)</f>
        <v>Medium</v>
      </c>
      <c r="I44" t="str">
        <f>INDEX(tRAID[RAIDStatus],35)</f>
        <v>Open</v>
      </c>
      <c r="J44">
        <f>INDEX(tRAID[DaysOverdue],35)</f>
        <v>14</v>
      </c>
      <c r="K44" t="str">
        <f>INDEX(tRAID[MitigationNote],35)</f>
        <v>Open: no mitigation started. Requires a decision at the next programme board.</v>
      </c>
    </row>
    <row r="45" spans="1:11" x14ac:dyDescent="0.35">
      <c r="A45" t="str">
        <f>INDEX(tRAID[RAIDID],36)</f>
        <v>RAID-011</v>
      </c>
      <c r="B45" t="str">
        <f>INDEX(tRAID[RAIDType],36)</f>
        <v>Dependency</v>
      </c>
      <c r="C45" t="str">
        <f>INDEX(tRAID[SubsystemCode],36)</f>
        <v>NAV-SENS</v>
      </c>
      <c r="D45" t="str">
        <f>INDEX(tRAID[OwnerName],36)</f>
        <v>Priya Quintana</v>
      </c>
      <c r="E45">
        <f>INDEX(tRAID[Probability],36)</f>
        <v>5</v>
      </c>
      <c r="F45">
        <f>INDEX(tRAID[Impact],36)</f>
        <v>2</v>
      </c>
      <c r="G45">
        <f>INDEX(tRAID[ExposureScore],36)</f>
        <v>10</v>
      </c>
      <c r="H45" t="str">
        <f>INDEX(tRAID[ExposureBand],36)</f>
        <v>Medium</v>
      </c>
      <c r="I45" t="str">
        <f>INDEX(tRAID[RAIDStatus],36)</f>
        <v>Closed</v>
      </c>
      <c r="J45">
        <f>INDEX(tRAID[DaysOverdue],36)</f>
        <v>0</v>
      </c>
      <c r="K45" t="str">
        <f>INDEX(tRAID[MitigationNote],36)</f>
        <v>Closed: mitigation completed and evidence attached to the verification record.</v>
      </c>
    </row>
    <row r="46" spans="1:11" x14ac:dyDescent="0.35">
      <c r="A46" t="str">
        <f>INDEX(tRAID[RAIDID],37)</f>
        <v>RAID-014</v>
      </c>
      <c r="B46" t="str">
        <f>INDEX(tRAID[RAIDType],37)</f>
        <v>Assumption</v>
      </c>
      <c r="C46" t="str">
        <f>INDEX(tRAID[SubsystemCode],37)</f>
        <v>COMM-LNK</v>
      </c>
      <c r="D46" t="str">
        <f>INDEX(tRAID[OwnerName],37)</f>
        <v>Hiroshi Ibarra</v>
      </c>
      <c r="E46">
        <f>INDEX(tRAID[Probability],37)</f>
        <v>2</v>
      </c>
      <c r="F46">
        <f>INDEX(tRAID[Impact],37)</f>
        <v>4</v>
      </c>
      <c r="G46">
        <f>INDEX(tRAID[ExposureScore],37)</f>
        <v>10</v>
      </c>
      <c r="H46" t="str">
        <f>INDEX(tRAID[ExposureBand],37)</f>
        <v>Medium</v>
      </c>
      <c r="I46" t="str">
        <f>INDEX(tRAID[RAIDStatus],37)</f>
        <v>Closed</v>
      </c>
      <c r="J46">
        <f>INDEX(tRAID[DaysOverdue],37)</f>
        <v>0</v>
      </c>
      <c r="K46" t="str">
        <f>INDEX(tRAID[MitigationNote],37)</f>
        <v>Closed: mitigation completed and evidence attached to the verification record.</v>
      </c>
    </row>
    <row r="47" spans="1:11" x14ac:dyDescent="0.35">
      <c r="A47" t="str">
        <f>INDEX(tRAID[RAIDID],38)</f>
        <v>RAID-016</v>
      </c>
      <c r="B47" t="str">
        <f>INDEX(tRAID[RAIDType],38)</f>
        <v>Issue</v>
      </c>
      <c r="C47" t="str">
        <f>INDEX(tRAID[SubsystemCode],38)</f>
        <v>FLT-CTRL</v>
      </c>
      <c r="D47" t="str">
        <f>INDEX(tRAID[OwnerName],38)</f>
        <v>Aditi Halvorsen</v>
      </c>
      <c r="E47">
        <f>INDEX(tRAID[Probability],38)</f>
        <v>1</v>
      </c>
      <c r="F47">
        <f>INDEX(tRAID[Impact],38)</f>
        <v>5</v>
      </c>
      <c r="G47">
        <f>INDEX(tRAID[ExposureScore],38)</f>
        <v>10</v>
      </c>
      <c r="H47" t="str">
        <f>INDEX(tRAID[ExposureBand],38)</f>
        <v>High</v>
      </c>
      <c r="I47" t="str">
        <f>INDEX(tRAID[RAIDStatus],38)</f>
        <v>Closed</v>
      </c>
      <c r="J47">
        <f>INDEX(tRAID[DaysOverdue],38)</f>
        <v>0</v>
      </c>
      <c r="K47" t="str">
        <f>INDEX(tRAID[MitigationNote],38)</f>
        <v>Closed: mitigation completed and evidence attached to the verification record.</v>
      </c>
    </row>
    <row r="48" spans="1:11" x14ac:dyDescent="0.35">
      <c r="A48" t="str">
        <f>INDEX(tRAID[RAIDID],39)</f>
        <v>RAID-031</v>
      </c>
      <c r="B48" t="str">
        <f>INDEX(tRAID[RAIDType],39)</f>
        <v>Risk</v>
      </c>
      <c r="C48" t="str">
        <f>INDEX(tRAID[SubsystemCode],39)</f>
        <v>FLT-CTRL</v>
      </c>
      <c r="D48" t="str">
        <f>INDEX(tRAID[OwnerName],39)</f>
        <v>Aditi Halvorsen</v>
      </c>
      <c r="E48">
        <f>INDEX(tRAID[Probability],39)</f>
        <v>1</v>
      </c>
      <c r="F48">
        <f>INDEX(tRAID[Impact],39)</f>
        <v>5</v>
      </c>
      <c r="G48">
        <f>INDEX(tRAID[ExposureScore],39)</f>
        <v>10</v>
      </c>
      <c r="H48" t="str">
        <f>INDEX(tRAID[ExposureBand],39)</f>
        <v>High</v>
      </c>
      <c r="I48" t="str">
        <f>INDEX(tRAID[RAIDStatus],39)</f>
        <v>Open</v>
      </c>
      <c r="J48">
        <f>INDEX(tRAID[DaysOverdue],39)</f>
        <v>0</v>
      </c>
      <c r="K48" t="str">
        <f>INDEX(tRAID[MitigationNote],39)</f>
        <v>Open: no mitigation started. Requires a decision at the next programme board.</v>
      </c>
    </row>
    <row r="49" spans="1:11" x14ac:dyDescent="0.35">
      <c r="A49" t="str">
        <f>INDEX(tRAID[RAIDID],40)</f>
        <v>RAID-034</v>
      </c>
      <c r="B49" t="str">
        <f>INDEX(tRAID[RAIDType],40)</f>
        <v>Risk</v>
      </c>
      <c r="C49" t="str">
        <f>INDEX(tRAID[SubsystemCode],40)</f>
        <v>REL-MECH</v>
      </c>
      <c r="D49" t="str">
        <f>INDEX(tRAID[OwnerName],40)</f>
        <v>Camille Villalobos</v>
      </c>
      <c r="E49">
        <f>INDEX(tRAID[Probability],40)</f>
        <v>5</v>
      </c>
      <c r="F49">
        <f>INDEX(tRAID[Impact],40)</f>
        <v>2</v>
      </c>
      <c r="G49">
        <f>INDEX(tRAID[ExposureScore],40)</f>
        <v>10</v>
      </c>
      <c r="H49" t="str">
        <f>INDEX(tRAID[ExposureBand],40)</f>
        <v>Medium</v>
      </c>
      <c r="I49" t="str">
        <f>INDEX(tRAID[RAIDStatus],40)</f>
        <v>Open</v>
      </c>
      <c r="J49">
        <f>INDEX(tRAID[DaysOverdue],40)</f>
        <v>0</v>
      </c>
      <c r="K49" t="str">
        <f>INDEX(tRAID[MitigationNote],40)</f>
        <v>Open: no mitigation started. Requires a decision at the next programme board.</v>
      </c>
    </row>
  </sheetData>
  <conditionalFormatting sqref="A10:K49">
    <cfRule type="expression" dxfId="2" priority="1" stopIfTrue="1">
      <formula>$H10="Critical"</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23A3-C090-45BC-8E5B-2927C5E044B1}">
  <dimension ref="A1:F23"/>
  <sheetViews>
    <sheetView workbookViewId="0"/>
  </sheetViews>
  <sheetFormatPr defaultRowHeight="14.5" x14ac:dyDescent="0.35"/>
  <cols>
    <col min="2" max="2" width="30.6328125" customWidth="1"/>
    <col min="3" max="4" width="16.6328125" customWidth="1"/>
    <col min="5" max="5" width="14.6328125" customWidth="1"/>
    <col min="6" max="6" width="12.6328125" customWidth="1"/>
  </cols>
  <sheetData>
    <row r="1" spans="1:6" ht="18.5" x14ac:dyDescent="0.45">
      <c r="A1" s="22" t="s">
        <v>2688</v>
      </c>
    </row>
    <row r="2" spans="1:6" x14ac:dyDescent="0.35">
      <c r="A2" s="13" t="s">
        <v>2689</v>
      </c>
    </row>
    <row r="4" spans="1:6" x14ac:dyDescent="0.35">
      <c r="A4" s="4" t="s">
        <v>2690</v>
      </c>
      <c r="B4" s="4" t="s">
        <v>2691</v>
      </c>
      <c r="C4" s="4" t="s">
        <v>2692</v>
      </c>
      <c r="D4" s="4" t="s">
        <v>2693</v>
      </c>
      <c r="E4" s="4" t="s">
        <v>2694</v>
      </c>
      <c r="F4" s="4" t="s">
        <v>2695</v>
      </c>
    </row>
    <row r="5" spans="1:6" x14ac:dyDescent="0.35">
      <c r="A5">
        <f>1</f>
        <v>1</v>
      </c>
      <c r="B5" t="s">
        <v>2696</v>
      </c>
      <c r="C5" s="23">
        <f>COUNTA(tReq[RequirementID])</f>
        <v>519</v>
      </c>
      <c r="D5" s="23">
        <f>INDEX(tKPI[Requirements],1)</f>
        <v>519</v>
      </c>
      <c r="E5" s="23">
        <f>ABS(C5-D5)</f>
        <v>0</v>
      </c>
      <c r="F5" t="str">
        <f>IF(E5&lt;=0.01,"MATCH","DIFFERS")</f>
        <v>MATCH</v>
      </c>
    </row>
    <row r="6" spans="1:6" x14ac:dyDescent="0.35">
      <c r="A6">
        <f>2</f>
        <v>2</v>
      </c>
      <c r="B6" t="s">
        <v>2697</v>
      </c>
      <c r="C6" s="23">
        <f>COUNTIF(tReq[Priority],"MustShip")</f>
        <v>281</v>
      </c>
      <c r="D6" s="23">
        <f>INDEX(tKPI[MustShipCount],1)</f>
        <v>281</v>
      </c>
      <c r="E6" s="23">
        <f>ABS(C6-D6)</f>
        <v>0</v>
      </c>
      <c r="F6" t="str">
        <f>IF(E6&lt;=0.01,"MATCH","DIFFERS")</f>
        <v>MATCH</v>
      </c>
    </row>
    <row r="7" spans="1:6" x14ac:dyDescent="0.35">
      <c r="A7">
        <f>3</f>
        <v>3</v>
      </c>
      <c r="B7" t="s">
        <v>2698</v>
      </c>
      <c r="C7" s="23">
        <f>COUNTIFS(tReq[Priority],"MustShip",tReq[IsCurrent],1)/COUNTIF(tReq[Priority],"MustShip")*100</f>
        <v>51.957295373665481</v>
      </c>
      <c r="D7" s="23">
        <f>INDEX(tKPI[ShipReadinessPct],1)</f>
        <v>51.96</v>
      </c>
      <c r="E7" s="23">
        <f>ABS(C7-D7)</f>
        <v>2.704626334519844E-3</v>
      </c>
      <c r="F7" t="str">
        <f>IF(E7&lt;=0.01,"MATCH","DIFFERS")</f>
        <v>MATCH</v>
      </c>
    </row>
    <row r="8" spans="1:6" x14ac:dyDescent="0.35">
      <c r="A8">
        <f>4</f>
        <v>4</v>
      </c>
      <c r="B8" t="s">
        <v>2699</v>
      </c>
      <c r="C8" s="23">
        <f>COUNTIF(tReq[HasEvidence],1)/COUNTA(tReq[RequirementID])*100</f>
        <v>96.531791907514446</v>
      </c>
      <c r="D8" s="23">
        <f>INDEX(tKPI[VerificationCoveragePct],1)</f>
        <v>96.53</v>
      </c>
      <c r="E8" s="23">
        <f>ABS(C8-D8)</f>
        <v>1.7919075144448016E-3</v>
      </c>
      <c r="F8" t="str">
        <f>IF(E8&lt;=0.01,"MATCH","DIFFERS")</f>
        <v>MATCH</v>
      </c>
    </row>
    <row r="9" spans="1:6" x14ac:dyDescent="0.35">
      <c r="A9">
        <f>5</f>
        <v>5</v>
      </c>
      <c r="B9" t="s">
        <v>2700</v>
      </c>
      <c r="C9" s="23">
        <f>SUMPRODUCT((tReq[MeetsPolicy]=1)*(((tReq[StaleByCode]=1)+(tReq[StaleByRequirement]=1))&gt;0))/COUNTIF(tReq[MeetsPolicy],1)*100</f>
        <v>24.484536082474225</v>
      </c>
      <c r="D9" s="23">
        <f>INDEX(tKPI[StaleVerificationPct],1)</f>
        <v>24.48</v>
      </c>
      <c r="E9" s="23">
        <f>ABS(C9-D9)</f>
        <v>4.5360824742246564E-3</v>
      </c>
      <c r="F9" t="str">
        <f>IF(E9&lt;=0.01,"MATCH","DIFFERS")</f>
        <v>MATCH</v>
      </c>
    </row>
    <row r="10" spans="1:6" x14ac:dyDescent="0.35">
      <c r="A10">
        <f>6</f>
        <v>6</v>
      </c>
      <c r="B10" t="s">
        <v>2701</v>
      </c>
      <c r="C10" s="23">
        <f>COUNTIFS(tReq[HasEvidence],1,tReq[MeetsPolicy],1)/COUNTIF(tReq[HasEvidence],1)*100</f>
        <v>77.445109780439125</v>
      </c>
      <c r="D10" s="23">
        <f>INDEX(tKPI[PolicyCompliancePct],1)</f>
        <v>77.45</v>
      </c>
      <c r="E10" s="23">
        <f>ABS(C10-D10)</f>
        <v>4.8902195608775401E-3</v>
      </c>
      <c r="F10" t="str">
        <f>IF(E10&lt;=0.01,"MATCH","DIFFERS")</f>
        <v>MATCH</v>
      </c>
    </row>
    <row r="11" spans="1:6" x14ac:dyDescent="0.35">
      <c r="A11">
        <f>7</f>
        <v>7</v>
      </c>
      <c r="B11" t="s">
        <v>2702</v>
      </c>
      <c r="C11" s="23">
        <f>COUNTIF(tWork[WorkItemStatus],"Closed")/COUNTA(tWork[WorkItemID])*100</f>
        <v>93.858845096241978</v>
      </c>
      <c r="D11" s="23">
        <f>INDEX(tKPI[WorkItemCompletionPct],1)</f>
        <v>93.86</v>
      </c>
      <c r="E11" s="23">
        <f>ABS(C11-D11)</f>
        <v>1.1549037580209642E-3</v>
      </c>
      <c r="F11" t="str">
        <f>IF(E11&lt;=0.01,"MATCH","DIFFERS")</f>
        <v>MATCH</v>
      </c>
    </row>
    <row r="12" spans="1:6" x14ac:dyDescent="0.35">
      <c r="A12">
        <f>8</f>
        <v>8</v>
      </c>
      <c r="B12" t="s">
        <v>2703</v>
      </c>
      <c r="C12" s="23">
        <f>COUNTIF(tReq[HasEvidence],0)</f>
        <v>18</v>
      </c>
      <c r="D12" s="23">
        <f>INDEX(tKPI[NoEvidenceCount],1)</f>
        <v>18</v>
      </c>
      <c r="E12" s="23">
        <f>ABS(C12-D12)</f>
        <v>0</v>
      </c>
      <c r="F12" t="str">
        <f>IF(E12&lt;=0.01,"MATCH","DIFFERS")</f>
        <v>MATCH</v>
      </c>
    </row>
    <row r="13" spans="1:6" x14ac:dyDescent="0.35">
      <c r="A13">
        <f>9</f>
        <v>9</v>
      </c>
      <c r="B13" t="s">
        <v>2704</v>
      </c>
      <c r="C13" s="23">
        <f>COUNTIFS(tReq[HasEvidence],1,tReq[MeetsPolicy],0)</f>
        <v>113</v>
      </c>
      <c r="D13" s="23">
        <f>INDEX(tKPI[InsufficientCount],1)</f>
        <v>113</v>
      </c>
      <c r="E13" s="23">
        <f>ABS(C13-D13)</f>
        <v>0</v>
      </c>
      <c r="F13" t="str">
        <f>IF(E13&lt;=0.01,"MATCH","DIFFERS")</f>
        <v>MATCH</v>
      </c>
    </row>
    <row r="14" spans="1:6" x14ac:dyDescent="0.35">
      <c r="A14">
        <f>10</f>
        <v>10</v>
      </c>
      <c r="B14" t="s">
        <v>2705</v>
      </c>
      <c r="C14" s="23">
        <f>COUNTIF(tReq[IsCurrent],1)</f>
        <v>293</v>
      </c>
      <c r="D14" s="23">
        <f>INDEX(tKPI[CurrentCount],1)</f>
        <v>293</v>
      </c>
      <c r="E14" s="23">
        <f>ABS(C14-D14)</f>
        <v>0</v>
      </c>
      <c r="F14" t="str">
        <f>IF(E14&lt;=0.01,"MATCH","DIFFERS")</f>
        <v>MATCH</v>
      </c>
    </row>
    <row r="15" spans="1:6" x14ac:dyDescent="0.35">
      <c r="A15">
        <f>11</f>
        <v>11</v>
      </c>
      <c r="B15" t="s">
        <v>2706</v>
      </c>
      <c r="C15" s="23">
        <f>COUNTA(tQueue[RequirementID])</f>
        <v>226</v>
      </c>
      <c r="D15" s="23">
        <f>COUNTIF(tReq[IsCurrent],0)</f>
        <v>226</v>
      </c>
      <c r="E15" s="23">
        <f>ABS(C15-D15)</f>
        <v>0</v>
      </c>
      <c r="F15" t="str">
        <f>IF(E15&lt;=0.01,"MATCH","DIFFERS")</f>
        <v>MATCH</v>
      </c>
    </row>
    <row r="16" spans="1:6" x14ac:dyDescent="0.35">
      <c r="A16">
        <f>12</f>
        <v>12</v>
      </c>
      <c r="B16" t="s">
        <v>2707</v>
      </c>
      <c r="C16" s="23">
        <f>SUM(tQueue[RigHours])</f>
        <v>425</v>
      </c>
      <c r="D16" s="23">
        <f>INDEX(tKPI[RigHoursOutstanding],1)</f>
        <v>425</v>
      </c>
      <c r="E16" s="23">
        <f>ABS(C16-D16)</f>
        <v>0</v>
      </c>
      <c r="F16" t="str">
        <f>IF(E16&lt;=0.01,"MATCH","DIFFERS")</f>
        <v>MATCH</v>
      </c>
    </row>
    <row r="17" spans="1:6" x14ac:dyDescent="0.35">
      <c r="A17">
        <f>13</f>
        <v>13</v>
      </c>
      <c r="B17" t="s">
        <v>2708</v>
      </c>
      <c r="C17" s="23">
        <f>SUM(tQueue[AirframeHours])</f>
        <v>272</v>
      </c>
      <c r="D17" s="23">
        <f>INDEX(tKPI[AirframeHoursOutstanding],1)</f>
        <v>272</v>
      </c>
      <c r="E17" s="23">
        <f>ABS(C17-D17)</f>
        <v>0</v>
      </c>
      <c r="F17" t="str">
        <f>IF(E17&lt;=0.01,"MATCH","DIFFERS")</f>
        <v>MATCH</v>
      </c>
    </row>
    <row r="18" spans="1:6" x14ac:dyDescent="0.35">
      <c r="A18">
        <f>14</f>
        <v>14</v>
      </c>
      <c r="B18" t="s">
        <v>2647</v>
      </c>
      <c r="C18" s="23">
        <f>COUNTIFS(tRAID[ExposureBand],"Critical",tRAID[IsOpen],1)</f>
        <v>9</v>
      </c>
      <c r="D18" s="23">
        <f>INDEX(tKPI[CriticalRAIDOpen],1)</f>
        <v>9</v>
      </c>
      <c r="E18" s="23">
        <f>ABS(C18-D18)</f>
        <v>0</v>
      </c>
      <c r="F18" t="str">
        <f>IF(E18&lt;=0.01,"MATCH","DIFFERS")</f>
        <v>MATCH</v>
      </c>
    </row>
    <row r="19" spans="1:6" x14ac:dyDescent="0.35">
      <c r="A19">
        <f>15</f>
        <v>15</v>
      </c>
      <c r="B19" t="s">
        <v>2709</v>
      </c>
      <c r="C19" s="23">
        <f>COUNTIF(tRAID[IsOverdue],1)/COUNTIF(tRAID[IsOpen],1)*100</f>
        <v>57.777777777777771</v>
      </c>
      <c r="D19" s="23">
        <f>INDEX(tKPI[OverdueRAIDPct],1)</f>
        <v>57.78</v>
      </c>
      <c r="E19" s="23">
        <f>ABS(C19-D19)</f>
        <v>2.222222222229675E-3</v>
      </c>
      <c r="F19" t="str">
        <f>IF(E19&lt;=0.01,"MATCH","DIFFERS")</f>
        <v>MATCH</v>
      </c>
    </row>
    <row r="20" spans="1:6" x14ac:dyDescent="0.35">
      <c r="A20">
        <f>16</f>
        <v>16</v>
      </c>
      <c r="B20" t="s">
        <v>2710</v>
      </c>
      <c r="C20" s="23">
        <f>SUM(tSub[MustShip])</f>
        <v>281</v>
      </c>
      <c r="D20" s="23">
        <f>COUNTIF(tReq[Priority],"MustShip")</f>
        <v>281</v>
      </c>
      <c r="E20" s="23">
        <f>ABS(C20-D20)</f>
        <v>0</v>
      </c>
      <c r="F20" t="str">
        <f>IF(E20&lt;=0.01,"MATCH","DIFFERS")</f>
        <v>MATCH</v>
      </c>
    </row>
    <row r="21" spans="1:6" x14ac:dyDescent="0.35">
      <c r="A21">
        <f>17</f>
        <v>17</v>
      </c>
      <c r="B21" t="s">
        <v>2711</v>
      </c>
      <c r="C21" s="23">
        <f>SUM(tSub[CurrentMustShip])</f>
        <v>146</v>
      </c>
      <c r="D21" s="23">
        <f>COUNTIFS(tReq[Priority],"MustShip",tReq[IsCurrent],1)</f>
        <v>146</v>
      </c>
      <c r="E21" s="23">
        <f>ABS(C21-D21)</f>
        <v>0</v>
      </c>
      <c r="F21" t="str">
        <f>IF(E21&lt;=0.01,"MATCH","DIFFERS")</f>
        <v>MATCH</v>
      </c>
    </row>
    <row r="23" spans="1:6" x14ac:dyDescent="0.35">
      <c r="B23" s="3" t="s">
        <v>2712</v>
      </c>
      <c r="C23" s="3" t="str">
        <f>COUNTIF(F5:F21,"MATCH")&amp;" of "&amp;COUNTA(F5:F21)</f>
        <v>17 of 17</v>
      </c>
    </row>
  </sheetData>
  <conditionalFormatting sqref="F5:F21">
    <cfRule type="cellIs" dxfId="1" priority="1" stopIfTrue="1" operator="equal">
      <formula>"MATCH"</formula>
    </cfRule>
    <cfRule type="cellIs" dxfId="0" priority="2" stopIfTrue="1" operator="equal">
      <formula>"DIFFERS"</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B200-236A-4E94-ACE3-D150ACF2AC19}">
  <dimension ref="A1:F229"/>
  <sheetViews>
    <sheetView workbookViewId="0"/>
  </sheetViews>
  <sheetFormatPr defaultRowHeight="14.5" x14ac:dyDescent="0.35"/>
  <cols>
    <col min="4" max="4" width="40.6328125" customWidth="1"/>
  </cols>
  <sheetData>
    <row r="1" spans="1:6" x14ac:dyDescent="0.35">
      <c r="A1" s="11" t="s">
        <v>2620</v>
      </c>
    </row>
    <row r="3" spans="1:6" x14ac:dyDescent="0.35">
      <c r="A3" s="3" t="s">
        <v>2621</v>
      </c>
      <c r="B3" s="3" t="s">
        <v>18</v>
      </c>
      <c r="C3" s="3" t="s">
        <v>1120</v>
      </c>
      <c r="D3" s="3" t="s">
        <v>2622</v>
      </c>
      <c r="E3" s="3" t="s">
        <v>2623</v>
      </c>
      <c r="F3" s="3" t="s">
        <v>2624</v>
      </c>
    </row>
    <row r="4" spans="1:6" x14ac:dyDescent="0.35">
      <c r="A4">
        <f>1</f>
        <v>1</v>
      </c>
      <c r="B4" t="str">
        <f>INDEX(tQueue[RequirementID],MATCH(A4,tQueue[PriorityRank],0))</f>
        <v>REQ-0287</v>
      </c>
      <c r="C4">
        <f>INDEX(tQueue[RigHours],MATCH(A4,tQueue[PriorityRank],0))</f>
        <v>2.5</v>
      </c>
      <c r="D4">
        <f>IF(ROW()=4,C4,D3+C4)</f>
        <v>2.5</v>
      </c>
      <c r="E4">
        <f>INDEX(tQueue[AirframeHours],MATCH(A4,tQueue[PriorityRank],0))</f>
        <v>0</v>
      </c>
      <c r="F4">
        <f>IF(AND(D4&lt;=RigHoursPerWeek,E4=0),1,0)</f>
        <v>1</v>
      </c>
    </row>
    <row r="5" spans="1:6" x14ac:dyDescent="0.35">
      <c r="A5">
        <f>2</f>
        <v>2</v>
      </c>
      <c r="B5" t="str">
        <f>INDEX(tQueue[RequirementID],MATCH(A5,tQueue[PriorityRank],0))</f>
        <v>REQ-0397</v>
      </c>
      <c r="C5">
        <f>INDEX(tQueue[RigHours],MATCH(A5,tQueue[PriorityRank],0))</f>
        <v>2.5</v>
      </c>
      <c r="D5">
        <f>IF(ROW()=4,C5,D4+C5)</f>
        <v>5</v>
      </c>
      <c r="E5">
        <f>INDEX(tQueue[AirframeHours],MATCH(A5,tQueue[PriorityRank],0))</f>
        <v>0</v>
      </c>
      <c r="F5">
        <f>IF(AND(D5&lt;=RigHoursPerWeek,E5=0),1,0)</f>
        <v>1</v>
      </c>
    </row>
    <row r="6" spans="1:6" x14ac:dyDescent="0.35">
      <c r="A6">
        <f>3</f>
        <v>3</v>
      </c>
      <c r="B6" t="str">
        <f>INDEX(tQueue[RequirementID],MATCH(A6,tQueue[PriorityRank],0))</f>
        <v>REQ-0253</v>
      </c>
      <c r="C6">
        <f>INDEX(tQueue[RigHours],MATCH(A6,tQueue[PriorityRank],0))</f>
        <v>0</v>
      </c>
      <c r="D6">
        <f>IF(ROW()=4,C6,D5+C6)</f>
        <v>5</v>
      </c>
      <c r="E6">
        <f>INDEX(tQueue[AirframeHours],MATCH(A6,tQueue[PriorityRank],0))</f>
        <v>24</v>
      </c>
      <c r="F6">
        <f>IF(AND(D6&lt;=RigHoursPerWeek,E6=0),1,0)</f>
        <v>0</v>
      </c>
    </row>
    <row r="7" spans="1:6" x14ac:dyDescent="0.35">
      <c r="A7">
        <f>4</f>
        <v>4</v>
      </c>
      <c r="B7" t="str">
        <f>INDEX(tQueue[RequirementID],MATCH(A7,tQueue[PriorityRank],0))</f>
        <v>REQ-0211</v>
      </c>
      <c r="C7">
        <f>INDEX(tQueue[RigHours],MATCH(A7,tQueue[PriorityRank],0))</f>
        <v>0</v>
      </c>
      <c r="D7">
        <f>IF(ROW()=4,C7,D6+C7)</f>
        <v>5</v>
      </c>
      <c r="E7">
        <f>INDEX(tQueue[AirframeHours],MATCH(A7,tQueue[PriorityRank],0))</f>
        <v>0</v>
      </c>
      <c r="F7">
        <f>IF(AND(D7&lt;=RigHoursPerWeek,E7=0),1,0)</f>
        <v>1</v>
      </c>
    </row>
    <row r="8" spans="1:6" x14ac:dyDescent="0.35">
      <c r="A8">
        <f>5</f>
        <v>5</v>
      </c>
      <c r="B8" t="str">
        <f>INDEX(tQueue[RequirementID],MATCH(A8,tQueue[PriorityRank],0))</f>
        <v>REQ-0266</v>
      </c>
      <c r="C8">
        <f>INDEX(tQueue[RigHours],MATCH(A8,tQueue[PriorityRank],0))</f>
        <v>0</v>
      </c>
      <c r="D8">
        <f>IF(ROW()=4,C8,D7+C8)</f>
        <v>5</v>
      </c>
      <c r="E8">
        <f>INDEX(tQueue[AirframeHours],MATCH(A8,tQueue[PriorityRank],0))</f>
        <v>0</v>
      </c>
      <c r="F8">
        <f>IF(AND(D8&lt;=RigHoursPerWeek,E8=0),1,0)</f>
        <v>1</v>
      </c>
    </row>
    <row r="9" spans="1:6" x14ac:dyDescent="0.35">
      <c r="A9">
        <f>6</f>
        <v>6</v>
      </c>
      <c r="B9" t="str">
        <f>INDEX(tQueue[RequirementID],MATCH(A9,tQueue[PriorityRank],0))</f>
        <v>REQ-0449</v>
      </c>
      <c r="C9">
        <f>INDEX(tQueue[RigHours],MATCH(A9,tQueue[PriorityRank],0))</f>
        <v>5</v>
      </c>
      <c r="D9">
        <f>IF(ROW()=4,C9,D8+C9)</f>
        <v>10</v>
      </c>
      <c r="E9">
        <f>INDEX(tQueue[AirframeHours],MATCH(A9,tQueue[PriorityRank],0))</f>
        <v>0</v>
      </c>
      <c r="F9">
        <f>IF(AND(D9&lt;=RigHoursPerWeek,E9=0),1,0)</f>
        <v>1</v>
      </c>
    </row>
    <row r="10" spans="1:6" x14ac:dyDescent="0.35">
      <c r="A10">
        <f>7</f>
        <v>7</v>
      </c>
      <c r="B10" t="str">
        <f>INDEX(tQueue[RequirementID],MATCH(A10,tQueue[PriorityRank],0))</f>
        <v>REQ-0176</v>
      </c>
      <c r="C10">
        <f>INDEX(tQueue[RigHours],MATCH(A10,tQueue[PriorityRank],0))</f>
        <v>0</v>
      </c>
      <c r="D10">
        <f>IF(ROW()=4,C10,D9+C10)</f>
        <v>10</v>
      </c>
      <c r="E10">
        <f>INDEX(tQueue[AirframeHours],MATCH(A10,tQueue[PriorityRank],0))</f>
        <v>8</v>
      </c>
      <c r="F10">
        <f>IF(AND(D10&lt;=RigHoursPerWeek,E10=0),1,0)</f>
        <v>0</v>
      </c>
    </row>
    <row r="11" spans="1:6" x14ac:dyDescent="0.35">
      <c r="A11">
        <f>8</f>
        <v>8</v>
      </c>
      <c r="B11" t="str">
        <f>INDEX(tQueue[RequirementID],MATCH(A11,tQueue[PriorityRank],0))</f>
        <v>REQ-0085</v>
      </c>
      <c r="C11">
        <f>INDEX(tQueue[RigHours],MATCH(A11,tQueue[PriorityRank],0))</f>
        <v>0</v>
      </c>
      <c r="D11">
        <f>IF(ROW()=4,C11,D10+C11)</f>
        <v>10</v>
      </c>
      <c r="E11">
        <f>INDEX(tQueue[AirframeHours],MATCH(A11,tQueue[PriorityRank],0))</f>
        <v>0</v>
      </c>
      <c r="F11">
        <f>IF(AND(D11&lt;=RigHoursPerWeek,E11=0),1,0)</f>
        <v>1</v>
      </c>
    </row>
    <row r="12" spans="1:6" x14ac:dyDescent="0.35">
      <c r="A12">
        <f>9</f>
        <v>9</v>
      </c>
      <c r="B12" t="str">
        <f>INDEX(tQueue[RequirementID],MATCH(A12,tQueue[PriorityRank],0))</f>
        <v>REQ-0260</v>
      </c>
      <c r="C12">
        <f>INDEX(tQueue[RigHours],MATCH(A12,tQueue[PriorityRank],0))</f>
        <v>0</v>
      </c>
      <c r="D12">
        <f>IF(ROW()=4,C12,D11+C12)</f>
        <v>10</v>
      </c>
      <c r="E12">
        <f>INDEX(tQueue[AirframeHours],MATCH(A12,tQueue[PriorityRank],0))</f>
        <v>0</v>
      </c>
      <c r="F12">
        <f>IF(AND(D12&lt;=RigHoursPerWeek,E12=0),1,0)</f>
        <v>1</v>
      </c>
    </row>
    <row r="13" spans="1:6" x14ac:dyDescent="0.35">
      <c r="A13">
        <f>10</f>
        <v>10</v>
      </c>
      <c r="B13" t="str">
        <f>INDEX(tQueue[RequirementID],MATCH(A13,tQueue[PriorityRank],0))</f>
        <v>REQ-0338</v>
      </c>
      <c r="C13">
        <f>INDEX(tQueue[RigHours],MATCH(A13,tQueue[PriorityRank],0))</f>
        <v>0</v>
      </c>
      <c r="D13">
        <f>IF(ROW()=4,C13,D12+C13)</f>
        <v>10</v>
      </c>
      <c r="E13">
        <f>INDEX(tQueue[AirframeHours],MATCH(A13,tQueue[PriorityRank],0))</f>
        <v>0</v>
      </c>
      <c r="F13">
        <f>IF(AND(D13&lt;=RigHoursPerWeek,E13=0),1,0)</f>
        <v>1</v>
      </c>
    </row>
    <row r="14" spans="1:6" x14ac:dyDescent="0.35">
      <c r="A14">
        <f>11</f>
        <v>11</v>
      </c>
      <c r="B14" t="str">
        <f>INDEX(tQueue[RequirementID],MATCH(A14,tQueue[PriorityRank],0))</f>
        <v>REQ-0340</v>
      </c>
      <c r="C14">
        <f>INDEX(tQueue[RigHours],MATCH(A14,tQueue[PriorityRank],0))</f>
        <v>0</v>
      </c>
      <c r="D14">
        <f>IF(ROW()=4,C14,D13+C14)</f>
        <v>10</v>
      </c>
      <c r="E14">
        <f>INDEX(tQueue[AirframeHours],MATCH(A14,tQueue[PriorityRank],0))</f>
        <v>0</v>
      </c>
      <c r="F14">
        <f>IF(AND(D14&lt;=RigHoursPerWeek,E14=0),1,0)</f>
        <v>1</v>
      </c>
    </row>
    <row r="15" spans="1:6" x14ac:dyDescent="0.35">
      <c r="A15">
        <f>12</f>
        <v>12</v>
      </c>
      <c r="B15" t="str">
        <f>INDEX(tQueue[RequirementID],MATCH(A15,tQueue[PriorityRank],0))</f>
        <v>REQ-0401</v>
      </c>
      <c r="C15">
        <f>INDEX(tQueue[RigHours],MATCH(A15,tQueue[PriorityRank],0))</f>
        <v>0</v>
      </c>
      <c r="D15">
        <f>IF(ROW()=4,C15,D14+C15)</f>
        <v>10</v>
      </c>
      <c r="E15">
        <f>INDEX(tQueue[AirframeHours],MATCH(A15,tQueue[PriorityRank],0))</f>
        <v>0</v>
      </c>
      <c r="F15">
        <f>IF(AND(D15&lt;=RigHoursPerWeek,E15=0),1,0)</f>
        <v>1</v>
      </c>
    </row>
    <row r="16" spans="1:6" x14ac:dyDescent="0.35">
      <c r="A16">
        <f>13</f>
        <v>13</v>
      </c>
      <c r="B16" t="str">
        <f>INDEX(tQueue[RequirementID],MATCH(A16,tQueue[PriorityRank],0))</f>
        <v>REQ-0036</v>
      </c>
      <c r="C16">
        <f>INDEX(tQueue[RigHours],MATCH(A16,tQueue[PriorityRank],0))</f>
        <v>2.5</v>
      </c>
      <c r="D16">
        <f>IF(ROW()=4,C16,D15+C16)</f>
        <v>12.5</v>
      </c>
      <c r="E16">
        <f>INDEX(tQueue[AirframeHours],MATCH(A16,tQueue[PriorityRank],0))</f>
        <v>0</v>
      </c>
      <c r="F16">
        <f>IF(AND(D16&lt;=RigHoursPerWeek,E16=0),1,0)</f>
        <v>1</v>
      </c>
    </row>
    <row r="17" spans="1:6" x14ac:dyDescent="0.35">
      <c r="A17">
        <f>14</f>
        <v>14</v>
      </c>
      <c r="B17" t="str">
        <f>INDEX(tQueue[RequirementID],MATCH(A17,tQueue[PriorityRank],0))</f>
        <v>REQ-0157</v>
      </c>
      <c r="C17">
        <f>INDEX(tQueue[RigHours],MATCH(A17,tQueue[PriorityRank],0))</f>
        <v>2.5</v>
      </c>
      <c r="D17">
        <f>IF(ROW()=4,C17,D16+C17)</f>
        <v>15</v>
      </c>
      <c r="E17">
        <f>INDEX(tQueue[AirframeHours],MATCH(A17,tQueue[PriorityRank],0))</f>
        <v>0</v>
      </c>
      <c r="F17">
        <f>IF(AND(D17&lt;=RigHoursPerWeek,E17=0),1,0)</f>
        <v>1</v>
      </c>
    </row>
    <row r="18" spans="1:6" x14ac:dyDescent="0.35">
      <c r="A18">
        <f>15</f>
        <v>15</v>
      </c>
      <c r="B18" t="str">
        <f>INDEX(tQueue[RequirementID],MATCH(A18,tQueue[PriorityRank],0))</f>
        <v>REQ-0217</v>
      </c>
      <c r="C18">
        <f>INDEX(tQueue[RigHours],MATCH(A18,tQueue[PriorityRank],0))</f>
        <v>2.5</v>
      </c>
      <c r="D18">
        <f>IF(ROW()=4,C18,D17+C18)</f>
        <v>17.5</v>
      </c>
      <c r="E18">
        <f>INDEX(tQueue[AirframeHours],MATCH(A18,tQueue[PriorityRank],0))</f>
        <v>0</v>
      </c>
      <c r="F18">
        <f>IF(AND(D18&lt;=RigHoursPerWeek,E18=0),1,0)</f>
        <v>1</v>
      </c>
    </row>
    <row r="19" spans="1:6" x14ac:dyDescent="0.35">
      <c r="A19">
        <f>16</f>
        <v>16</v>
      </c>
      <c r="B19" t="str">
        <f>INDEX(tQueue[RequirementID],MATCH(A19,tQueue[PriorityRank],0))</f>
        <v>REQ-0225</v>
      </c>
      <c r="C19">
        <f>INDEX(tQueue[RigHours],MATCH(A19,tQueue[PriorityRank],0))</f>
        <v>2.5</v>
      </c>
      <c r="D19">
        <f>IF(ROW()=4,C19,D18+C19)</f>
        <v>20</v>
      </c>
      <c r="E19">
        <f>INDEX(tQueue[AirframeHours],MATCH(A19,tQueue[PriorityRank],0))</f>
        <v>0</v>
      </c>
      <c r="F19">
        <f>IF(AND(D19&lt;=RigHoursPerWeek,E19=0),1,0)</f>
        <v>1</v>
      </c>
    </row>
    <row r="20" spans="1:6" x14ac:dyDescent="0.35">
      <c r="A20">
        <f>17</f>
        <v>17</v>
      </c>
      <c r="B20" t="str">
        <f>INDEX(tQueue[RequirementID],MATCH(A20,tQueue[PriorityRank],0))</f>
        <v>REQ-0252</v>
      </c>
      <c r="C20">
        <f>INDEX(tQueue[RigHours],MATCH(A20,tQueue[PriorityRank],0))</f>
        <v>2.5</v>
      </c>
      <c r="D20">
        <f>IF(ROW()=4,C20,D19+C20)</f>
        <v>22.5</v>
      </c>
      <c r="E20">
        <f>INDEX(tQueue[AirframeHours],MATCH(A20,tQueue[PriorityRank],0))</f>
        <v>0</v>
      </c>
      <c r="F20">
        <f>IF(AND(D20&lt;=RigHoursPerWeek,E20=0),1,0)</f>
        <v>1</v>
      </c>
    </row>
    <row r="21" spans="1:6" x14ac:dyDescent="0.35">
      <c r="A21">
        <f>18</f>
        <v>18</v>
      </c>
      <c r="B21" t="str">
        <f>INDEX(tQueue[RequirementID],MATCH(A21,tQueue[PriorityRank],0))</f>
        <v>REQ-0350</v>
      </c>
      <c r="C21">
        <f>INDEX(tQueue[RigHours],MATCH(A21,tQueue[PriorityRank],0))</f>
        <v>2.5</v>
      </c>
      <c r="D21">
        <f>IF(ROW()=4,C21,D20+C21)</f>
        <v>25</v>
      </c>
      <c r="E21">
        <f>INDEX(tQueue[AirframeHours],MATCH(A21,tQueue[PriorityRank],0))</f>
        <v>0</v>
      </c>
      <c r="F21">
        <f>IF(AND(D21&lt;=RigHoursPerWeek,E21=0),1,0)</f>
        <v>1</v>
      </c>
    </row>
    <row r="22" spans="1:6" x14ac:dyDescent="0.35">
      <c r="A22">
        <f>19</f>
        <v>19</v>
      </c>
      <c r="B22" t="str">
        <f>INDEX(tQueue[RequirementID],MATCH(A22,tQueue[PriorityRank],0))</f>
        <v>REQ-0359</v>
      </c>
      <c r="C22">
        <f>INDEX(tQueue[RigHours],MATCH(A22,tQueue[PriorityRank],0))</f>
        <v>2.5</v>
      </c>
      <c r="D22">
        <f>IF(ROW()=4,C22,D21+C22)</f>
        <v>27.5</v>
      </c>
      <c r="E22">
        <f>INDEX(tQueue[AirframeHours],MATCH(A22,tQueue[PriorityRank],0))</f>
        <v>0</v>
      </c>
      <c r="F22">
        <f>IF(AND(D22&lt;=RigHoursPerWeek,E22=0),1,0)</f>
        <v>1</v>
      </c>
    </row>
    <row r="23" spans="1:6" x14ac:dyDescent="0.35">
      <c r="A23">
        <f>20</f>
        <v>20</v>
      </c>
      <c r="B23" t="str">
        <f>INDEX(tQueue[RequirementID],MATCH(A23,tQueue[PriorityRank],0))</f>
        <v>REQ-0372</v>
      </c>
      <c r="C23">
        <f>INDEX(tQueue[RigHours],MATCH(A23,tQueue[PriorityRank],0))</f>
        <v>2.5</v>
      </c>
      <c r="D23">
        <f>IF(ROW()=4,C23,D22+C23)</f>
        <v>30</v>
      </c>
      <c r="E23">
        <f>INDEX(tQueue[AirframeHours],MATCH(A23,tQueue[PriorityRank],0))</f>
        <v>0</v>
      </c>
      <c r="F23">
        <f>IF(AND(D23&lt;=RigHoursPerWeek,E23=0),1,0)</f>
        <v>1</v>
      </c>
    </row>
    <row r="24" spans="1:6" x14ac:dyDescent="0.35">
      <c r="A24">
        <f>21</f>
        <v>21</v>
      </c>
      <c r="B24" t="str">
        <f>INDEX(tQueue[RequirementID],MATCH(A24,tQueue[PriorityRank],0))</f>
        <v>REQ-0429</v>
      </c>
      <c r="C24">
        <f>INDEX(tQueue[RigHours],MATCH(A24,tQueue[PriorityRank],0))</f>
        <v>2.5</v>
      </c>
      <c r="D24">
        <f>IF(ROW()=4,C24,D23+C24)</f>
        <v>32.5</v>
      </c>
      <c r="E24">
        <f>INDEX(tQueue[AirframeHours],MATCH(A24,tQueue[PriorityRank],0))</f>
        <v>0</v>
      </c>
      <c r="F24">
        <f>IF(AND(D24&lt;=RigHoursPerWeek,E24=0),1,0)</f>
        <v>1</v>
      </c>
    </row>
    <row r="25" spans="1:6" x14ac:dyDescent="0.35">
      <c r="A25">
        <f>22</f>
        <v>22</v>
      </c>
      <c r="B25" t="str">
        <f>INDEX(tQueue[RequirementID],MATCH(A25,tQueue[PriorityRank],0))</f>
        <v>REQ-0472</v>
      </c>
      <c r="C25">
        <f>INDEX(tQueue[RigHours],MATCH(A25,tQueue[PriorityRank],0))</f>
        <v>2.5</v>
      </c>
      <c r="D25">
        <f>IF(ROW()=4,C25,D24+C25)</f>
        <v>35</v>
      </c>
      <c r="E25">
        <f>INDEX(tQueue[AirframeHours],MATCH(A25,tQueue[PriorityRank],0))</f>
        <v>0</v>
      </c>
      <c r="F25">
        <f>IF(AND(D25&lt;=RigHoursPerWeek,E25=0),1,0)</f>
        <v>1</v>
      </c>
    </row>
    <row r="26" spans="1:6" x14ac:dyDescent="0.35">
      <c r="A26">
        <f>23</f>
        <v>23</v>
      </c>
      <c r="B26" t="str">
        <f>INDEX(tQueue[RequirementID],MATCH(A26,tQueue[PriorityRank],0))</f>
        <v>REQ-0478</v>
      </c>
      <c r="C26">
        <f>INDEX(tQueue[RigHours],MATCH(A26,tQueue[PriorityRank],0))</f>
        <v>2.5</v>
      </c>
      <c r="D26">
        <f>IF(ROW()=4,C26,D25+C26)</f>
        <v>37.5</v>
      </c>
      <c r="E26">
        <f>INDEX(tQueue[AirframeHours],MATCH(A26,tQueue[PriorityRank],0))</f>
        <v>0</v>
      </c>
      <c r="F26">
        <f>IF(AND(D26&lt;=RigHoursPerWeek,E26=0),1,0)</f>
        <v>1</v>
      </c>
    </row>
    <row r="27" spans="1:6" x14ac:dyDescent="0.35">
      <c r="A27">
        <f>24</f>
        <v>24</v>
      </c>
      <c r="B27" t="str">
        <f>INDEX(tQueue[RequirementID],MATCH(A27,tQueue[PriorityRank],0))</f>
        <v>REQ-0060</v>
      </c>
      <c r="C27">
        <f>INDEX(tQueue[RigHours],MATCH(A27,tQueue[PriorityRank],0))</f>
        <v>5</v>
      </c>
      <c r="D27">
        <f>IF(ROW()=4,C27,D26+C27)</f>
        <v>42.5</v>
      </c>
      <c r="E27">
        <f>INDEX(tQueue[AirframeHours],MATCH(A27,tQueue[PriorityRank],0))</f>
        <v>0</v>
      </c>
      <c r="F27">
        <f>IF(AND(D27&lt;=RigHoursPerWeek,E27=0),1,0)</f>
        <v>1</v>
      </c>
    </row>
    <row r="28" spans="1:6" x14ac:dyDescent="0.35">
      <c r="A28">
        <f>25</f>
        <v>25</v>
      </c>
      <c r="B28" t="str">
        <f>INDEX(tQueue[RequirementID],MATCH(A28,tQueue[PriorityRank],0))</f>
        <v>REQ-0069</v>
      </c>
      <c r="C28">
        <f>INDEX(tQueue[RigHours],MATCH(A28,tQueue[PriorityRank],0))</f>
        <v>5</v>
      </c>
      <c r="D28">
        <f>IF(ROW()=4,C28,D27+C28)</f>
        <v>47.5</v>
      </c>
      <c r="E28">
        <f>INDEX(tQueue[AirframeHours],MATCH(A28,tQueue[PriorityRank],0))</f>
        <v>0</v>
      </c>
      <c r="F28">
        <f>IF(AND(D28&lt;=RigHoursPerWeek,E28=0),1,0)</f>
        <v>1</v>
      </c>
    </row>
    <row r="29" spans="1:6" x14ac:dyDescent="0.35">
      <c r="A29">
        <f>26</f>
        <v>26</v>
      </c>
      <c r="B29" t="str">
        <f>INDEX(tQueue[RequirementID],MATCH(A29,tQueue[PriorityRank],0))</f>
        <v>REQ-0106</v>
      </c>
      <c r="C29">
        <f>INDEX(tQueue[RigHours],MATCH(A29,tQueue[PriorityRank],0))</f>
        <v>5</v>
      </c>
      <c r="D29">
        <f>IF(ROW()=4,C29,D28+C29)</f>
        <v>52.5</v>
      </c>
      <c r="E29">
        <f>INDEX(tQueue[AirframeHours],MATCH(A29,tQueue[PriorityRank],0))</f>
        <v>0</v>
      </c>
      <c r="F29">
        <f>IF(AND(D29&lt;=RigHoursPerWeek,E29=0),1,0)</f>
        <v>1</v>
      </c>
    </row>
    <row r="30" spans="1:6" x14ac:dyDescent="0.35">
      <c r="A30">
        <f>27</f>
        <v>27</v>
      </c>
      <c r="B30" t="str">
        <f>INDEX(tQueue[RequirementID],MATCH(A30,tQueue[PriorityRank],0))</f>
        <v>REQ-0165</v>
      </c>
      <c r="C30">
        <f>INDEX(tQueue[RigHours],MATCH(A30,tQueue[PriorityRank],0))</f>
        <v>5</v>
      </c>
      <c r="D30">
        <f>IF(ROW()=4,C30,D29+C30)</f>
        <v>57.5</v>
      </c>
      <c r="E30">
        <f>INDEX(tQueue[AirframeHours],MATCH(A30,tQueue[PriorityRank],0))</f>
        <v>0</v>
      </c>
      <c r="F30">
        <f>IF(AND(D30&lt;=RigHoursPerWeek,E30=0),1,0)</f>
        <v>1</v>
      </c>
    </row>
    <row r="31" spans="1:6" x14ac:dyDescent="0.35">
      <c r="A31">
        <f>28</f>
        <v>28</v>
      </c>
      <c r="B31" t="str">
        <f>INDEX(tQueue[RequirementID],MATCH(A31,tQueue[PriorityRank],0))</f>
        <v>REQ-0166</v>
      </c>
      <c r="C31">
        <f>INDEX(tQueue[RigHours],MATCH(A31,tQueue[PriorityRank],0))</f>
        <v>5</v>
      </c>
      <c r="D31">
        <f>IF(ROW()=4,C31,D30+C31)</f>
        <v>62.5</v>
      </c>
      <c r="E31">
        <f>INDEX(tQueue[AirframeHours],MATCH(A31,tQueue[PriorityRank],0))</f>
        <v>0</v>
      </c>
      <c r="F31">
        <f>IF(AND(D31&lt;=RigHoursPerWeek,E31=0),1,0)</f>
        <v>1</v>
      </c>
    </row>
    <row r="32" spans="1:6" x14ac:dyDescent="0.35">
      <c r="A32">
        <f>29</f>
        <v>29</v>
      </c>
      <c r="B32" t="str">
        <f>INDEX(tQueue[RequirementID],MATCH(A32,tQueue[PriorityRank],0))</f>
        <v>REQ-0167</v>
      </c>
      <c r="C32">
        <f>INDEX(tQueue[RigHours],MATCH(A32,tQueue[PriorityRank],0))</f>
        <v>5</v>
      </c>
      <c r="D32">
        <f>IF(ROW()=4,C32,D31+C32)</f>
        <v>67.5</v>
      </c>
      <c r="E32">
        <f>INDEX(tQueue[AirframeHours],MATCH(A32,tQueue[PriorityRank],0))</f>
        <v>0</v>
      </c>
      <c r="F32">
        <f>IF(AND(D32&lt;=RigHoursPerWeek,E32=0),1,0)</f>
        <v>1</v>
      </c>
    </row>
    <row r="33" spans="1:6" x14ac:dyDescent="0.35">
      <c r="A33">
        <f>30</f>
        <v>30</v>
      </c>
      <c r="B33" t="str">
        <f>INDEX(tQueue[RequirementID],MATCH(A33,tQueue[PriorityRank],0))</f>
        <v>REQ-0191</v>
      </c>
      <c r="C33">
        <f>INDEX(tQueue[RigHours],MATCH(A33,tQueue[PriorityRank],0))</f>
        <v>5</v>
      </c>
      <c r="D33">
        <f>IF(ROW()=4,C33,D32+C33)</f>
        <v>72.5</v>
      </c>
      <c r="E33">
        <f>INDEX(tQueue[AirframeHours],MATCH(A33,tQueue[PriorityRank],0))</f>
        <v>0</v>
      </c>
      <c r="F33">
        <f>IF(AND(D33&lt;=RigHoursPerWeek,E33=0),1,0)</f>
        <v>1</v>
      </c>
    </row>
    <row r="34" spans="1:6" x14ac:dyDescent="0.35">
      <c r="A34">
        <f>31</f>
        <v>31</v>
      </c>
      <c r="B34" t="str">
        <f>INDEX(tQueue[RequirementID],MATCH(A34,tQueue[PriorityRank],0))</f>
        <v>REQ-0258</v>
      </c>
      <c r="C34">
        <f>INDEX(tQueue[RigHours],MATCH(A34,tQueue[PriorityRank],0))</f>
        <v>5</v>
      </c>
      <c r="D34">
        <f>IF(ROW()=4,C34,D33+C34)</f>
        <v>77.5</v>
      </c>
      <c r="E34">
        <f>INDEX(tQueue[AirframeHours],MATCH(A34,tQueue[PriorityRank],0))</f>
        <v>0</v>
      </c>
      <c r="F34">
        <f>IF(AND(D34&lt;=RigHoursPerWeek,E34=0),1,0)</f>
        <v>1</v>
      </c>
    </row>
    <row r="35" spans="1:6" x14ac:dyDescent="0.35">
      <c r="A35">
        <f>32</f>
        <v>32</v>
      </c>
      <c r="B35" t="str">
        <f>INDEX(tQueue[RequirementID],MATCH(A35,tQueue[PriorityRank],0))</f>
        <v>REQ-0269</v>
      </c>
      <c r="C35">
        <f>INDEX(tQueue[RigHours],MATCH(A35,tQueue[PriorityRank],0))</f>
        <v>5</v>
      </c>
      <c r="D35">
        <f>IF(ROW()=4,C35,D34+C35)</f>
        <v>82.5</v>
      </c>
      <c r="E35">
        <f>INDEX(tQueue[AirframeHours],MATCH(A35,tQueue[PriorityRank],0))</f>
        <v>0</v>
      </c>
      <c r="F35">
        <f>IF(AND(D35&lt;=RigHoursPerWeek,E35=0),1,0)</f>
        <v>1</v>
      </c>
    </row>
    <row r="36" spans="1:6" x14ac:dyDescent="0.35">
      <c r="A36">
        <f>33</f>
        <v>33</v>
      </c>
      <c r="B36" t="str">
        <f>INDEX(tQueue[RequirementID],MATCH(A36,tQueue[PriorityRank],0))</f>
        <v>REQ-0300</v>
      </c>
      <c r="C36">
        <f>INDEX(tQueue[RigHours],MATCH(A36,tQueue[PriorityRank],0))</f>
        <v>5</v>
      </c>
      <c r="D36">
        <f>IF(ROW()=4,C36,D35+C36)</f>
        <v>87.5</v>
      </c>
      <c r="E36">
        <f>INDEX(tQueue[AirframeHours],MATCH(A36,tQueue[PriorityRank],0))</f>
        <v>0</v>
      </c>
      <c r="F36">
        <f>IF(AND(D36&lt;=RigHoursPerWeek,E36=0),1,0)</f>
        <v>1</v>
      </c>
    </row>
    <row r="37" spans="1:6" x14ac:dyDescent="0.35">
      <c r="A37">
        <f>34</f>
        <v>34</v>
      </c>
      <c r="B37" t="str">
        <f>INDEX(tQueue[RequirementID],MATCH(A37,tQueue[PriorityRank],0))</f>
        <v>REQ-0439</v>
      </c>
      <c r="C37">
        <f>INDEX(tQueue[RigHours],MATCH(A37,tQueue[PriorityRank],0))</f>
        <v>5</v>
      </c>
      <c r="D37">
        <f>IF(ROW()=4,C37,D36+C37)</f>
        <v>92.5</v>
      </c>
      <c r="E37">
        <f>INDEX(tQueue[AirframeHours],MATCH(A37,tQueue[PriorityRank],0))</f>
        <v>0</v>
      </c>
      <c r="F37">
        <f>IF(AND(D37&lt;=RigHoursPerWeek,E37=0),1,0)</f>
        <v>1</v>
      </c>
    </row>
    <row r="38" spans="1:6" x14ac:dyDescent="0.35">
      <c r="A38">
        <f>35</f>
        <v>35</v>
      </c>
      <c r="B38" t="str">
        <f>INDEX(tQueue[RequirementID],MATCH(A38,tQueue[PriorityRank],0))</f>
        <v>REQ-0528</v>
      </c>
      <c r="C38">
        <f>INDEX(tQueue[RigHours],MATCH(A38,tQueue[PriorityRank],0))</f>
        <v>5</v>
      </c>
      <c r="D38">
        <f>IF(ROW()=4,C38,D37+C38)</f>
        <v>97.5</v>
      </c>
      <c r="E38">
        <f>INDEX(tQueue[AirframeHours],MATCH(A38,tQueue[PriorityRank],0))</f>
        <v>0</v>
      </c>
      <c r="F38">
        <f>IF(AND(D38&lt;=RigHoursPerWeek,E38=0),1,0)</f>
        <v>1</v>
      </c>
    </row>
    <row r="39" spans="1:6" x14ac:dyDescent="0.35">
      <c r="A39">
        <f>36</f>
        <v>36</v>
      </c>
      <c r="B39" t="str">
        <f>INDEX(tQueue[RequirementID],MATCH(A39,tQueue[PriorityRank],0))</f>
        <v>REQ-0280</v>
      </c>
      <c r="C39">
        <f>INDEX(tQueue[RigHours],MATCH(A39,tQueue[PriorityRank],0))</f>
        <v>7.5</v>
      </c>
      <c r="D39">
        <f>IF(ROW()=4,C39,D38+C39)</f>
        <v>105</v>
      </c>
      <c r="E39">
        <f>INDEX(tQueue[AirframeHours],MATCH(A39,tQueue[PriorityRank],0))</f>
        <v>0</v>
      </c>
      <c r="F39">
        <f>IF(AND(D39&lt;=RigHoursPerWeek,E39=0),1,0)</f>
        <v>1</v>
      </c>
    </row>
    <row r="40" spans="1:6" x14ac:dyDescent="0.35">
      <c r="A40">
        <f>37</f>
        <v>37</v>
      </c>
      <c r="B40" t="str">
        <f>INDEX(tQueue[RequirementID],MATCH(A40,tQueue[PriorityRank],0))</f>
        <v>REQ-0349</v>
      </c>
      <c r="C40">
        <f>INDEX(tQueue[RigHours],MATCH(A40,tQueue[PriorityRank],0))</f>
        <v>7.5</v>
      </c>
      <c r="D40">
        <f>IF(ROW()=4,C40,D39+C40)</f>
        <v>112.5</v>
      </c>
      <c r="E40">
        <f>INDEX(tQueue[AirframeHours],MATCH(A40,tQueue[PriorityRank],0))</f>
        <v>0</v>
      </c>
      <c r="F40">
        <f>IF(AND(D40&lt;=RigHoursPerWeek,E40=0),1,0)</f>
        <v>1</v>
      </c>
    </row>
    <row r="41" spans="1:6" x14ac:dyDescent="0.35">
      <c r="A41">
        <f>38</f>
        <v>38</v>
      </c>
      <c r="B41" t="str">
        <f>INDEX(tQueue[RequirementID],MATCH(A41,tQueue[PriorityRank],0))</f>
        <v>REQ-0515</v>
      </c>
      <c r="C41">
        <f>INDEX(tQueue[RigHours],MATCH(A41,tQueue[PriorityRank],0))</f>
        <v>7.5</v>
      </c>
      <c r="D41">
        <f>IF(ROW()=4,C41,D40+C41)</f>
        <v>120</v>
      </c>
      <c r="E41">
        <f>INDEX(tQueue[AirframeHours],MATCH(A41,tQueue[PriorityRank],0))</f>
        <v>0</v>
      </c>
      <c r="F41">
        <f>IF(AND(D41&lt;=RigHoursPerWeek,E41=0),1,0)</f>
        <v>1</v>
      </c>
    </row>
    <row r="42" spans="1:6" x14ac:dyDescent="0.35">
      <c r="A42">
        <f>39</f>
        <v>39</v>
      </c>
      <c r="B42" t="str">
        <f>INDEX(tQueue[RequirementID],MATCH(A42,tQueue[PriorityRank],0))</f>
        <v>REQ-0034</v>
      </c>
      <c r="C42">
        <f>INDEX(tQueue[RigHours],MATCH(A42,tQueue[PriorityRank],0))</f>
        <v>0</v>
      </c>
      <c r="D42">
        <f>IF(ROW()=4,C42,D41+C42)</f>
        <v>120</v>
      </c>
      <c r="E42">
        <f>INDEX(tQueue[AirframeHours],MATCH(A42,tQueue[PriorityRank],0))</f>
        <v>8</v>
      </c>
      <c r="F42">
        <f>IF(AND(D42&lt;=RigHoursPerWeek,E42=0),1,0)</f>
        <v>0</v>
      </c>
    </row>
    <row r="43" spans="1:6" x14ac:dyDescent="0.35">
      <c r="A43">
        <f>40</f>
        <v>40</v>
      </c>
      <c r="B43" t="str">
        <f>INDEX(tQueue[RequirementID],MATCH(A43,tQueue[PriorityRank],0))</f>
        <v>REQ-0187</v>
      </c>
      <c r="C43">
        <f>INDEX(tQueue[RigHours],MATCH(A43,tQueue[PriorityRank],0))</f>
        <v>0</v>
      </c>
      <c r="D43">
        <f>IF(ROW()=4,C43,D42+C43)</f>
        <v>120</v>
      </c>
      <c r="E43">
        <f>INDEX(tQueue[AirframeHours],MATCH(A43,tQueue[PriorityRank],0))</f>
        <v>8</v>
      </c>
      <c r="F43">
        <f>IF(AND(D43&lt;=RigHoursPerWeek,E43=0),1,0)</f>
        <v>0</v>
      </c>
    </row>
    <row r="44" spans="1:6" x14ac:dyDescent="0.35">
      <c r="A44">
        <f>41</f>
        <v>41</v>
      </c>
      <c r="B44" t="str">
        <f>INDEX(tQueue[RequirementID],MATCH(A44,tQueue[PriorityRank],0))</f>
        <v>REQ-0198</v>
      </c>
      <c r="C44">
        <f>INDEX(tQueue[RigHours],MATCH(A44,tQueue[PriorityRank],0))</f>
        <v>0</v>
      </c>
      <c r="D44">
        <f>IF(ROW()=4,C44,D43+C44)</f>
        <v>120</v>
      </c>
      <c r="E44">
        <f>INDEX(tQueue[AirframeHours],MATCH(A44,tQueue[PriorityRank],0))</f>
        <v>8</v>
      </c>
      <c r="F44">
        <f>IF(AND(D44&lt;=RigHoursPerWeek,E44=0),1,0)</f>
        <v>0</v>
      </c>
    </row>
    <row r="45" spans="1:6" x14ac:dyDescent="0.35">
      <c r="A45">
        <f>42</f>
        <v>42</v>
      </c>
      <c r="B45" t="str">
        <f>INDEX(tQueue[RequirementID],MATCH(A45,tQueue[PriorityRank],0))</f>
        <v>REQ-0417</v>
      </c>
      <c r="C45">
        <f>INDEX(tQueue[RigHours],MATCH(A45,tQueue[PriorityRank],0))</f>
        <v>0</v>
      </c>
      <c r="D45">
        <f>IF(ROW()=4,C45,D44+C45)</f>
        <v>120</v>
      </c>
      <c r="E45">
        <f>INDEX(tQueue[AirframeHours],MATCH(A45,tQueue[PriorityRank],0))</f>
        <v>8</v>
      </c>
      <c r="F45">
        <f>IF(AND(D45&lt;=RigHoursPerWeek,E45=0),1,0)</f>
        <v>0</v>
      </c>
    </row>
    <row r="46" spans="1:6" x14ac:dyDescent="0.35">
      <c r="A46">
        <f>43</f>
        <v>43</v>
      </c>
      <c r="B46" t="str">
        <f>INDEX(tQueue[RequirementID],MATCH(A46,tQueue[PriorityRank],0))</f>
        <v>REQ-0467</v>
      </c>
      <c r="C46">
        <f>INDEX(tQueue[RigHours],MATCH(A46,tQueue[PriorityRank],0))</f>
        <v>0</v>
      </c>
      <c r="D46">
        <f>IF(ROW()=4,C46,D45+C46)</f>
        <v>120</v>
      </c>
      <c r="E46">
        <f>INDEX(tQueue[AirframeHours],MATCH(A46,tQueue[PriorityRank],0))</f>
        <v>8</v>
      </c>
      <c r="F46">
        <f>IF(AND(D46&lt;=RigHoursPerWeek,E46=0),1,0)</f>
        <v>0</v>
      </c>
    </row>
    <row r="47" spans="1:6" x14ac:dyDescent="0.35">
      <c r="A47">
        <f>44</f>
        <v>44</v>
      </c>
      <c r="B47" t="str">
        <f>INDEX(tQueue[RequirementID],MATCH(A47,tQueue[PriorityRank],0))</f>
        <v>REQ-0113</v>
      </c>
      <c r="C47">
        <f>INDEX(tQueue[RigHours],MATCH(A47,tQueue[PriorityRank],0))</f>
        <v>0</v>
      </c>
      <c r="D47">
        <f>IF(ROW()=4,C47,D46+C47)</f>
        <v>120</v>
      </c>
      <c r="E47">
        <f>INDEX(tQueue[AirframeHours],MATCH(A47,tQueue[PriorityRank],0))</f>
        <v>16</v>
      </c>
      <c r="F47">
        <f>IF(AND(D47&lt;=RigHoursPerWeek,E47=0),1,0)</f>
        <v>0</v>
      </c>
    </row>
    <row r="48" spans="1:6" x14ac:dyDescent="0.35">
      <c r="A48">
        <f>45</f>
        <v>45</v>
      </c>
      <c r="B48" t="str">
        <f>INDEX(tQueue[RequirementID],MATCH(A48,tQueue[PriorityRank],0))</f>
        <v>REQ-0154</v>
      </c>
      <c r="C48">
        <f>INDEX(tQueue[RigHours],MATCH(A48,tQueue[PriorityRank],0))</f>
        <v>0</v>
      </c>
      <c r="D48">
        <f>IF(ROW()=4,C48,D47+C48)</f>
        <v>120</v>
      </c>
      <c r="E48">
        <f>INDEX(tQueue[AirframeHours],MATCH(A48,tQueue[PriorityRank],0))</f>
        <v>16</v>
      </c>
      <c r="F48">
        <f>IF(AND(D48&lt;=RigHoursPerWeek,E48=0),1,0)</f>
        <v>0</v>
      </c>
    </row>
    <row r="49" spans="1:6" x14ac:dyDescent="0.35">
      <c r="A49">
        <f>46</f>
        <v>46</v>
      </c>
      <c r="B49" t="str">
        <f>INDEX(tQueue[RequirementID],MATCH(A49,tQueue[PriorityRank],0))</f>
        <v>REQ-0235</v>
      </c>
      <c r="C49">
        <f>INDEX(tQueue[RigHours],MATCH(A49,tQueue[PriorityRank],0))</f>
        <v>0</v>
      </c>
      <c r="D49">
        <f>IF(ROW()=4,C49,D48+C49)</f>
        <v>120</v>
      </c>
      <c r="E49">
        <f>INDEX(tQueue[AirframeHours],MATCH(A49,tQueue[PriorityRank],0))</f>
        <v>16</v>
      </c>
      <c r="F49">
        <f>IF(AND(D49&lt;=RigHoursPerWeek,E49=0),1,0)</f>
        <v>0</v>
      </c>
    </row>
    <row r="50" spans="1:6" x14ac:dyDescent="0.35">
      <c r="A50">
        <f>47</f>
        <v>47</v>
      </c>
      <c r="B50" t="str">
        <f>INDEX(tQueue[RequirementID],MATCH(A50,tQueue[PriorityRank],0))</f>
        <v>REQ-0308</v>
      </c>
      <c r="C50">
        <f>INDEX(tQueue[RigHours],MATCH(A50,tQueue[PriorityRank],0))</f>
        <v>0</v>
      </c>
      <c r="D50">
        <f>IF(ROW()=4,C50,D49+C50)</f>
        <v>120</v>
      </c>
      <c r="E50">
        <f>INDEX(tQueue[AirframeHours],MATCH(A50,tQueue[PriorityRank],0))</f>
        <v>16</v>
      </c>
      <c r="F50">
        <f>IF(AND(D50&lt;=RigHoursPerWeek,E50=0),1,0)</f>
        <v>0</v>
      </c>
    </row>
    <row r="51" spans="1:6" x14ac:dyDescent="0.35">
      <c r="A51">
        <f>48</f>
        <v>48</v>
      </c>
      <c r="B51" t="str">
        <f>INDEX(tQueue[RequirementID],MATCH(A51,tQueue[PriorityRank],0))</f>
        <v>REQ-0118</v>
      </c>
      <c r="C51">
        <f>INDEX(tQueue[RigHours],MATCH(A51,tQueue[PriorityRank],0))</f>
        <v>0</v>
      </c>
      <c r="D51">
        <f>IF(ROW()=4,C51,D50+C51)</f>
        <v>120</v>
      </c>
      <c r="E51">
        <f>INDEX(tQueue[AirframeHours],MATCH(A51,tQueue[PriorityRank],0))</f>
        <v>0</v>
      </c>
      <c r="F51">
        <f>IF(AND(D51&lt;=RigHoursPerWeek,E51=0),1,0)</f>
        <v>1</v>
      </c>
    </row>
    <row r="52" spans="1:6" x14ac:dyDescent="0.35">
      <c r="A52">
        <f>49</f>
        <v>49</v>
      </c>
      <c r="B52" t="str">
        <f>INDEX(tQueue[RequirementID],MATCH(A52,tQueue[PriorityRank],0))</f>
        <v>REQ-0137</v>
      </c>
      <c r="C52">
        <f>INDEX(tQueue[RigHours],MATCH(A52,tQueue[PriorityRank],0))</f>
        <v>0</v>
      </c>
      <c r="D52">
        <f>IF(ROW()=4,C52,D51+C52)</f>
        <v>120</v>
      </c>
      <c r="E52">
        <f>INDEX(tQueue[AirframeHours],MATCH(A52,tQueue[PriorityRank],0))</f>
        <v>0</v>
      </c>
      <c r="F52">
        <f>IF(AND(D52&lt;=RigHoursPerWeek,E52=0),1,0)</f>
        <v>1</v>
      </c>
    </row>
    <row r="53" spans="1:6" x14ac:dyDescent="0.35">
      <c r="A53">
        <f>50</f>
        <v>50</v>
      </c>
      <c r="B53" t="str">
        <f>INDEX(tQueue[RequirementID],MATCH(A53,tQueue[PriorityRank],0))</f>
        <v>REQ-0141</v>
      </c>
      <c r="C53">
        <f>INDEX(tQueue[RigHours],MATCH(A53,tQueue[PriorityRank],0))</f>
        <v>0</v>
      </c>
      <c r="D53">
        <f>IF(ROW()=4,C53,D52+C53)</f>
        <v>120</v>
      </c>
      <c r="E53">
        <f>INDEX(tQueue[AirframeHours],MATCH(A53,tQueue[PriorityRank],0))</f>
        <v>0</v>
      </c>
      <c r="F53">
        <f>IF(AND(D53&lt;=RigHoursPerWeek,E53=0),1,0)</f>
        <v>1</v>
      </c>
    </row>
    <row r="54" spans="1:6" x14ac:dyDescent="0.35">
      <c r="A54">
        <f>51</f>
        <v>51</v>
      </c>
      <c r="B54" t="str">
        <f>INDEX(tQueue[RequirementID],MATCH(A54,tQueue[PriorityRank],0))</f>
        <v>REQ-0178</v>
      </c>
      <c r="C54">
        <f>INDEX(tQueue[RigHours],MATCH(A54,tQueue[PriorityRank],0))</f>
        <v>0</v>
      </c>
      <c r="D54">
        <f>IF(ROW()=4,C54,D53+C54)</f>
        <v>120</v>
      </c>
      <c r="E54">
        <f>INDEX(tQueue[AirframeHours],MATCH(A54,tQueue[PriorityRank],0))</f>
        <v>0</v>
      </c>
      <c r="F54">
        <f>IF(AND(D54&lt;=RigHoursPerWeek,E54=0),1,0)</f>
        <v>1</v>
      </c>
    </row>
    <row r="55" spans="1:6" x14ac:dyDescent="0.35">
      <c r="A55">
        <f>52</f>
        <v>52</v>
      </c>
      <c r="B55" t="str">
        <f>INDEX(tQueue[RequirementID],MATCH(A55,tQueue[PriorityRank],0))</f>
        <v>REQ-0208</v>
      </c>
      <c r="C55">
        <f>INDEX(tQueue[RigHours],MATCH(A55,tQueue[PriorityRank],0))</f>
        <v>0</v>
      </c>
      <c r="D55">
        <f>IF(ROW()=4,C55,D54+C55)</f>
        <v>120</v>
      </c>
      <c r="E55">
        <f>INDEX(tQueue[AirframeHours],MATCH(A55,tQueue[PriorityRank],0))</f>
        <v>0</v>
      </c>
      <c r="F55">
        <f>IF(AND(D55&lt;=RigHoursPerWeek,E55=0),1,0)</f>
        <v>1</v>
      </c>
    </row>
    <row r="56" spans="1:6" x14ac:dyDescent="0.35">
      <c r="A56">
        <f>53</f>
        <v>53</v>
      </c>
      <c r="B56" t="str">
        <f>INDEX(tQueue[RequirementID],MATCH(A56,tQueue[PriorityRank],0))</f>
        <v>REQ-0306</v>
      </c>
      <c r="C56">
        <f>INDEX(tQueue[RigHours],MATCH(A56,tQueue[PriorityRank],0))</f>
        <v>0</v>
      </c>
      <c r="D56">
        <f>IF(ROW()=4,C56,D55+C56)</f>
        <v>120</v>
      </c>
      <c r="E56">
        <f>INDEX(tQueue[AirframeHours],MATCH(A56,tQueue[PriorityRank],0))</f>
        <v>0</v>
      </c>
      <c r="F56">
        <f>IF(AND(D56&lt;=RigHoursPerWeek,E56=0),1,0)</f>
        <v>1</v>
      </c>
    </row>
    <row r="57" spans="1:6" x14ac:dyDescent="0.35">
      <c r="A57">
        <f>54</f>
        <v>54</v>
      </c>
      <c r="B57" t="str">
        <f>INDEX(tQueue[RequirementID],MATCH(A57,tQueue[PriorityRank],0))</f>
        <v>REQ-0324</v>
      </c>
      <c r="C57">
        <f>INDEX(tQueue[RigHours],MATCH(A57,tQueue[PriorityRank],0))</f>
        <v>0</v>
      </c>
      <c r="D57">
        <f>IF(ROW()=4,C57,D56+C57)</f>
        <v>120</v>
      </c>
      <c r="E57">
        <f>INDEX(tQueue[AirframeHours],MATCH(A57,tQueue[PriorityRank],0))</f>
        <v>0</v>
      </c>
      <c r="F57">
        <f>IF(AND(D57&lt;=RigHoursPerWeek,E57=0),1,0)</f>
        <v>1</v>
      </c>
    </row>
    <row r="58" spans="1:6" x14ac:dyDescent="0.35">
      <c r="A58">
        <f>55</f>
        <v>55</v>
      </c>
      <c r="B58" t="str">
        <f>INDEX(tQueue[RequirementID],MATCH(A58,tQueue[PriorityRank],0))</f>
        <v>REQ-0438</v>
      </c>
      <c r="C58">
        <f>INDEX(tQueue[RigHours],MATCH(A58,tQueue[PriorityRank],0))</f>
        <v>0</v>
      </c>
      <c r="D58">
        <f>IF(ROW()=4,C58,D57+C58)</f>
        <v>120</v>
      </c>
      <c r="E58">
        <f>INDEX(tQueue[AirframeHours],MATCH(A58,tQueue[PriorityRank],0))</f>
        <v>0</v>
      </c>
      <c r="F58">
        <f>IF(AND(D58&lt;=RigHoursPerWeek,E58=0),1,0)</f>
        <v>1</v>
      </c>
    </row>
    <row r="59" spans="1:6" x14ac:dyDescent="0.35">
      <c r="A59">
        <f>56</f>
        <v>56</v>
      </c>
      <c r="B59" t="str">
        <f>INDEX(tQueue[RequirementID],MATCH(A59,tQueue[PriorityRank],0))</f>
        <v>REQ-0473</v>
      </c>
      <c r="C59">
        <f>INDEX(tQueue[RigHours],MATCH(A59,tQueue[PriorityRank],0))</f>
        <v>0</v>
      </c>
      <c r="D59">
        <f>IF(ROW()=4,C59,D58+C59)</f>
        <v>120</v>
      </c>
      <c r="E59">
        <f>INDEX(tQueue[AirframeHours],MATCH(A59,tQueue[PriorityRank],0))</f>
        <v>0</v>
      </c>
      <c r="F59">
        <f>IF(AND(D59&lt;=RigHoursPerWeek,E59=0),1,0)</f>
        <v>1</v>
      </c>
    </row>
    <row r="60" spans="1:6" x14ac:dyDescent="0.35">
      <c r="A60">
        <f>57</f>
        <v>57</v>
      </c>
      <c r="B60" t="str">
        <f>INDEX(tQueue[RequirementID],MATCH(A60,tQueue[PriorityRank],0))</f>
        <v>REQ-0026</v>
      </c>
      <c r="C60">
        <f>INDEX(tQueue[RigHours],MATCH(A60,tQueue[PriorityRank],0))</f>
        <v>2.5</v>
      </c>
      <c r="D60">
        <f>IF(ROW()=4,C60,D59+C60)</f>
        <v>122.5</v>
      </c>
      <c r="E60">
        <f>INDEX(tQueue[AirframeHours],MATCH(A60,tQueue[PriorityRank],0))</f>
        <v>0</v>
      </c>
      <c r="F60">
        <f>IF(AND(D60&lt;=RigHoursPerWeek,E60=0),1,0)</f>
        <v>1</v>
      </c>
    </row>
    <row r="61" spans="1:6" x14ac:dyDescent="0.35">
      <c r="A61">
        <f>58</f>
        <v>58</v>
      </c>
      <c r="B61" t="str">
        <f>INDEX(tQueue[RequirementID],MATCH(A61,tQueue[PriorityRank],0))</f>
        <v>REQ-0035</v>
      </c>
      <c r="C61">
        <f>INDEX(tQueue[RigHours],MATCH(A61,tQueue[PriorityRank],0))</f>
        <v>2.5</v>
      </c>
      <c r="D61">
        <f>IF(ROW()=4,C61,D60+C61)</f>
        <v>125</v>
      </c>
      <c r="E61">
        <f>INDEX(tQueue[AirframeHours],MATCH(A61,tQueue[PriorityRank],0))</f>
        <v>0</v>
      </c>
      <c r="F61">
        <f>IF(AND(D61&lt;=RigHoursPerWeek,E61=0),1,0)</f>
        <v>1</v>
      </c>
    </row>
    <row r="62" spans="1:6" x14ac:dyDescent="0.35">
      <c r="A62">
        <f>59</f>
        <v>59</v>
      </c>
      <c r="B62" t="str">
        <f>INDEX(tQueue[RequirementID],MATCH(A62,tQueue[PriorityRank],0))</f>
        <v>REQ-0043</v>
      </c>
      <c r="C62">
        <f>INDEX(tQueue[RigHours],MATCH(A62,tQueue[PriorityRank],0))</f>
        <v>2.5</v>
      </c>
      <c r="D62">
        <f>IF(ROW()=4,C62,D61+C62)</f>
        <v>127.5</v>
      </c>
      <c r="E62">
        <f>INDEX(tQueue[AirframeHours],MATCH(A62,tQueue[PriorityRank],0))</f>
        <v>0</v>
      </c>
      <c r="F62">
        <f>IF(AND(D62&lt;=RigHoursPerWeek,E62=0),1,0)</f>
        <v>1</v>
      </c>
    </row>
    <row r="63" spans="1:6" x14ac:dyDescent="0.35">
      <c r="A63">
        <f>60</f>
        <v>60</v>
      </c>
      <c r="B63" t="str">
        <f>INDEX(tQueue[RequirementID],MATCH(A63,tQueue[PriorityRank],0))</f>
        <v>REQ-0053</v>
      </c>
      <c r="C63">
        <f>INDEX(tQueue[RigHours],MATCH(A63,tQueue[PriorityRank],0))</f>
        <v>2.5</v>
      </c>
      <c r="D63">
        <f>IF(ROW()=4,C63,D62+C63)</f>
        <v>130</v>
      </c>
      <c r="E63">
        <f>INDEX(tQueue[AirframeHours],MATCH(A63,tQueue[PriorityRank],0))</f>
        <v>0</v>
      </c>
      <c r="F63">
        <f>IF(AND(D63&lt;=RigHoursPerWeek,E63=0),1,0)</f>
        <v>1</v>
      </c>
    </row>
    <row r="64" spans="1:6" x14ac:dyDescent="0.35">
      <c r="A64">
        <f>61</f>
        <v>61</v>
      </c>
      <c r="B64" t="str">
        <f>INDEX(tQueue[RequirementID],MATCH(A64,tQueue[PriorityRank],0))</f>
        <v>REQ-0080</v>
      </c>
      <c r="C64">
        <f>INDEX(tQueue[RigHours],MATCH(A64,tQueue[PriorityRank],0))</f>
        <v>2.5</v>
      </c>
      <c r="D64">
        <f>IF(ROW()=4,C64,D63+C64)</f>
        <v>132.5</v>
      </c>
      <c r="E64">
        <f>INDEX(tQueue[AirframeHours],MATCH(A64,tQueue[PriorityRank],0))</f>
        <v>0</v>
      </c>
      <c r="F64">
        <f>IF(AND(D64&lt;=RigHoursPerWeek,E64=0),1,0)</f>
        <v>1</v>
      </c>
    </row>
    <row r="65" spans="1:6" x14ac:dyDescent="0.35">
      <c r="A65">
        <f>62</f>
        <v>62</v>
      </c>
      <c r="B65" t="str">
        <f>INDEX(tQueue[RequirementID],MATCH(A65,tQueue[PriorityRank],0))</f>
        <v>REQ-0109</v>
      </c>
      <c r="C65">
        <f>INDEX(tQueue[RigHours],MATCH(A65,tQueue[PriorityRank],0))</f>
        <v>2.5</v>
      </c>
      <c r="D65">
        <f>IF(ROW()=4,C65,D64+C65)</f>
        <v>135</v>
      </c>
      <c r="E65">
        <f>INDEX(tQueue[AirframeHours],MATCH(A65,tQueue[PriorityRank],0))</f>
        <v>0</v>
      </c>
      <c r="F65">
        <f>IF(AND(D65&lt;=RigHoursPerWeek,E65=0),1,0)</f>
        <v>1</v>
      </c>
    </row>
    <row r="66" spans="1:6" x14ac:dyDescent="0.35">
      <c r="A66">
        <f>63</f>
        <v>63</v>
      </c>
      <c r="B66" t="str">
        <f>INDEX(tQueue[RequirementID],MATCH(A66,tQueue[PriorityRank],0))</f>
        <v>REQ-0149</v>
      </c>
      <c r="C66">
        <f>INDEX(tQueue[RigHours],MATCH(A66,tQueue[PriorityRank],0))</f>
        <v>2.5</v>
      </c>
      <c r="D66">
        <f>IF(ROW()=4,C66,D65+C66)</f>
        <v>137.5</v>
      </c>
      <c r="E66">
        <f>INDEX(tQueue[AirframeHours],MATCH(A66,tQueue[PriorityRank],0))</f>
        <v>0</v>
      </c>
      <c r="F66">
        <f>IF(AND(D66&lt;=RigHoursPerWeek,E66=0),1,0)</f>
        <v>1</v>
      </c>
    </row>
    <row r="67" spans="1:6" x14ac:dyDescent="0.35">
      <c r="A67">
        <f>64</f>
        <v>64</v>
      </c>
      <c r="B67" t="str">
        <f>INDEX(tQueue[RequirementID],MATCH(A67,tQueue[PriorityRank],0))</f>
        <v>REQ-0169</v>
      </c>
      <c r="C67">
        <f>INDEX(tQueue[RigHours],MATCH(A67,tQueue[PriorityRank],0))</f>
        <v>2.5</v>
      </c>
      <c r="D67">
        <f>IF(ROW()=4,C67,D66+C67)</f>
        <v>140</v>
      </c>
      <c r="E67">
        <f>INDEX(tQueue[AirframeHours],MATCH(A67,tQueue[PriorityRank],0))</f>
        <v>0</v>
      </c>
      <c r="F67">
        <f>IF(AND(D67&lt;=RigHoursPerWeek,E67=0),1,0)</f>
        <v>1</v>
      </c>
    </row>
    <row r="68" spans="1:6" x14ac:dyDescent="0.35">
      <c r="A68">
        <f>65</f>
        <v>65</v>
      </c>
      <c r="B68" t="str">
        <f>INDEX(tQueue[RequirementID],MATCH(A68,tQueue[PriorityRank],0))</f>
        <v>REQ-0181</v>
      </c>
      <c r="C68">
        <f>INDEX(tQueue[RigHours],MATCH(A68,tQueue[PriorityRank],0))</f>
        <v>2.5</v>
      </c>
      <c r="D68">
        <f>IF(ROW()=4,C68,D67+C68)</f>
        <v>142.5</v>
      </c>
      <c r="E68">
        <f>INDEX(tQueue[AirframeHours],MATCH(A68,tQueue[PriorityRank],0))</f>
        <v>0</v>
      </c>
      <c r="F68">
        <f>IF(AND(D68&lt;=RigHoursPerWeek,E68=0),1,0)</f>
        <v>1</v>
      </c>
    </row>
    <row r="69" spans="1:6" x14ac:dyDescent="0.35">
      <c r="A69">
        <f>66</f>
        <v>66</v>
      </c>
      <c r="B69" t="str">
        <f>INDEX(tQueue[RequirementID],MATCH(A69,tQueue[PriorityRank],0))</f>
        <v>REQ-0189</v>
      </c>
      <c r="C69">
        <f>INDEX(tQueue[RigHours],MATCH(A69,tQueue[PriorityRank],0))</f>
        <v>2.5</v>
      </c>
      <c r="D69">
        <f>IF(ROW()=4,C69,D68+C69)</f>
        <v>145</v>
      </c>
      <c r="E69">
        <f>INDEX(tQueue[AirframeHours],MATCH(A69,tQueue[PriorityRank],0))</f>
        <v>0</v>
      </c>
      <c r="F69">
        <f>IF(AND(D69&lt;=RigHoursPerWeek,E69=0),1,0)</f>
        <v>1</v>
      </c>
    </row>
    <row r="70" spans="1:6" x14ac:dyDescent="0.35">
      <c r="A70">
        <f>67</f>
        <v>67</v>
      </c>
      <c r="B70" t="str">
        <f>INDEX(tQueue[RequirementID],MATCH(A70,tQueue[PriorityRank],0))</f>
        <v>REQ-0301</v>
      </c>
      <c r="C70">
        <f>INDEX(tQueue[RigHours],MATCH(A70,tQueue[PriorityRank],0))</f>
        <v>2.5</v>
      </c>
      <c r="D70">
        <f>IF(ROW()=4,C70,D69+C70)</f>
        <v>147.5</v>
      </c>
      <c r="E70">
        <f>INDEX(tQueue[AirframeHours],MATCH(A70,tQueue[PriorityRank],0))</f>
        <v>0</v>
      </c>
      <c r="F70">
        <f>IF(AND(D70&lt;=RigHoursPerWeek,E70=0),1,0)</f>
        <v>1</v>
      </c>
    </row>
    <row r="71" spans="1:6" x14ac:dyDescent="0.35">
      <c r="A71">
        <f>68</f>
        <v>68</v>
      </c>
      <c r="B71" t="str">
        <f>INDEX(tQueue[RequirementID],MATCH(A71,tQueue[PriorityRank],0))</f>
        <v>REQ-0336</v>
      </c>
      <c r="C71">
        <f>INDEX(tQueue[RigHours],MATCH(A71,tQueue[PriorityRank],0))</f>
        <v>2.5</v>
      </c>
      <c r="D71">
        <f>IF(ROW()=4,C71,D70+C71)</f>
        <v>150</v>
      </c>
      <c r="E71">
        <f>INDEX(tQueue[AirframeHours],MATCH(A71,tQueue[PriorityRank],0))</f>
        <v>0</v>
      </c>
      <c r="F71">
        <f>IF(AND(D71&lt;=RigHoursPerWeek,E71=0),1,0)</f>
        <v>1</v>
      </c>
    </row>
    <row r="72" spans="1:6" x14ac:dyDescent="0.35">
      <c r="A72">
        <f>69</f>
        <v>69</v>
      </c>
      <c r="B72" t="str">
        <f>INDEX(tQueue[RequirementID],MATCH(A72,tQueue[PriorityRank],0))</f>
        <v>REQ-0382</v>
      </c>
      <c r="C72">
        <f>INDEX(tQueue[RigHours],MATCH(A72,tQueue[PriorityRank],0))</f>
        <v>2.5</v>
      </c>
      <c r="D72">
        <f>IF(ROW()=4,C72,D71+C72)</f>
        <v>152.5</v>
      </c>
      <c r="E72">
        <f>INDEX(tQueue[AirframeHours],MATCH(A72,tQueue[PriorityRank],0))</f>
        <v>0</v>
      </c>
      <c r="F72">
        <f>IF(AND(D72&lt;=RigHoursPerWeek,E72=0),1,0)</f>
        <v>1</v>
      </c>
    </row>
    <row r="73" spans="1:6" x14ac:dyDescent="0.35">
      <c r="A73">
        <f>70</f>
        <v>70</v>
      </c>
      <c r="B73" t="str">
        <f>INDEX(tQueue[RequirementID],MATCH(A73,tQueue[PriorityRank],0))</f>
        <v>REQ-0427</v>
      </c>
      <c r="C73">
        <f>INDEX(tQueue[RigHours],MATCH(A73,tQueue[PriorityRank],0))</f>
        <v>2.5</v>
      </c>
      <c r="D73">
        <f>IF(ROW()=4,C73,D72+C73)</f>
        <v>155</v>
      </c>
      <c r="E73">
        <f>INDEX(tQueue[AirframeHours],MATCH(A73,tQueue[PriorityRank],0))</f>
        <v>0</v>
      </c>
      <c r="F73">
        <f>IF(AND(D73&lt;=RigHoursPerWeek,E73=0),1,0)</f>
        <v>1</v>
      </c>
    </row>
    <row r="74" spans="1:6" x14ac:dyDescent="0.35">
      <c r="A74">
        <f>71</f>
        <v>71</v>
      </c>
      <c r="B74" t="str">
        <f>INDEX(tQueue[RequirementID],MATCH(A74,tQueue[PriorityRank],0))</f>
        <v>REQ-0469</v>
      </c>
      <c r="C74">
        <f>INDEX(tQueue[RigHours],MATCH(A74,tQueue[PriorityRank],0))</f>
        <v>2.5</v>
      </c>
      <c r="D74">
        <f>IF(ROW()=4,C74,D73+C74)</f>
        <v>157.5</v>
      </c>
      <c r="E74">
        <f>INDEX(tQueue[AirframeHours],MATCH(A74,tQueue[PriorityRank],0))</f>
        <v>0</v>
      </c>
      <c r="F74">
        <f>IF(AND(D74&lt;=RigHoursPerWeek,E74=0),1,0)</f>
        <v>1</v>
      </c>
    </row>
    <row r="75" spans="1:6" x14ac:dyDescent="0.35">
      <c r="A75">
        <f>72</f>
        <v>72</v>
      </c>
      <c r="B75" t="str">
        <f>INDEX(tQueue[RequirementID],MATCH(A75,tQueue[PriorityRank],0))</f>
        <v>REQ-0475</v>
      </c>
      <c r="C75">
        <f>INDEX(tQueue[RigHours],MATCH(A75,tQueue[PriorityRank],0))</f>
        <v>2.5</v>
      </c>
      <c r="D75">
        <f>IF(ROW()=4,C75,D74+C75)</f>
        <v>160</v>
      </c>
      <c r="E75">
        <f>INDEX(tQueue[AirframeHours],MATCH(A75,tQueue[PriorityRank],0))</f>
        <v>0</v>
      </c>
      <c r="F75">
        <f>IF(AND(D75&lt;=RigHoursPerWeek,E75=0),1,0)</f>
        <v>1</v>
      </c>
    </row>
    <row r="76" spans="1:6" x14ac:dyDescent="0.35">
      <c r="A76">
        <f>73</f>
        <v>73</v>
      </c>
      <c r="B76" t="str">
        <f>INDEX(tQueue[RequirementID],MATCH(A76,tQueue[PriorityRank],0))</f>
        <v>REQ-0488</v>
      </c>
      <c r="C76">
        <f>INDEX(tQueue[RigHours],MATCH(A76,tQueue[PriorityRank],0))</f>
        <v>2.5</v>
      </c>
      <c r="D76">
        <f>IF(ROW()=4,C76,D75+C76)</f>
        <v>162.5</v>
      </c>
      <c r="E76">
        <f>INDEX(tQueue[AirframeHours],MATCH(A76,tQueue[PriorityRank],0))</f>
        <v>0</v>
      </c>
      <c r="F76">
        <f>IF(AND(D76&lt;=RigHoursPerWeek,E76=0),1,0)</f>
        <v>1</v>
      </c>
    </row>
    <row r="77" spans="1:6" x14ac:dyDescent="0.35">
      <c r="A77">
        <f>74</f>
        <v>74</v>
      </c>
      <c r="B77" t="str">
        <f>INDEX(tQueue[RequirementID],MATCH(A77,tQueue[PriorityRank],0))</f>
        <v>REQ-0493</v>
      </c>
      <c r="C77">
        <f>INDEX(tQueue[RigHours],MATCH(A77,tQueue[PriorityRank],0))</f>
        <v>2.5</v>
      </c>
      <c r="D77">
        <f>IF(ROW()=4,C77,D76+C77)</f>
        <v>165</v>
      </c>
      <c r="E77">
        <f>INDEX(tQueue[AirframeHours],MATCH(A77,tQueue[PriorityRank],0))</f>
        <v>0</v>
      </c>
      <c r="F77">
        <f>IF(AND(D77&lt;=RigHoursPerWeek,E77=0),1,0)</f>
        <v>1</v>
      </c>
    </row>
    <row r="78" spans="1:6" x14ac:dyDescent="0.35">
      <c r="A78">
        <f>75</f>
        <v>75</v>
      </c>
      <c r="B78" t="str">
        <f>INDEX(tQueue[RequirementID],MATCH(A78,tQueue[PriorityRank],0))</f>
        <v>REQ-0514</v>
      </c>
      <c r="C78">
        <f>INDEX(tQueue[RigHours],MATCH(A78,tQueue[PriorityRank],0))</f>
        <v>2.5</v>
      </c>
      <c r="D78">
        <f>IF(ROW()=4,C78,D77+C78)</f>
        <v>167.5</v>
      </c>
      <c r="E78">
        <f>INDEX(tQueue[AirframeHours],MATCH(A78,tQueue[PriorityRank],0))</f>
        <v>0</v>
      </c>
      <c r="F78">
        <f>IF(AND(D78&lt;=RigHoursPerWeek,E78=0),1,0)</f>
        <v>1</v>
      </c>
    </row>
    <row r="79" spans="1:6" x14ac:dyDescent="0.35">
      <c r="A79">
        <f>76</f>
        <v>76</v>
      </c>
      <c r="B79" t="str">
        <f>INDEX(tQueue[RequirementID],MATCH(A79,tQueue[PriorityRank],0))</f>
        <v>REQ-0521</v>
      </c>
      <c r="C79">
        <f>INDEX(tQueue[RigHours],MATCH(A79,tQueue[PriorityRank],0))</f>
        <v>2.5</v>
      </c>
      <c r="D79">
        <f>IF(ROW()=4,C79,D78+C79)</f>
        <v>170</v>
      </c>
      <c r="E79">
        <f>INDEX(tQueue[AirframeHours],MATCH(A79,tQueue[PriorityRank],0))</f>
        <v>0</v>
      </c>
      <c r="F79">
        <f>IF(AND(D79&lt;=RigHoursPerWeek,E79=0),1,0)</f>
        <v>1</v>
      </c>
    </row>
    <row r="80" spans="1:6" x14ac:dyDescent="0.35">
      <c r="A80">
        <f>77</f>
        <v>77</v>
      </c>
      <c r="B80" t="str">
        <f>INDEX(tQueue[RequirementID],MATCH(A80,tQueue[PriorityRank],0))</f>
        <v>REQ-0089</v>
      </c>
      <c r="C80">
        <f>INDEX(tQueue[RigHours],MATCH(A80,tQueue[PriorityRank],0))</f>
        <v>0</v>
      </c>
      <c r="D80">
        <f>IF(ROW()=4,C80,D79+C80)</f>
        <v>170</v>
      </c>
      <c r="E80">
        <f>INDEX(tQueue[AirframeHours],MATCH(A80,tQueue[PriorityRank],0))</f>
        <v>8</v>
      </c>
      <c r="F80">
        <f>IF(AND(D80&lt;=RigHoursPerWeek,E80=0),1,0)</f>
        <v>0</v>
      </c>
    </row>
    <row r="81" spans="1:6" x14ac:dyDescent="0.35">
      <c r="A81">
        <f>78</f>
        <v>78</v>
      </c>
      <c r="B81" t="str">
        <f>INDEX(tQueue[RequirementID],MATCH(A81,tQueue[PriorityRank],0))</f>
        <v>REQ-0368</v>
      </c>
      <c r="C81">
        <f>INDEX(tQueue[RigHours],MATCH(A81,tQueue[PriorityRank],0))</f>
        <v>0</v>
      </c>
      <c r="D81">
        <f>IF(ROW()=4,C81,D80+C81)</f>
        <v>170</v>
      </c>
      <c r="E81">
        <f>INDEX(tQueue[AirframeHours],MATCH(A81,tQueue[PriorityRank],0))</f>
        <v>8</v>
      </c>
      <c r="F81">
        <f>IF(AND(D81&lt;=RigHoursPerWeek,E81=0),1,0)</f>
        <v>0</v>
      </c>
    </row>
    <row r="82" spans="1:6" x14ac:dyDescent="0.35">
      <c r="A82">
        <f>79</f>
        <v>79</v>
      </c>
      <c r="B82" t="str">
        <f>INDEX(tQueue[RequirementID],MATCH(A82,tQueue[PriorityRank],0))</f>
        <v>REQ-0392</v>
      </c>
      <c r="C82">
        <f>INDEX(tQueue[RigHours],MATCH(A82,tQueue[PriorityRank],0))</f>
        <v>0</v>
      </c>
      <c r="D82">
        <f>IF(ROW()=4,C82,D81+C82)</f>
        <v>170</v>
      </c>
      <c r="E82">
        <f>INDEX(tQueue[AirframeHours],MATCH(A82,tQueue[PriorityRank],0))</f>
        <v>8</v>
      </c>
      <c r="F82">
        <f>IF(AND(D82&lt;=RigHoursPerWeek,E82=0),1,0)</f>
        <v>0</v>
      </c>
    </row>
    <row r="83" spans="1:6" x14ac:dyDescent="0.35">
      <c r="A83">
        <f>80</f>
        <v>80</v>
      </c>
      <c r="B83" t="str">
        <f>INDEX(tQueue[RequirementID],MATCH(A83,tQueue[PriorityRank],0))</f>
        <v>REQ-0412</v>
      </c>
      <c r="C83">
        <f>INDEX(tQueue[RigHours],MATCH(A83,tQueue[PriorityRank],0))</f>
        <v>0</v>
      </c>
      <c r="D83">
        <f>IF(ROW()=4,C83,D82+C83)</f>
        <v>170</v>
      </c>
      <c r="E83">
        <f>INDEX(tQueue[AirframeHours],MATCH(A83,tQueue[PriorityRank],0))</f>
        <v>8</v>
      </c>
      <c r="F83">
        <f>IF(AND(D83&lt;=RigHoursPerWeek,E83=0),1,0)</f>
        <v>0</v>
      </c>
    </row>
    <row r="84" spans="1:6" x14ac:dyDescent="0.35">
      <c r="A84">
        <f>81</f>
        <v>81</v>
      </c>
      <c r="B84" t="str">
        <f>INDEX(tQueue[RequirementID],MATCH(A84,tQueue[PriorityRank],0))</f>
        <v>REQ-0503</v>
      </c>
      <c r="C84">
        <f>INDEX(tQueue[RigHours],MATCH(A84,tQueue[PriorityRank],0))</f>
        <v>0</v>
      </c>
      <c r="D84">
        <f>IF(ROW()=4,C84,D83+C84)</f>
        <v>170</v>
      </c>
      <c r="E84">
        <f>INDEX(tQueue[AirframeHours],MATCH(A84,tQueue[PriorityRank],0))</f>
        <v>8</v>
      </c>
      <c r="F84">
        <f>IF(AND(D84&lt;=RigHoursPerWeek,E84=0),1,0)</f>
        <v>0</v>
      </c>
    </row>
    <row r="85" spans="1:6" x14ac:dyDescent="0.35">
      <c r="A85">
        <f>82</f>
        <v>82</v>
      </c>
      <c r="B85" t="str">
        <f>INDEX(tQueue[RequirementID],MATCH(A85,tQueue[PriorityRank],0))</f>
        <v>REQ-0014</v>
      </c>
      <c r="C85">
        <f>INDEX(tQueue[RigHours],MATCH(A85,tQueue[PriorityRank],0))</f>
        <v>2.5</v>
      </c>
      <c r="D85">
        <f>IF(ROW()=4,C85,D84+C85)</f>
        <v>172.5</v>
      </c>
      <c r="E85">
        <f>INDEX(tQueue[AirframeHours],MATCH(A85,tQueue[PriorityRank],0))</f>
        <v>0</v>
      </c>
      <c r="F85">
        <f>IF(AND(D85&lt;=RigHoursPerWeek,E85=0),1,0)</f>
        <v>1</v>
      </c>
    </row>
    <row r="86" spans="1:6" x14ac:dyDescent="0.35">
      <c r="A86">
        <f>83</f>
        <v>83</v>
      </c>
      <c r="B86" t="str">
        <f>INDEX(tQueue[RequirementID],MATCH(A86,tQueue[PriorityRank],0))</f>
        <v>REQ-0092</v>
      </c>
      <c r="C86">
        <f>INDEX(tQueue[RigHours],MATCH(A86,tQueue[PriorityRank],0))</f>
        <v>5</v>
      </c>
      <c r="D86">
        <f>IF(ROW()=4,C86,D85+C86)</f>
        <v>177.5</v>
      </c>
      <c r="E86">
        <f>INDEX(tQueue[AirframeHours],MATCH(A86,tQueue[PriorityRank],0))</f>
        <v>0</v>
      </c>
      <c r="F86">
        <f>IF(AND(D86&lt;=RigHoursPerWeek,E86=0),1,0)</f>
        <v>1</v>
      </c>
    </row>
    <row r="87" spans="1:6" x14ac:dyDescent="0.35">
      <c r="A87">
        <f>84</f>
        <v>84</v>
      </c>
      <c r="B87" t="str">
        <f>INDEX(tQueue[RequirementID],MATCH(A87,tQueue[PriorityRank],0))</f>
        <v>REQ-0434</v>
      </c>
      <c r="C87">
        <f>INDEX(tQueue[RigHours],MATCH(A87,tQueue[PriorityRank],0))</f>
        <v>2.5</v>
      </c>
      <c r="D87">
        <f>IF(ROW()=4,C87,D86+C87)</f>
        <v>180</v>
      </c>
      <c r="E87">
        <f>INDEX(tQueue[AirframeHours],MATCH(A87,tQueue[PriorityRank],0))</f>
        <v>0</v>
      </c>
      <c r="F87">
        <f>IF(AND(D87&lt;=RigHoursPerWeek,E87=0),1,0)</f>
        <v>1</v>
      </c>
    </row>
    <row r="88" spans="1:6" x14ac:dyDescent="0.35">
      <c r="A88">
        <f>85</f>
        <v>85</v>
      </c>
      <c r="B88" t="str">
        <f>INDEX(tQueue[RequirementID],MATCH(A88,tQueue[PriorityRank],0))</f>
        <v>REQ-0099</v>
      </c>
      <c r="C88">
        <f>INDEX(tQueue[RigHours],MATCH(A88,tQueue[PriorityRank],0))</f>
        <v>0</v>
      </c>
      <c r="D88">
        <f>IF(ROW()=4,C88,D87+C88)</f>
        <v>180</v>
      </c>
      <c r="E88">
        <f>INDEX(tQueue[AirframeHours],MATCH(A88,tQueue[PriorityRank],0))</f>
        <v>0</v>
      </c>
      <c r="F88">
        <f>IF(AND(D88&lt;=RigHoursPerWeek,E88=0),1,0)</f>
        <v>1</v>
      </c>
    </row>
    <row r="89" spans="1:6" x14ac:dyDescent="0.35">
      <c r="A89">
        <f>86</f>
        <v>86</v>
      </c>
      <c r="B89" t="str">
        <f>INDEX(tQueue[RequirementID],MATCH(A89,tQueue[PriorityRank],0))</f>
        <v>REQ-0249</v>
      </c>
      <c r="C89">
        <f>INDEX(tQueue[RigHours],MATCH(A89,tQueue[PriorityRank],0))</f>
        <v>2.5</v>
      </c>
      <c r="D89">
        <f>IF(ROW()=4,C89,D88+C89)</f>
        <v>182.5</v>
      </c>
      <c r="E89">
        <f>INDEX(tQueue[AirframeHours],MATCH(A89,tQueue[PriorityRank],0))</f>
        <v>0</v>
      </c>
      <c r="F89">
        <f>IF(AND(D89&lt;=RigHoursPerWeek,E89=0),1,0)</f>
        <v>0</v>
      </c>
    </row>
    <row r="90" spans="1:6" x14ac:dyDescent="0.35">
      <c r="A90">
        <f>87</f>
        <v>87</v>
      </c>
      <c r="B90" t="str">
        <f>INDEX(tQueue[RequirementID],MATCH(A90,tQueue[PriorityRank],0))</f>
        <v>REQ-0398</v>
      </c>
      <c r="C90">
        <f>INDEX(tQueue[RigHours],MATCH(A90,tQueue[PriorityRank],0))</f>
        <v>2.5</v>
      </c>
      <c r="D90">
        <f>IF(ROW()=4,C90,D89+C90)</f>
        <v>185</v>
      </c>
      <c r="E90">
        <f>INDEX(tQueue[AirframeHours],MATCH(A90,tQueue[PriorityRank],0))</f>
        <v>0</v>
      </c>
      <c r="F90">
        <f>IF(AND(D90&lt;=RigHoursPerWeek,E90=0),1,0)</f>
        <v>0</v>
      </c>
    </row>
    <row r="91" spans="1:6" x14ac:dyDescent="0.35">
      <c r="A91">
        <f>88</f>
        <v>88</v>
      </c>
      <c r="B91" t="str">
        <f>INDEX(tQueue[RequirementID],MATCH(A91,tQueue[PriorityRank],0))</f>
        <v>REQ-0444</v>
      </c>
      <c r="C91">
        <f>INDEX(tQueue[RigHours],MATCH(A91,tQueue[PriorityRank],0))</f>
        <v>2.5</v>
      </c>
      <c r="D91">
        <f>IF(ROW()=4,C91,D90+C91)</f>
        <v>187.5</v>
      </c>
      <c r="E91">
        <f>INDEX(tQueue[AirframeHours],MATCH(A91,tQueue[PriorityRank],0))</f>
        <v>0</v>
      </c>
      <c r="F91">
        <f>IF(AND(D91&lt;=RigHoursPerWeek,E91=0),1,0)</f>
        <v>0</v>
      </c>
    </row>
    <row r="92" spans="1:6" x14ac:dyDescent="0.35">
      <c r="A92">
        <f>89</f>
        <v>89</v>
      </c>
      <c r="B92" t="str">
        <f>INDEX(tQueue[RequirementID],MATCH(A92,tQueue[PriorityRank],0))</f>
        <v>REQ-0027</v>
      </c>
      <c r="C92">
        <f>INDEX(tQueue[RigHours],MATCH(A92,tQueue[PriorityRank],0))</f>
        <v>2.5</v>
      </c>
      <c r="D92">
        <f>IF(ROW()=4,C92,D91+C92)</f>
        <v>190</v>
      </c>
      <c r="E92">
        <f>INDEX(tQueue[AirframeHours],MATCH(A92,tQueue[PriorityRank],0))</f>
        <v>0</v>
      </c>
      <c r="F92">
        <f>IF(AND(D92&lt;=RigHoursPerWeek,E92=0),1,0)</f>
        <v>0</v>
      </c>
    </row>
    <row r="93" spans="1:6" x14ac:dyDescent="0.35">
      <c r="A93">
        <f>90</f>
        <v>90</v>
      </c>
      <c r="B93" t="str">
        <f>INDEX(tQueue[RequirementID],MATCH(A93,tQueue[PriorityRank],0))</f>
        <v>REQ-0416</v>
      </c>
      <c r="C93">
        <f>INDEX(tQueue[RigHours],MATCH(A93,tQueue[PriorityRank],0))</f>
        <v>5</v>
      </c>
      <c r="D93">
        <f>IF(ROW()=4,C93,D92+C93)</f>
        <v>195</v>
      </c>
      <c r="E93">
        <f>INDEX(tQueue[AirframeHours],MATCH(A93,tQueue[PriorityRank],0))</f>
        <v>0</v>
      </c>
      <c r="F93">
        <f>IF(AND(D93&lt;=RigHoursPerWeek,E93=0),1,0)</f>
        <v>0</v>
      </c>
    </row>
    <row r="94" spans="1:6" x14ac:dyDescent="0.35">
      <c r="A94">
        <f>91</f>
        <v>91</v>
      </c>
      <c r="B94" t="str">
        <f>INDEX(tQueue[RequirementID],MATCH(A94,tQueue[PriorityRank],0))</f>
        <v>REQ-0496</v>
      </c>
      <c r="C94">
        <f>INDEX(tQueue[RigHours],MATCH(A94,tQueue[PriorityRank],0))</f>
        <v>5</v>
      </c>
      <c r="D94">
        <f>IF(ROW()=4,C94,D93+C94)</f>
        <v>200</v>
      </c>
      <c r="E94">
        <f>INDEX(tQueue[AirframeHours],MATCH(A94,tQueue[PriorityRank],0))</f>
        <v>0</v>
      </c>
      <c r="F94">
        <f>IF(AND(D94&lt;=RigHoursPerWeek,E94=0),1,0)</f>
        <v>0</v>
      </c>
    </row>
    <row r="95" spans="1:6" x14ac:dyDescent="0.35">
      <c r="A95">
        <f>92</f>
        <v>92</v>
      </c>
      <c r="B95" t="str">
        <f>INDEX(tQueue[RequirementID],MATCH(A95,tQueue[PriorityRank],0))</f>
        <v>REQ-0008</v>
      </c>
      <c r="C95">
        <f>INDEX(tQueue[RigHours],MATCH(A95,tQueue[PriorityRank],0))</f>
        <v>0</v>
      </c>
      <c r="D95">
        <f>IF(ROW()=4,C95,D94+C95)</f>
        <v>200</v>
      </c>
      <c r="E95">
        <f>INDEX(tQueue[AirframeHours],MATCH(A95,tQueue[PriorityRank],0))</f>
        <v>0</v>
      </c>
      <c r="F95">
        <f>IF(AND(D95&lt;=RigHoursPerWeek,E95=0),1,0)</f>
        <v>0</v>
      </c>
    </row>
    <row r="96" spans="1:6" x14ac:dyDescent="0.35">
      <c r="A96">
        <f>93</f>
        <v>93</v>
      </c>
      <c r="B96" t="str">
        <f>INDEX(tQueue[RequirementID],MATCH(A96,tQueue[PriorityRank],0))</f>
        <v>REQ-0124</v>
      </c>
      <c r="C96">
        <f>INDEX(tQueue[RigHours],MATCH(A96,tQueue[PriorityRank],0))</f>
        <v>0</v>
      </c>
      <c r="D96">
        <f>IF(ROW()=4,C96,D95+C96)</f>
        <v>200</v>
      </c>
      <c r="E96">
        <f>INDEX(tQueue[AirframeHours],MATCH(A96,tQueue[PriorityRank],0))</f>
        <v>0</v>
      </c>
      <c r="F96">
        <f>IF(AND(D96&lt;=RigHoursPerWeek,E96=0),1,0)</f>
        <v>0</v>
      </c>
    </row>
    <row r="97" spans="1:6" x14ac:dyDescent="0.35">
      <c r="A97">
        <f>94</f>
        <v>94</v>
      </c>
      <c r="B97" t="str">
        <f>INDEX(tQueue[RequirementID],MATCH(A97,tQueue[PriorityRank],0))</f>
        <v>REQ-0155</v>
      </c>
      <c r="C97">
        <f>INDEX(tQueue[RigHours],MATCH(A97,tQueue[PriorityRank],0))</f>
        <v>0</v>
      </c>
      <c r="D97">
        <f>IF(ROW()=4,C97,D96+C97)</f>
        <v>200</v>
      </c>
      <c r="E97">
        <f>INDEX(tQueue[AirframeHours],MATCH(A97,tQueue[PriorityRank],0))</f>
        <v>0</v>
      </c>
      <c r="F97">
        <f>IF(AND(D97&lt;=RigHoursPerWeek,E97=0),1,0)</f>
        <v>0</v>
      </c>
    </row>
    <row r="98" spans="1:6" x14ac:dyDescent="0.35">
      <c r="A98">
        <f>95</f>
        <v>95</v>
      </c>
      <c r="B98" t="str">
        <f>INDEX(tQueue[RequirementID],MATCH(A98,tQueue[PriorityRank],0))</f>
        <v>REQ-0218</v>
      </c>
      <c r="C98">
        <f>INDEX(tQueue[RigHours],MATCH(A98,tQueue[PriorityRank],0))</f>
        <v>0</v>
      </c>
      <c r="D98">
        <f>IF(ROW()=4,C98,D97+C98)</f>
        <v>200</v>
      </c>
      <c r="E98">
        <f>INDEX(tQueue[AirframeHours],MATCH(A98,tQueue[PriorityRank],0))</f>
        <v>0</v>
      </c>
      <c r="F98">
        <f>IF(AND(D98&lt;=RigHoursPerWeek,E98=0),1,0)</f>
        <v>0</v>
      </c>
    </row>
    <row r="99" spans="1:6" x14ac:dyDescent="0.35">
      <c r="A99">
        <f>96</f>
        <v>96</v>
      </c>
      <c r="B99" t="str">
        <f>INDEX(tQueue[RequirementID],MATCH(A99,tQueue[PriorityRank],0))</f>
        <v>REQ-0433</v>
      </c>
      <c r="C99">
        <f>INDEX(tQueue[RigHours],MATCH(A99,tQueue[PriorityRank],0))</f>
        <v>0</v>
      </c>
      <c r="D99">
        <f>IF(ROW()=4,C99,D98+C99)</f>
        <v>200</v>
      </c>
      <c r="E99">
        <f>INDEX(tQueue[AirframeHours],MATCH(A99,tQueue[PriorityRank],0))</f>
        <v>0</v>
      </c>
      <c r="F99">
        <f>IF(AND(D99&lt;=RigHoursPerWeek,E99=0),1,0)</f>
        <v>0</v>
      </c>
    </row>
    <row r="100" spans="1:6" x14ac:dyDescent="0.35">
      <c r="A100">
        <f>97</f>
        <v>97</v>
      </c>
      <c r="B100" t="str">
        <f>INDEX(tQueue[RequirementID],MATCH(A100,tQueue[PriorityRank],0))</f>
        <v>REQ-0459</v>
      </c>
      <c r="C100">
        <f>INDEX(tQueue[RigHours],MATCH(A100,tQueue[PriorityRank],0))</f>
        <v>0</v>
      </c>
      <c r="D100">
        <f>IF(ROW()=4,C100,D99+C100)</f>
        <v>200</v>
      </c>
      <c r="E100">
        <f>INDEX(tQueue[AirframeHours],MATCH(A100,tQueue[PriorityRank],0))</f>
        <v>0</v>
      </c>
      <c r="F100">
        <f>IF(AND(D100&lt;=RigHoursPerWeek,E100=0),1,0)</f>
        <v>0</v>
      </c>
    </row>
    <row r="101" spans="1:6" x14ac:dyDescent="0.35">
      <c r="A101">
        <f>98</f>
        <v>98</v>
      </c>
      <c r="B101" t="str">
        <f>INDEX(tQueue[RequirementID],MATCH(A101,tQueue[PriorityRank],0))</f>
        <v>REQ-0486</v>
      </c>
      <c r="C101">
        <f>INDEX(tQueue[RigHours],MATCH(A101,tQueue[PriorityRank],0))</f>
        <v>0</v>
      </c>
      <c r="D101">
        <f>IF(ROW()=4,C101,D100+C101)</f>
        <v>200</v>
      </c>
      <c r="E101">
        <f>INDEX(tQueue[AirframeHours],MATCH(A101,tQueue[PriorityRank],0))</f>
        <v>0</v>
      </c>
      <c r="F101">
        <f>IF(AND(D101&lt;=RigHoursPerWeek,E101=0),1,0)</f>
        <v>0</v>
      </c>
    </row>
    <row r="102" spans="1:6" x14ac:dyDescent="0.35">
      <c r="A102">
        <f>99</f>
        <v>99</v>
      </c>
      <c r="B102" t="str">
        <f>INDEX(tQueue[RequirementID],MATCH(A102,tQueue[PriorityRank],0))</f>
        <v>REQ-0028</v>
      </c>
      <c r="C102">
        <f>INDEX(tQueue[RigHours],MATCH(A102,tQueue[PriorityRank],0))</f>
        <v>2.5</v>
      </c>
      <c r="D102">
        <f>IF(ROW()=4,C102,D101+C102)</f>
        <v>202.5</v>
      </c>
      <c r="E102">
        <f>INDEX(tQueue[AirframeHours],MATCH(A102,tQueue[PriorityRank],0))</f>
        <v>0</v>
      </c>
      <c r="F102">
        <f>IF(AND(D102&lt;=RigHoursPerWeek,E102=0),1,0)</f>
        <v>0</v>
      </c>
    </row>
    <row r="103" spans="1:6" x14ac:dyDescent="0.35">
      <c r="A103">
        <f>100</f>
        <v>100</v>
      </c>
      <c r="B103" t="str">
        <f>INDEX(tQueue[RequirementID],MATCH(A103,tQueue[PriorityRank],0))</f>
        <v>REQ-0049</v>
      </c>
      <c r="C103">
        <f>INDEX(tQueue[RigHours],MATCH(A103,tQueue[PriorityRank],0))</f>
        <v>2.5</v>
      </c>
      <c r="D103">
        <f>IF(ROW()=4,C103,D102+C103)</f>
        <v>205</v>
      </c>
      <c r="E103">
        <f>INDEX(tQueue[AirframeHours],MATCH(A103,tQueue[PriorityRank],0))</f>
        <v>0</v>
      </c>
      <c r="F103">
        <f>IF(AND(D103&lt;=RigHoursPerWeek,E103=0),1,0)</f>
        <v>0</v>
      </c>
    </row>
    <row r="104" spans="1:6" x14ac:dyDescent="0.35">
      <c r="A104">
        <f>101</f>
        <v>101</v>
      </c>
      <c r="B104" t="str">
        <f>INDEX(tQueue[RequirementID],MATCH(A104,tQueue[PriorityRank],0))</f>
        <v>REQ-0122</v>
      </c>
      <c r="C104">
        <f>INDEX(tQueue[RigHours],MATCH(A104,tQueue[PriorityRank],0))</f>
        <v>2.5</v>
      </c>
      <c r="D104">
        <f>IF(ROW()=4,C104,D103+C104)</f>
        <v>207.5</v>
      </c>
      <c r="E104">
        <f>INDEX(tQueue[AirframeHours],MATCH(A104,tQueue[PriorityRank],0))</f>
        <v>0</v>
      </c>
      <c r="F104">
        <f>IF(AND(D104&lt;=RigHoursPerWeek,E104=0),1,0)</f>
        <v>0</v>
      </c>
    </row>
    <row r="105" spans="1:6" x14ac:dyDescent="0.35">
      <c r="A105">
        <f>102</f>
        <v>102</v>
      </c>
      <c r="B105" t="str">
        <f>INDEX(tQueue[RequirementID],MATCH(A105,tQueue[PriorityRank],0))</f>
        <v>REQ-0172</v>
      </c>
      <c r="C105">
        <f>INDEX(tQueue[RigHours],MATCH(A105,tQueue[PriorityRank],0))</f>
        <v>2.5</v>
      </c>
      <c r="D105">
        <f>IF(ROW()=4,C105,D104+C105)</f>
        <v>210</v>
      </c>
      <c r="E105">
        <f>INDEX(tQueue[AirframeHours],MATCH(A105,tQueue[PriorityRank],0))</f>
        <v>0</v>
      </c>
      <c r="F105">
        <f>IF(AND(D105&lt;=RigHoursPerWeek,E105=0),1,0)</f>
        <v>0</v>
      </c>
    </row>
    <row r="106" spans="1:6" x14ac:dyDescent="0.35">
      <c r="A106">
        <f>103</f>
        <v>103</v>
      </c>
      <c r="B106" t="str">
        <f>INDEX(tQueue[RequirementID],MATCH(A106,tQueue[PriorityRank],0))</f>
        <v>REQ-0196</v>
      </c>
      <c r="C106">
        <f>INDEX(tQueue[RigHours],MATCH(A106,tQueue[PriorityRank],0))</f>
        <v>2.5</v>
      </c>
      <c r="D106">
        <f>IF(ROW()=4,C106,D105+C106)</f>
        <v>212.5</v>
      </c>
      <c r="E106">
        <f>INDEX(tQueue[AirframeHours],MATCH(A106,tQueue[PriorityRank],0))</f>
        <v>0</v>
      </c>
      <c r="F106">
        <f>IF(AND(D106&lt;=RigHoursPerWeek,E106=0),1,0)</f>
        <v>0</v>
      </c>
    </row>
    <row r="107" spans="1:6" x14ac:dyDescent="0.35">
      <c r="A107">
        <f>104</f>
        <v>104</v>
      </c>
      <c r="B107" t="str">
        <f>INDEX(tQueue[RequirementID],MATCH(A107,tQueue[PriorityRank],0))</f>
        <v>REQ-0197</v>
      </c>
      <c r="C107">
        <f>INDEX(tQueue[RigHours],MATCH(A107,tQueue[PriorityRank],0))</f>
        <v>2.5</v>
      </c>
      <c r="D107">
        <f>IF(ROW()=4,C107,D106+C107)</f>
        <v>215</v>
      </c>
      <c r="E107">
        <f>INDEX(tQueue[AirframeHours],MATCH(A107,tQueue[PriorityRank],0))</f>
        <v>0</v>
      </c>
      <c r="F107">
        <f>IF(AND(D107&lt;=RigHoursPerWeek,E107=0),1,0)</f>
        <v>0</v>
      </c>
    </row>
    <row r="108" spans="1:6" x14ac:dyDescent="0.35">
      <c r="A108">
        <f>105</f>
        <v>105</v>
      </c>
      <c r="B108" t="str">
        <f>INDEX(tQueue[RequirementID],MATCH(A108,tQueue[PriorityRank],0))</f>
        <v>REQ-0233</v>
      </c>
      <c r="C108">
        <f>INDEX(tQueue[RigHours],MATCH(A108,tQueue[PriorityRank],0))</f>
        <v>2.5</v>
      </c>
      <c r="D108">
        <f>IF(ROW()=4,C108,D107+C108)</f>
        <v>217.5</v>
      </c>
      <c r="E108">
        <f>INDEX(tQueue[AirframeHours],MATCH(A108,tQueue[PriorityRank],0))</f>
        <v>0</v>
      </c>
      <c r="F108">
        <f>IF(AND(D108&lt;=RigHoursPerWeek,E108=0),1,0)</f>
        <v>0</v>
      </c>
    </row>
    <row r="109" spans="1:6" x14ac:dyDescent="0.35">
      <c r="A109">
        <f>106</f>
        <v>106</v>
      </c>
      <c r="B109" t="str">
        <f>INDEX(tQueue[RequirementID],MATCH(A109,tQueue[PriorityRank],0))</f>
        <v>REQ-0247</v>
      </c>
      <c r="C109">
        <f>INDEX(tQueue[RigHours],MATCH(A109,tQueue[PriorityRank],0))</f>
        <v>2.5</v>
      </c>
      <c r="D109">
        <f>IF(ROW()=4,C109,D108+C109)</f>
        <v>220</v>
      </c>
      <c r="E109">
        <f>INDEX(tQueue[AirframeHours],MATCH(A109,tQueue[PriorityRank],0))</f>
        <v>0</v>
      </c>
      <c r="F109">
        <f>IF(AND(D109&lt;=RigHoursPerWeek,E109=0),1,0)</f>
        <v>0</v>
      </c>
    </row>
    <row r="110" spans="1:6" x14ac:dyDescent="0.35">
      <c r="A110">
        <f>107</f>
        <v>107</v>
      </c>
      <c r="B110" t="str">
        <f>INDEX(tQueue[RequirementID],MATCH(A110,tQueue[PriorityRank],0))</f>
        <v>REQ-0272</v>
      </c>
      <c r="C110">
        <f>INDEX(tQueue[RigHours],MATCH(A110,tQueue[PriorityRank],0))</f>
        <v>2.5</v>
      </c>
      <c r="D110">
        <f>IF(ROW()=4,C110,D109+C110)</f>
        <v>222.5</v>
      </c>
      <c r="E110">
        <f>INDEX(tQueue[AirframeHours],MATCH(A110,tQueue[PriorityRank],0))</f>
        <v>0</v>
      </c>
      <c r="F110">
        <f>IF(AND(D110&lt;=RigHoursPerWeek,E110=0),1,0)</f>
        <v>0</v>
      </c>
    </row>
    <row r="111" spans="1:6" x14ac:dyDescent="0.35">
      <c r="A111">
        <f>108</f>
        <v>108</v>
      </c>
      <c r="B111" t="str">
        <f>INDEX(tQueue[RequirementID],MATCH(A111,tQueue[PriorityRank],0))</f>
        <v>REQ-0286</v>
      </c>
      <c r="C111">
        <f>INDEX(tQueue[RigHours],MATCH(A111,tQueue[PriorityRank],0))</f>
        <v>2.5</v>
      </c>
      <c r="D111">
        <f>IF(ROW()=4,C111,D110+C111)</f>
        <v>225</v>
      </c>
      <c r="E111">
        <f>INDEX(tQueue[AirframeHours],MATCH(A111,tQueue[PriorityRank],0))</f>
        <v>0</v>
      </c>
      <c r="F111">
        <f>IF(AND(D111&lt;=RigHoursPerWeek,E111=0),1,0)</f>
        <v>0</v>
      </c>
    </row>
    <row r="112" spans="1:6" x14ac:dyDescent="0.35">
      <c r="A112">
        <f>109</f>
        <v>109</v>
      </c>
      <c r="B112" t="str">
        <f>INDEX(tQueue[RequirementID],MATCH(A112,tQueue[PriorityRank],0))</f>
        <v>REQ-0316</v>
      </c>
      <c r="C112">
        <f>INDEX(tQueue[RigHours],MATCH(A112,tQueue[PriorityRank],0))</f>
        <v>2.5</v>
      </c>
      <c r="D112">
        <f>IF(ROW()=4,C112,D111+C112)</f>
        <v>227.5</v>
      </c>
      <c r="E112">
        <f>INDEX(tQueue[AirframeHours],MATCH(A112,tQueue[PriorityRank],0))</f>
        <v>0</v>
      </c>
      <c r="F112">
        <f>IF(AND(D112&lt;=RigHoursPerWeek,E112=0),1,0)</f>
        <v>0</v>
      </c>
    </row>
    <row r="113" spans="1:6" x14ac:dyDescent="0.35">
      <c r="A113">
        <f>110</f>
        <v>110</v>
      </c>
      <c r="B113" t="str">
        <f>INDEX(tQueue[RequirementID],MATCH(A113,tQueue[PriorityRank],0))</f>
        <v>REQ-0378</v>
      </c>
      <c r="C113">
        <f>INDEX(tQueue[RigHours],MATCH(A113,tQueue[PriorityRank],0))</f>
        <v>2.5</v>
      </c>
      <c r="D113">
        <f>IF(ROW()=4,C113,D112+C113)</f>
        <v>230</v>
      </c>
      <c r="E113">
        <f>INDEX(tQueue[AirframeHours],MATCH(A113,tQueue[PriorityRank],0))</f>
        <v>0</v>
      </c>
      <c r="F113">
        <f>IF(AND(D113&lt;=RigHoursPerWeek,E113=0),1,0)</f>
        <v>0</v>
      </c>
    </row>
    <row r="114" spans="1:6" x14ac:dyDescent="0.35">
      <c r="A114">
        <f>111</f>
        <v>111</v>
      </c>
      <c r="B114" t="str">
        <f>INDEX(tQueue[RequirementID],MATCH(A114,tQueue[PriorityRank],0))</f>
        <v>REQ-0529</v>
      </c>
      <c r="C114">
        <f>INDEX(tQueue[RigHours],MATCH(A114,tQueue[PriorityRank],0))</f>
        <v>2.5</v>
      </c>
      <c r="D114">
        <f>IF(ROW()=4,C114,D113+C114)</f>
        <v>232.5</v>
      </c>
      <c r="E114">
        <f>INDEX(tQueue[AirframeHours],MATCH(A114,tQueue[PriorityRank],0))</f>
        <v>0</v>
      </c>
      <c r="F114">
        <f>IF(AND(D114&lt;=RigHoursPerWeek,E114=0),1,0)</f>
        <v>0</v>
      </c>
    </row>
    <row r="115" spans="1:6" x14ac:dyDescent="0.35">
      <c r="A115">
        <f>112</f>
        <v>112</v>
      </c>
      <c r="B115" t="str">
        <f>INDEX(tQueue[RequirementID],MATCH(A115,tQueue[PriorityRank],0))</f>
        <v>REQ-0537</v>
      </c>
      <c r="C115">
        <f>INDEX(tQueue[RigHours],MATCH(A115,tQueue[PriorityRank],0))</f>
        <v>2.5</v>
      </c>
      <c r="D115">
        <f>IF(ROW()=4,C115,D114+C115)</f>
        <v>235</v>
      </c>
      <c r="E115">
        <f>INDEX(tQueue[AirframeHours],MATCH(A115,tQueue[PriorityRank],0))</f>
        <v>0</v>
      </c>
      <c r="F115">
        <f>IF(AND(D115&lt;=RigHoursPerWeek,E115=0),1,0)</f>
        <v>0</v>
      </c>
    </row>
    <row r="116" spans="1:6" x14ac:dyDescent="0.35">
      <c r="A116">
        <f>113</f>
        <v>113</v>
      </c>
      <c r="B116" t="str">
        <f>INDEX(tQueue[RequirementID],MATCH(A116,tQueue[PriorityRank],0))</f>
        <v>REQ-0116</v>
      </c>
      <c r="C116">
        <f>INDEX(tQueue[RigHours],MATCH(A116,tQueue[PriorityRank],0))</f>
        <v>5</v>
      </c>
      <c r="D116">
        <f>IF(ROW()=4,C116,D115+C116)</f>
        <v>240</v>
      </c>
      <c r="E116">
        <f>INDEX(tQueue[AirframeHours],MATCH(A116,tQueue[PriorityRank],0))</f>
        <v>0</v>
      </c>
      <c r="F116">
        <f>IF(AND(D116&lt;=RigHoursPerWeek,E116=0),1,0)</f>
        <v>0</v>
      </c>
    </row>
    <row r="117" spans="1:6" x14ac:dyDescent="0.35">
      <c r="A117">
        <f>114</f>
        <v>114</v>
      </c>
      <c r="B117" t="str">
        <f>INDEX(tQueue[RequirementID],MATCH(A117,tQueue[PriorityRank],0))</f>
        <v>REQ-0224</v>
      </c>
      <c r="C117">
        <f>INDEX(tQueue[RigHours],MATCH(A117,tQueue[PriorityRank],0))</f>
        <v>5</v>
      </c>
      <c r="D117">
        <f>IF(ROW()=4,C117,D116+C117)</f>
        <v>245</v>
      </c>
      <c r="E117">
        <f>INDEX(tQueue[AirframeHours],MATCH(A117,tQueue[PriorityRank],0))</f>
        <v>0</v>
      </c>
      <c r="F117">
        <f>IF(AND(D117&lt;=RigHoursPerWeek,E117=0),1,0)</f>
        <v>0</v>
      </c>
    </row>
    <row r="118" spans="1:6" x14ac:dyDescent="0.35">
      <c r="A118">
        <f>115</f>
        <v>115</v>
      </c>
      <c r="B118" t="str">
        <f>INDEX(tQueue[RequirementID],MATCH(A118,tQueue[PriorityRank],0))</f>
        <v>REQ-0042</v>
      </c>
      <c r="C118">
        <f>INDEX(tQueue[RigHours],MATCH(A118,tQueue[PriorityRank],0))</f>
        <v>0</v>
      </c>
      <c r="D118">
        <f>IF(ROW()=4,C118,D117+C118)</f>
        <v>245</v>
      </c>
      <c r="E118">
        <f>INDEX(tQueue[AirframeHours],MATCH(A118,tQueue[PriorityRank],0))</f>
        <v>8</v>
      </c>
      <c r="F118">
        <f>IF(AND(D118&lt;=RigHoursPerWeek,E118=0),1,0)</f>
        <v>0</v>
      </c>
    </row>
    <row r="119" spans="1:6" x14ac:dyDescent="0.35">
      <c r="A119">
        <f>116</f>
        <v>116</v>
      </c>
      <c r="B119" t="str">
        <f>INDEX(tQueue[RequirementID],MATCH(A119,tQueue[PriorityRank],0))</f>
        <v>REQ-0161</v>
      </c>
      <c r="C119">
        <f>INDEX(tQueue[RigHours],MATCH(A119,tQueue[PriorityRank],0))</f>
        <v>0</v>
      </c>
      <c r="D119">
        <f>IF(ROW()=4,C119,D118+C119)</f>
        <v>245</v>
      </c>
      <c r="E119">
        <f>INDEX(tQueue[AirframeHours],MATCH(A119,tQueue[PriorityRank],0))</f>
        <v>8</v>
      </c>
      <c r="F119">
        <f>IF(AND(D119&lt;=RigHoursPerWeek,E119=0),1,0)</f>
        <v>0</v>
      </c>
    </row>
    <row r="120" spans="1:6" x14ac:dyDescent="0.35">
      <c r="A120">
        <f>117</f>
        <v>117</v>
      </c>
      <c r="B120" t="str">
        <f>INDEX(tQueue[RequirementID],MATCH(A120,tQueue[PriorityRank],0))</f>
        <v>REQ-0194</v>
      </c>
      <c r="C120">
        <f>INDEX(tQueue[RigHours],MATCH(A120,tQueue[PriorityRank],0))</f>
        <v>0</v>
      </c>
      <c r="D120">
        <f>IF(ROW()=4,C120,D119+C120)</f>
        <v>245</v>
      </c>
      <c r="E120">
        <f>INDEX(tQueue[AirframeHours],MATCH(A120,tQueue[PriorityRank],0))</f>
        <v>8</v>
      </c>
      <c r="F120">
        <f>IF(AND(D120&lt;=RigHoursPerWeek,E120=0),1,0)</f>
        <v>0</v>
      </c>
    </row>
    <row r="121" spans="1:6" x14ac:dyDescent="0.35">
      <c r="A121">
        <f>118</f>
        <v>118</v>
      </c>
      <c r="B121" t="str">
        <f>INDEX(tQueue[RequirementID],MATCH(A121,tQueue[PriorityRank],0))</f>
        <v>REQ-0228</v>
      </c>
      <c r="C121">
        <f>INDEX(tQueue[RigHours],MATCH(A121,tQueue[PriorityRank],0))</f>
        <v>0</v>
      </c>
      <c r="D121">
        <f>IF(ROW()=4,C121,D120+C121)</f>
        <v>245</v>
      </c>
      <c r="E121">
        <f>INDEX(tQueue[AirframeHours],MATCH(A121,tQueue[PriorityRank],0))</f>
        <v>8</v>
      </c>
      <c r="F121">
        <f>IF(AND(D121&lt;=RigHoursPerWeek,E121=0),1,0)</f>
        <v>0</v>
      </c>
    </row>
    <row r="122" spans="1:6" x14ac:dyDescent="0.35">
      <c r="A122">
        <f>119</f>
        <v>119</v>
      </c>
      <c r="B122" t="str">
        <f>INDEX(tQueue[RequirementID],MATCH(A122,tQueue[PriorityRank],0))</f>
        <v>REQ-0394</v>
      </c>
      <c r="C122">
        <f>INDEX(tQueue[RigHours],MATCH(A122,tQueue[PriorityRank],0))</f>
        <v>0</v>
      </c>
      <c r="D122">
        <f>IF(ROW()=4,C122,D121+C122)</f>
        <v>245</v>
      </c>
      <c r="E122">
        <f>INDEX(tQueue[AirframeHours],MATCH(A122,tQueue[PriorityRank],0))</f>
        <v>8</v>
      </c>
      <c r="F122">
        <f>IF(AND(D122&lt;=RigHoursPerWeek,E122=0),1,0)</f>
        <v>0</v>
      </c>
    </row>
    <row r="123" spans="1:6" x14ac:dyDescent="0.35">
      <c r="A123">
        <f>120</f>
        <v>120</v>
      </c>
      <c r="B123" t="str">
        <f>INDEX(tQueue[RequirementID],MATCH(A123,tQueue[PriorityRank],0))</f>
        <v>REQ-0457</v>
      </c>
      <c r="C123">
        <f>INDEX(tQueue[RigHours],MATCH(A123,tQueue[PriorityRank],0))</f>
        <v>0</v>
      </c>
      <c r="D123">
        <f>IF(ROW()=4,C123,D122+C123)</f>
        <v>245</v>
      </c>
      <c r="E123">
        <f>INDEX(tQueue[AirframeHours],MATCH(A123,tQueue[PriorityRank],0))</f>
        <v>8</v>
      </c>
      <c r="F123">
        <f>IF(AND(D123&lt;=RigHoursPerWeek,E123=0),1,0)</f>
        <v>0</v>
      </c>
    </row>
    <row r="124" spans="1:6" x14ac:dyDescent="0.35">
      <c r="A124">
        <f>121</f>
        <v>121</v>
      </c>
      <c r="B124" t="str">
        <f>INDEX(tQueue[RequirementID],MATCH(A124,tQueue[PriorityRank],0))</f>
        <v>REQ-0464</v>
      </c>
      <c r="C124">
        <f>INDEX(tQueue[RigHours],MATCH(A124,tQueue[PriorityRank],0))</f>
        <v>0</v>
      </c>
      <c r="D124">
        <f>IF(ROW()=4,C124,D123+C124)</f>
        <v>245</v>
      </c>
      <c r="E124">
        <f>INDEX(tQueue[AirframeHours],MATCH(A124,tQueue[PriorityRank],0))</f>
        <v>8</v>
      </c>
      <c r="F124">
        <f>IF(AND(D124&lt;=RigHoursPerWeek,E124=0),1,0)</f>
        <v>0</v>
      </c>
    </row>
    <row r="125" spans="1:6" x14ac:dyDescent="0.35">
      <c r="A125">
        <f>122</f>
        <v>122</v>
      </c>
      <c r="B125" t="str">
        <f>INDEX(tQueue[RequirementID],MATCH(A125,tQueue[PriorityRank],0))</f>
        <v>REQ-0443</v>
      </c>
      <c r="C125">
        <f>INDEX(tQueue[RigHours],MATCH(A125,tQueue[PriorityRank],0))</f>
        <v>0</v>
      </c>
      <c r="D125">
        <f>IF(ROW()=4,C125,D124+C125)</f>
        <v>245</v>
      </c>
      <c r="E125">
        <f>INDEX(tQueue[AirframeHours],MATCH(A125,tQueue[PriorityRank],0))</f>
        <v>0</v>
      </c>
      <c r="F125">
        <f>IF(AND(D125&lt;=RigHoursPerWeek,E125=0),1,0)</f>
        <v>0</v>
      </c>
    </row>
    <row r="126" spans="1:6" x14ac:dyDescent="0.35">
      <c r="A126">
        <f>123</f>
        <v>123</v>
      </c>
      <c r="B126" t="str">
        <f>INDEX(tQueue[RequirementID],MATCH(A126,tQueue[PriorityRank],0))</f>
        <v>REQ-0045</v>
      </c>
      <c r="C126">
        <f>INDEX(tQueue[RigHours],MATCH(A126,tQueue[PriorityRank],0))</f>
        <v>2.5</v>
      </c>
      <c r="D126">
        <f>IF(ROW()=4,C126,D125+C126)</f>
        <v>247.5</v>
      </c>
      <c r="E126">
        <f>INDEX(tQueue[AirframeHours],MATCH(A126,tQueue[PriorityRank],0))</f>
        <v>0</v>
      </c>
      <c r="F126">
        <f>IF(AND(D126&lt;=RigHoursPerWeek,E126=0),1,0)</f>
        <v>0</v>
      </c>
    </row>
    <row r="127" spans="1:6" x14ac:dyDescent="0.35">
      <c r="A127">
        <f>124</f>
        <v>124</v>
      </c>
      <c r="B127" t="str">
        <f>INDEX(tQueue[RequirementID],MATCH(A127,tQueue[PriorityRank],0))</f>
        <v>REQ-0093</v>
      </c>
      <c r="C127">
        <f>INDEX(tQueue[RigHours],MATCH(A127,tQueue[PriorityRank],0))</f>
        <v>5</v>
      </c>
      <c r="D127">
        <f>IF(ROW()=4,C127,D126+C127)</f>
        <v>252.5</v>
      </c>
      <c r="E127">
        <f>INDEX(tQueue[AirframeHours],MATCH(A127,tQueue[PriorityRank],0))</f>
        <v>0</v>
      </c>
      <c r="F127">
        <f>IF(AND(D127&lt;=RigHoursPerWeek,E127=0),1,0)</f>
        <v>0</v>
      </c>
    </row>
    <row r="128" spans="1:6" x14ac:dyDescent="0.35">
      <c r="A128">
        <f>125</f>
        <v>125</v>
      </c>
      <c r="B128" t="str">
        <f>INDEX(tQueue[RequirementID],MATCH(A128,tQueue[PriorityRank],0))</f>
        <v>REQ-0435</v>
      </c>
      <c r="C128">
        <f>INDEX(tQueue[RigHours],MATCH(A128,tQueue[PriorityRank],0))</f>
        <v>0</v>
      </c>
      <c r="D128">
        <f>IF(ROW()=4,C128,D127+C128)</f>
        <v>252.5</v>
      </c>
      <c r="E128">
        <f>INDEX(tQueue[AirframeHours],MATCH(A128,tQueue[PriorityRank],0))</f>
        <v>8</v>
      </c>
      <c r="F128">
        <f>IF(AND(D128&lt;=RigHoursPerWeek,E128=0),1,0)</f>
        <v>0</v>
      </c>
    </row>
    <row r="129" spans="1:6" x14ac:dyDescent="0.35">
      <c r="A129">
        <f>126</f>
        <v>126</v>
      </c>
      <c r="B129" t="str">
        <f>INDEX(tQueue[RequirementID],MATCH(A129,tQueue[PriorityRank],0))</f>
        <v>REQ-0346</v>
      </c>
      <c r="C129">
        <f>INDEX(tQueue[RigHours],MATCH(A129,tQueue[PriorityRank],0))</f>
        <v>0</v>
      </c>
      <c r="D129">
        <f>IF(ROW()=4,C129,D128+C129)</f>
        <v>252.5</v>
      </c>
      <c r="E129">
        <f>INDEX(tQueue[AirframeHours],MATCH(A129,tQueue[PriorityRank],0))</f>
        <v>0</v>
      </c>
      <c r="F129">
        <f>IF(AND(D129&lt;=RigHoursPerWeek,E129=0),1,0)</f>
        <v>0</v>
      </c>
    </row>
    <row r="130" spans="1:6" x14ac:dyDescent="0.35">
      <c r="A130">
        <f>127</f>
        <v>127</v>
      </c>
      <c r="B130" t="str">
        <f>INDEX(tQueue[RequirementID],MATCH(A130,tQueue[PriorityRank],0))</f>
        <v>REQ-0354</v>
      </c>
      <c r="C130">
        <f>INDEX(tQueue[RigHours],MATCH(A130,tQueue[PriorityRank],0))</f>
        <v>0</v>
      </c>
      <c r="D130">
        <f>IF(ROW()=4,C130,D129+C130)</f>
        <v>252.5</v>
      </c>
      <c r="E130">
        <f>INDEX(tQueue[AirframeHours],MATCH(A130,tQueue[PriorityRank],0))</f>
        <v>0</v>
      </c>
      <c r="F130">
        <f>IF(AND(D130&lt;=RigHoursPerWeek,E130=0),1,0)</f>
        <v>0</v>
      </c>
    </row>
    <row r="131" spans="1:6" x14ac:dyDescent="0.35">
      <c r="A131">
        <f>128</f>
        <v>128</v>
      </c>
      <c r="B131" t="str">
        <f>INDEX(tQueue[RequirementID],MATCH(A131,tQueue[PriorityRank],0))</f>
        <v>REQ-0402</v>
      </c>
      <c r="C131">
        <f>INDEX(tQueue[RigHours],MATCH(A131,tQueue[PriorityRank],0))</f>
        <v>0</v>
      </c>
      <c r="D131">
        <f>IF(ROW()=4,C131,D130+C131)</f>
        <v>252.5</v>
      </c>
      <c r="E131">
        <f>INDEX(tQueue[AirframeHours],MATCH(A131,tQueue[PriorityRank],0))</f>
        <v>0</v>
      </c>
      <c r="F131">
        <f>IF(AND(D131&lt;=RigHoursPerWeek,E131=0),1,0)</f>
        <v>0</v>
      </c>
    </row>
    <row r="132" spans="1:6" x14ac:dyDescent="0.35">
      <c r="A132">
        <f>129</f>
        <v>129</v>
      </c>
      <c r="B132" t="str">
        <f>INDEX(tQueue[RequirementID],MATCH(A132,tQueue[PriorityRank],0))</f>
        <v>REQ-0428</v>
      </c>
      <c r="C132">
        <f>INDEX(tQueue[RigHours],MATCH(A132,tQueue[PriorityRank],0))</f>
        <v>0</v>
      </c>
      <c r="D132">
        <f>IF(ROW()=4,C132,D131+C132)</f>
        <v>252.5</v>
      </c>
      <c r="E132">
        <f>INDEX(tQueue[AirframeHours],MATCH(A132,tQueue[PriorityRank],0))</f>
        <v>0</v>
      </c>
      <c r="F132">
        <f>IF(AND(D132&lt;=RigHoursPerWeek,E132=0),1,0)</f>
        <v>0</v>
      </c>
    </row>
    <row r="133" spans="1:6" x14ac:dyDescent="0.35">
      <c r="A133">
        <f>130</f>
        <v>130</v>
      </c>
      <c r="B133" t="str">
        <f>INDEX(tQueue[RequirementID],MATCH(A133,tQueue[PriorityRank],0))</f>
        <v>REQ-0199</v>
      </c>
      <c r="C133">
        <f>INDEX(tQueue[RigHours],MATCH(A133,tQueue[PriorityRank],0))</f>
        <v>2.5</v>
      </c>
      <c r="D133">
        <f>IF(ROW()=4,C133,D132+C133)</f>
        <v>255</v>
      </c>
      <c r="E133">
        <f>INDEX(tQueue[AirframeHours],MATCH(A133,tQueue[PriorityRank],0))</f>
        <v>0</v>
      </c>
      <c r="F133">
        <f>IF(AND(D133&lt;=RigHoursPerWeek,E133=0),1,0)</f>
        <v>0</v>
      </c>
    </row>
    <row r="134" spans="1:6" x14ac:dyDescent="0.35">
      <c r="A134">
        <f>131</f>
        <v>131</v>
      </c>
      <c r="B134" t="str">
        <f>INDEX(tQueue[RequirementID],MATCH(A134,tQueue[PriorityRank],0))</f>
        <v>REQ-0223</v>
      </c>
      <c r="C134">
        <f>INDEX(tQueue[RigHours],MATCH(A134,tQueue[PriorityRank],0))</f>
        <v>2.5</v>
      </c>
      <c r="D134">
        <f>IF(ROW()=4,C134,D133+C134)</f>
        <v>257.5</v>
      </c>
      <c r="E134">
        <f>INDEX(tQueue[AirframeHours],MATCH(A134,tQueue[PriorityRank],0))</f>
        <v>0</v>
      </c>
      <c r="F134">
        <f>IF(AND(D134&lt;=RigHoursPerWeek,E134=0),1,0)</f>
        <v>0</v>
      </c>
    </row>
    <row r="135" spans="1:6" x14ac:dyDescent="0.35">
      <c r="A135">
        <f>132</f>
        <v>132</v>
      </c>
      <c r="B135" t="str">
        <f>INDEX(tQueue[RequirementID],MATCH(A135,tQueue[PriorityRank],0))</f>
        <v>REQ-0274</v>
      </c>
      <c r="C135">
        <f>INDEX(tQueue[RigHours],MATCH(A135,tQueue[PriorityRank],0))</f>
        <v>2.5</v>
      </c>
      <c r="D135">
        <f>IF(ROW()=4,C135,D134+C135)</f>
        <v>260</v>
      </c>
      <c r="E135">
        <f>INDEX(tQueue[AirframeHours],MATCH(A135,tQueue[PriorityRank],0))</f>
        <v>0</v>
      </c>
      <c r="F135">
        <f>IF(AND(D135&lt;=RigHoursPerWeek,E135=0),1,0)</f>
        <v>0</v>
      </c>
    </row>
    <row r="136" spans="1:6" x14ac:dyDescent="0.35">
      <c r="A136">
        <f>133</f>
        <v>133</v>
      </c>
      <c r="B136" t="str">
        <f>INDEX(tQueue[RequirementID],MATCH(A136,tQueue[PriorityRank],0))</f>
        <v>REQ-0540</v>
      </c>
      <c r="C136">
        <f>INDEX(tQueue[RigHours],MATCH(A136,tQueue[PriorityRank],0))</f>
        <v>2.5</v>
      </c>
      <c r="D136">
        <f>IF(ROW()=4,C136,D135+C136)</f>
        <v>262.5</v>
      </c>
      <c r="E136">
        <f>INDEX(tQueue[AirframeHours],MATCH(A136,tQueue[PriorityRank],0))</f>
        <v>0</v>
      </c>
      <c r="F136">
        <f>IF(AND(D136&lt;=RigHoursPerWeek,E136=0),1,0)</f>
        <v>0</v>
      </c>
    </row>
    <row r="137" spans="1:6" x14ac:dyDescent="0.35">
      <c r="A137">
        <f>134</f>
        <v>134</v>
      </c>
      <c r="B137" t="str">
        <f>INDEX(tQueue[RequirementID],MATCH(A137,tQueue[PriorityRank],0))</f>
        <v>REQ-0539</v>
      </c>
      <c r="C137">
        <f>INDEX(tQueue[RigHours],MATCH(A137,tQueue[PriorityRank],0))</f>
        <v>0</v>
      </c>
      <c r="D137">
        <f>IF(ROW()=4,C137,D136+C137)</f>
        <v>262.5</v>
      </c>
      <c r="E137">
        <f>INDEX(tQueue[AirframeHours],MATCH(A137,tQueue[PriorityRank],0))</f>
        <v>0</v>
      </c>
      <c r="F137">
        <f>IF(AND(D137&lt;=RigHoursPerWeek,E137=0),1,0)</f>
        <v>0</v>
      </c>
    </row>
    <row r="138" spans="1:6" x14ac:dyDescent="0.35">
      <c r="A138">
        <f>135</f>
        <v>135</v>
      </c>
      <c r="B138" t="str">
        <f>INDEX(tQueue[RequirementID],MATCH(A138,tQueue[PriorityRank],0))</f>
        <v>REQ-0012</v>
      </c>
      <c r="C138">
        <f>INDEX(tQueue[RigHours],MATCH(A138,tQueue[PriorityRank],0))</f>
        <v>2.5</v>
      </c>
      <c r="D138">
        <f>IF(ROW()=4,C138,D137+C138)</f>
        <v>265</v>
      </c>
      <c r="E138">
        <f>INDEX(tQueue[AirframeHours],MATCH(A138,tQueue[PriorityRank],0))</f>
        <v>0</v>
      </c>
      <c r="F138">
        <f>IF(AND(D138&lt;=RigHoursPerWeek,E138=0),1,0)</f>
        <v>0</v>
      </c>
    </row>
    <row r="139" spans="1:6" x14ac:dyDescent="0.35">
      <c r="A139">
        <f>136</f>
        <v>136</v>
      </c>
      <c r="B139" t="str">
        <f>INDEX(tQueue[RequirementID],MATCH(A139,tQueue[PriorityRank],0))</f>
        <v>REQ-0293</v>
      </c>
      <c r="C139">
        <f>INDEX(tQueue[RigHours],MATCH(A139,tQueue[PriorityRank],0))</f>
        <v>2.5</v>
      </c>
      <c r="D139">
        <f>IF(ROW()=4,C139,D138+C139)</f>
        <v>267.5</v>
      </c>
      <c r="E139">
        <f>INDEX(tQueue[AirframeHours],MATCH(A139,tQueue[PriorityRank],0))</f>
        <v>0</v>
      </c>
      <c r="F139">
        <f>IF(AND(D139&lt;=RigHoursPerWeek,E139=0),1,0)</f>
        <v>0</v>
      </c>
    </row>
    <row r="140" spans="1:6" x14ac:dyDescent="0.35">
      <c r="A140">
        <f>137</f>
        <v>137</v>
      </c>
      <c r="B140" t="str">
        <f>INDEX(tQueue[RequirementID],MATCH(A140,tQueue[PriorityRank],0))</f>
        <v>REQ-0482</v>
      </c>
      <c r="C140">
        <f>INDEX(tQueue[RigHours],MATCH(A140,tQueue[PriorityRank],0))</f>
        <v>2.5</v>
      </c>
      <c r="D140">
        <f>IF(ROW()=4,C140,D139+C140)</f>
        <v>270</v>
      </c>
      <c r="E140">
        <f>INDEX(tQueue[AirframeHours],MATCH(A140,tQueue[PriorityRank],0))</f>
        <v>0</v>
      </c>
      <c r="F140">
        <f>IF(AND(D140&lt;=RigHoursPerWeek,E140=0),1,0)</f>
        <v>0</v>
      </c>
    </row>
    <row r="141" spans="1:6" x14ac:dyDescent="0.35">
      <c r="A141">
        <f>138</f>
        <v>138</v>
      </c>
      <c r="B141" t="str">
        <f>INDEX(tQueue[RequirementID],MATCH(A141,tQueue[PriorityRank],0))</f>
        <v>REQ-0057</v>
      </c>
      <c r="C141">
        <f>INDEX(tQueue[RigHours],MATCH(A141,tQueue[PriorityRank],0))</f>
        <v>0</v>
      </c>
      <c r="D141">
        <f>IF(ROW()=4,C141,D140+C141)</f>
        <v>270</v>
      </c>
      <c r="E141">
        <f>INDEX(tQueue[AirframeHours],MATCH(A141,tQueue[PriorityRank],0))</f>
        <v>0</v>
      </c>
      <c r="F141">
        <f>IF(AND(D141&lt;=RigHoursPerWeek,E141=0),1,0)</f>
        <v>0</v>
      </c>
    </row>
    <row r="142" spans="1:6" x14ac:dyDescent="0.35">
      <c r="A142">
        <f>139</f>
        <v>139</v>
      </c>
      <c r="B142" t="str">
        <f>INDEX(tQueue[RequirementID],MATCH(A142,tQueue[PriorityRank],0))</f>
        <v>REQ-0077</v>
      </c>
      <c r="C142">
        <f>INDEX(tQueue[RigHours],MATCH(A142,tQueue[PriorityRank],0))</f>
        <v>0</v>
      </c>
      <c r="D142">
        <f>IF(ROW()=4,C142,D141+C142)</f>
        <v>270</v>
      </c>
      <c r="E142">
        <f>INDEX(tQueue[AirframeHours],MATCH(A142,tQueue[PriorityRank],0))</f>
        <v>0</v>
      </c>
      <c r="F142">
        <f>IF(AND(D142&lt;=RigHoursPerWeek,E142=0),1,0)</f>
        <v>0</v>
      </c>
    </row>
    <row r="143" spans="1:6" x14ac:dyDescent="0.35">
      <c r="A143">
        <f>140</f>
        <v>140</v>
      </c>
      <c r="B143" t="str">
        <f>INDEX(tQueue[RequirementID],MATCH(A143,tQueue[PriorityRank],0))</f>
        <v>REQ-0320</v>
      </c>
      <c r="C143">
        <f>INDEX(tQueue[RigHours],MATCH(A143,tQueue[PriorityRank],0))</f>
        <v>0</v>
      </c>
      <c r="D143">
        <f>IF(ROW()=4,C143,D142+C143)</f>
        <v>270</v>
      </c>
      <c r="E143">
        <f>INDEX(tQueue[AirframeHours],MATCH(A143,tQueue[PriorityRank],0))</f>
        <v>0</v>
      </c>
      <c r="F143">
        <f>IF(AND(D143&lt;=RigHoursPerWeek,E143=0),1,0)</f>
        <v>0</v>
      </c>
    </row>
    <row r="144" spans="1:6" x14ac:dyDescent="0.35">
      <c r="A144">
        <f>141</f>
        <v>141</v>
      </c>
      <c r="B144" t="str">
        <f>INDEX(tQueue[RequirementID],MATCH(A144,tQueue[PriorityRank],0))</f>
        <v>REQ-0348</v>
      </c>
      <c r="C144">
        <f>INDEX(tQueue[RigHours],MATCH(A144,tQueue[PriorityRank],0))</f>
        <v>0</v>
      </c>
      <c r="D144">
        <f>IF(ROW()=4,C144,D143+C144)</f>
        <v>270</v>
      </c>
      <c r="E144">
        <f>INDEX(tQueue[AirframeHours],MATCH(A144,tQueue[PriorityRank],0))</f>
        <v>0</v>
      </c>
      <c r="F144">
        <f>IF(AND(D144&lt;=RigHoursPerWeek,E144=0),1,0)</f>
        <v>0</v>
      </c>
    </row>
    <row r="145" spans="1:6" x14ac:dyDescent="0.35">
      <c r="A145">
        <f>142</f>
        <v>142</v>
      </c>
      <c r="B145" t="str">
        <f>INDEX(tQueue[RequirementID],MATCH(A145,tQueue[PriorityRank],0))</f>
        <v>REQ-0505</v>
      </c>
      <c r="C145">
        <f>INDEX(tQueue[RigHours],MATCH(A145,tQueue[PriorityRank],0))</f>
        <v>0</v>
      </c>
      <c r="D145">
        <f>IF(ROW()=4,C145,D144+C145)</f>
        <v>270</v>
      </c>
      <c r="E145">
        <f>INDEX(tQueue[AirframeHours],MATCH(A145,tQueue[PriorityRank],0))</f>
        <v>0</v>
      </c>
      <c r="F145">
        <f>IF(AND(D145&lt;=RigHoursPerWeek,E145=0),1,0)</f>
        <v>0</v>
      </c>
    </row>
    <row r="146" spans="1:6" x14ac:dyDescent="0.35">
      <c r="A146">
        <f>143</f>
        <v>143</v>
      </c>
      <c r="B146" t="str">
        <f>INDEX(tQueue[RequirementID],MATCH(A146,tQueue[PriorityRank],0))</f>
        <v>REQ-0037</v>
      </c>
      <c r="C146">
        <f>INDEX(tQueue[RigHours],MATCH(A146,tQueue[PriorityRank],0))</f>
        <v>2.5</v>
      </c>
      <c r="D146">
        <f>IF(ROW()=4,C146,D145+C146)</f>
        <v>272.5</v>
      </c>
      <c r="E146">
        <f>INDEX(tQueue[AirframeHours],MATCH(A146,tQueue[PriorityRank],0))</f>
        <v>0</v>
      </c>
      <c r="F146">
        <f>IF(AND(D146&lt;=RigHoursPerWeek,E146=0),1,0)</f>
        <v>0</v>
      </c>
    </row>
    <row r="147" spans="1:6" x14ac:dyDescent="0.35">
      <c r="A147">
        <f>144</f>
        <v>144</v>
      </c>
      <c r="B147" t="str">
        <f>INDEX(tQueue[RequirementID],MATCH(A147,tQueue[PriorityRank],0))</f>
        <v>REQ-0147</v>
      </c>
      <c r="C147">
        <f>INDEX(tQueue[RigHours],MATCH(A147,tQueue[PriorityRank],0))</f>
        <v>2.5</v>
      </c>
      <c r="D147">
        <f>IF(ROW()=4,C147,D146+C147)</f>
        <v>275</v>
      </c>
      <c r="E147">
        <f>INDEX(tQueue[AirframeHours],MATCH(A147,tQueue[PriorityRank],0))</f>
        <v>0</v>
      </c>
      <c r="F147">
        <f>IF(AND(D147&lt;=RigHoursPerWeek,E147=0),1,0)</f>
        <v>0</v>
      </c>
    </row>
    <row r="148" spans="1:6" x14ac:dyDescent="0.35">
      <c r="A148">
        <f>145</f>
        <v>145</v>
      </c>
      <c r="B148" t="str">
        <f>INDEX(tQueue[RequirementID],MATCH(A148,tQueue[PriorityRank],0))</f>
        <v>REQ-0148</v>
      </c>
      <c r="C148">
        <f>INDEX(tQueue[RigHours],MATCH(A148,tQueue[PriorityRank],0))</f>
        <v>2.5</v>
      </c>
      <c r="D148">
        <f>IF(ROW()=4,C148,D147+C148)</f>
        <v>277.5</v>
      </c>
      <c r="E148">
        <f>INDEX(tQueue[AirframeHours],MATCH(A148,tQueue[PriorityRank],0))</f>
        <v>0</v>
      </c>
      <c r="F148">
        <f>IF(AND(D148&lt;=RigHoursPerWeek,E148=0),1,0)</f>
        <v>0</v>
      </c>
    </row>
    <row r="149" spans="1:6" x14ac:dyDescent="0.35">
      <c r="A149">
        <f>146</f>
        <v>146</v>
      </c>
      <c r="B149" t="str">
        <f>INDEX(tQueue[RequirementID],MATCH(A149,tQueue[PriorityRank],0))</f>
        <v>REQ-0406</v>
      </c>
      <c r="C149">
        <f>INDEX(tQueue[RigHours],MATCH(A149,tQueue[PriorityRank],0))</f>
        <v>2.5</v>
      </c>
      <c r="D149">
        <f>IF(ROW()=4,C149,D148+C149)</f>
        <v>280</v>
      </c>
      <c r="E149">
        <f>INDEX(tQueue[AirframeHours],MATCH(A149,tQueue[PriorityRank],0))</f>
        <v>0</v>
      </c>
      <c r="F149">
        <f>IF(AND(D149&lt;=RigHoursPerWeek,E149=0),1,0)</f>
        <v>0</v>
      </c>
    </row>
    <row r="150" spans="1:6" x14ac:dyDescent="0.35">
      <c r="A150">
        <f>147</f>
        <v>147</v>
      </c>
      <c r="B150" t="str">
        <f>INDEX(tQueue[RequirementID],MATCH(A150,tQueue[PriorityRank],0))</f>
        <v>REQ-0407</v>
      </c>
      <c r="C150">
        <f>INDEX(tQueue[RigHours],MATCH(A150,tQueue[PriorityRank],0))</f>
        <v>2.5</v>
      </c>
      <c r="D150">
        <f>IF(ROW()=4,C150,D149+C150)</f>
        <v>282.5</v>
      </c>
      <c r="E150">
        <f>INDEX(tQueue[AirframeHours],MATCH(A150,tQueue[PriorityRank],0))</f>
        <v>0</v>
      </c>
      <c r="F150">
        <f>IF(AND(D150&lt;=RigHoursPerWeek,E150=0),1,0)</f>
        <v>0</v>
      </c>
    </row>
    <row r="151" spans="1:6" x14ac:dyDescent="0.35">
      <c r="A151">
        <f>148</f>
        <v>148</v>
      </c>
      <c r="B151" t="str">
        <f>INDEX(tQueue[RequirementID],MATCH(A151,tQueue[PriorityRank],0))</f>
        <v>REQ-0495</v>
      </c>
      <c r="C151">
        <f>INDEX(tQueue[RigHours],MATCH(A151,tQueue[PriorityRank],0))</f>
        <v>2.5</v>
      </c>
      <c r="D151">
        <f>IF(ROW()=4,C151,D150+C151)</f>
        <v>285</v>
      </c>
      <c r="E151">
        <f>INDEX(tQueue[AirframeHours],MATCH(A151,tQueue[PriorityRank],0))</f>
        <v>0</v>
      </c>
      <c r="F151">
        <f>IF(AND(D151&lt;=RigHoursPerWeek,E151=0),1,0)</f>
        <v>0</v>
      </c>
    </row>
    <row r="152" spans="1:6" x14ac:dyDescent="0.35">
      <c r="A152">
        <f>149</f>
        <v>149</v>
      </c>
      <c r="B152" t="str">
        <f>INDEX(tQueue[RequirementID],MATCH(A152,tQueue[PriorityRank],0))</f>
        <v>REQ-0501</v>
      </c>
      <c r="C152">
        <f>INDEX(tQueue[RigHours],MATCH(A152,tQueue[PriorityRank],0))</f>
        <v>2.5</v>
      </c>
      <c r="D152">
        <f>IF(ROW()=4,C152,D151+C152)</f>
        <v>287.5</v>
      </c>
      <c r="E152">
        <f>INDEX(tQueue[AirframeHours],MATCH(A152,tQueue[PriorityRank],0))</f>
        <v>0</v>
      </c>
      <c r="F152">
        <f>IF(AND(D152&lt;=RigHoursPerWeek,E152=0),1,0)</f>
        <v>0</v>
      </c>
    </row>
    <row r="153" spans="1:6" x14ac:dyDescent="0.35">
      <c r="A153">
        <f>150</f>
        <v>150</v>
      </c>
      <c r="B153" t="str">
        <f>INDEX(tQueue[RequirementID],MATCH(A153,tQueue[PriorityRank],0))</f>
        <v>REQ-0262</v>
      </c>
      <c r="C153">
        <f>INDEX(tQueue[RigHours],MATCH(A153,tQueue[PriorityRank],0))</f>
        <v>5</v>
      </c>
      <c r="D153">
        <f>IF(ROW()=4,C153,D152+C153)</f>
        <v>292.5</v>
      </c>
      <c r="E153">
        <f>INDEX(tQueue[AirframeHours],MATCH(A153,tQueue[PriorityRank],0))</f>
        <v>0</v>
      </c>
      <c r="F153">
        <f>IF(AND(D153&lt;=RigHoursPerWeek,E153=0),1,0)</f>
        <v>0</v>
      </c>
    </row>
    <row r="154" spans="1:6" x14ac:dyDescent="0.35">
      <c r="A154">
        <f>151</f>
        <v>151</v>
      </c>
      <c r="B154" t="str">
        <f>INDEX(tQueue[RequirementID],MATCH(A154,tQueue[PriorityRank],0))</f>
        <v>REQ-0377</v>
      </c>
      <c r="C154">
        <f>INDEX(tQueue[RigHours],MATCH(A154,tQueue[PriorityRank],0))</f>
        <v>7.5</v>
      </c>
      <c r="D154">
        <f>IF(ROW()=4,C154,D153+C154)</f>
        <v>300</v>
      </c>
      <c r="E154">
        <f>INDEX(tQueue[AirframeHours],MATCH(A154,tQueue[PriorityRank],0))</f>
        <v>0</v>
      </c>
      <c r="F154">
        <f>IF(AND(D154&lt;=RigHoursPerWeek,E154=0),1,0)</f>
        <v>0</v>
      </c>
    </row>
    <row r="155" spans="1:6" x14ac:dyDescent="0.35">
      <c r="A155">
        <f>152</f>
        <v>152</v>
      </c>
      <c r="B155" t="str">
        <f>INDEX(tQueue[RequirementID],MATCH(A155,tQueue[PriorityRank],0))</f>
        <v>REQ-0376</v>
      </c>
      <c r="C155">
        <f>INDEX(tQueue[RigHours],MATCH(A155,tQueue[PriorityRank],0))</f>
        <v>0</v>
      </c>
      <c r="D155">
        <f>IF(ROW()=4,C155,D154+C155)</f>
        <v>300</v>
      </c>
      <c r="E155">
        <f>INDEX(tQueue[AirframeHours],MATCH(A155,tQueue[PriorityRank],0))</f>
        <v>8</v>
      </c>
      <c r="F155">
        <f>IF(AND(D155&lt;=RigHoursPerWeek,E155=0),1,0)</f>
        <v>0</v>
      </c>
    </row>
    <row r="156" spans="1:6" x14ac:dyDescent="0.35">
      <c r="A156">
        <f>153</f>
        <v>153</v>
      </c>
      <c r="B156" t="str">
        <f>INDEX(tQueue[RequirementID],MATCH(A156,tQueue[PriorityRank],0))</f>
        <v>REQ-0278</v>
      </c>
      <c r="C156">
        <f>INDEX(tQueue[RigHours],MATCH(A156,tQueue[PriorityRank],0))</f>
        <v>0</v>
      </c>
      <c r="D156">
        <f>IF(ROW()=4,C156,D155+C156)</f>
        <v>300</v>
      </c>
      <c r="E156">
        <f>INDEX(tQueue[AirframeHours],MATCH(A156,tQueue[PriorityRank],0))</f>
        <v>16</v>
      </c>
      <c r="F156">
        <f>IF(AND(D156&lt;=RigHoursPerWeek,E156=0),1,0)</f>
        <v>0</v>
      </c>
    </row>
    <row r="157" spans="1:6" x14ac:dyDescent="0.35">
      <c r="A157">
        <f>154</f>
        <v>154</v>
      </c>
      <c r="B157" t="str">
        <f>INDEX(tQueue[RequirementID],MATCH(A157,tQueue[PriorityRank],0))</f>
        <v>REQ-0002</v>
      </c>
      <c r="C157">
        <f>INDEX(tQueue[RigHours],MATCH(A157,tQueue[PriorityRank],0))</f>
        <v>0</v>
      </c>
      <c r="D157">
        <f>IF(ROW()=4,C157,D156+C157)</f>
        <v>300</v>
      </c>
      <c r="E157">
        <f>INDEX(tQueue[AirframeHours],MATCH(A157,tQueue[PriorityRank],0))</f>
        <v>0</v>
      </c>
      <c r="F157">
        <f>IF(AND(D157&lt;=RigHoursPerWeek,E157=0),1,0)</f>
        <v>0</v>
      </c>
    </row>
    <row r="158" spans="1:6" x14ac:dyDescent="0.35">
      <c r="A158">
        <f>155</f>
        <v>155</v>
      </c>
      <c r="B158" t="str">
        <f>INDEX(tQueue[RequirementID],MATCH(A158,tQueue[PriorityRank],0))</f>
        <v>REQ-0222</v>
      </c>
      <c r="C158">
        <f>INDEX(tQueue[RigHours],MATCH(A158,tQueue[PriorityRank],0))</f>
        <v>0</v>
      </c>
      <c r="D158">
        <f>IF(ROW()=4,C158,D157+C158)</f>
        <v>300</v>
      </c>
      <c r="E158">
        <f>INDEX(tQueue[AirframeHours],MATCH(A158,tQueue[PriorityRank],0))</f>
        <v>0</v>
      </c>
      <c r="F158">
        <f>IF(AND(D158&lt;=RigHoursPerWeek,E158=0),1,0)</f>
        <v>0</v>
      </c>
    </row>
    <row r="159" spans="1:6" x14ac:dyDescent="0.35">
      <c r="A159">
        <f>156</f>
        <v>156</v>
      </c>
      <c r="B159" t="str">
        <f>INDEX(tQueue[RequirementID],MATCH(A159,tQueue[PriorityRank],0))</f>
        <v>REQ-0446</v>
      </c>
      <c r="C159">
        <f>INDEX(tQueue[RigHours],MATCH(A159,tQueue[PriorityRank],0))</f>
        <v>0</v>
      </c>
      <c r="D159">
        <f>IF(ROW()=4,C159,D158+C159)</f>
        <v>300</v>
      </c>
      <c r="E159">
        <f>INDEX(tQueue[AirframeHours],MATCH(A159,tQueue[PriorityRank],0))</f>
        <v>0</v>
      </c>
      <c r="F159">
        <f>IF(AND(D159&lt;=RigHoursPerWeek,E159=0),1,0)</f>
        <v>0</v>
      </c>
    </row>
    <row r="160" spans="1:6" x14ac:dyDescent="0.35">
      <c r="A160">
        <f>157</f>
        <v>157</v>
      </c>
      <c r="B160" t="str">
        <f>INDEX(tQueue[RequirementID],MATCH(A160,tQueue[PriorityRank],0))</f>
        <v>REQ-0132</v>
      </c>
      <c r="C160">
        <f>INDEX(tQueue[RigHours],MATCH(A160,tQueue[PriorityRank],0))</f>
        <v>2.5</v>
      </c>
      <c r="D160">
        <f>IF(ROW()=4,C160,D159+C160)</f>
        <v>302.5</v>
      </c>
      <c r="E160">
        <f>INDEX(tQueue[AirframeHours],MATCH(A160,tQueue[PriorityRank],0))</f>
        <v>0</v>
      </c>
      <c r="F160">
        <f>IF(AND(D160&lt;=RigHoursPerWeek,E160=0),1,0)</f>
        <v>0</v>
      </c>
    </row>
    <row r="161" spans="1:6" x14ac:dyDescent="0.35">
      <c r="A161">
        <f>158</f>
        <v>158</v>
      </c>
      <c r="B161" t="str">
        <f>INDEX(tQueue[RequirementID],MATCH(A161,tQueue[PriorityRank],0))</f>
        <v>REQ-0243</v>
      </c>
      <c r="C161">
        <f>INDEX(tQueue[RigHours],MATCH(A161,tQueue[PriorityRank],0))</f>
        <v>2.5</v>
      </c>
      <c r="D161">
        <f>IF(ROW()=4,C161,D160+C161)</f>
        <v>305</v>
      </c>
      <c r="E161">
        <f>INDEX(tQueue[AirframeHours],MATCH(A161,tQueue[PriorityRank],0))</f>
        <v>0</v>
      </c>
      <c r="F161">
        <f>IF(AND(D161&lt;=RigHoursPerWeek,E161=0),1,0)</f>
        <v>0</v>
      </c>
    </row>
    <row r="162" spans="1:6" x14ac:dyDescent="0.35">
      <c r="A162">
        <f>159</f>
        <v>159</v>
      </c>
      <c r="B162" t="str">
        <f>INDEX(tQueue[RequirementID],MATCH(A162,tQueue[PriorityRank],0))</f>
        <v>REQ-0245</v>
      </c>
      <c r="C162">
        <f>INDEX(tQueue[RigHours],MATCH(A162,tQueue[PriorityRank],0))</f>
        <v>2.5</v>
      </c>
      <c r="D162">
        <f>IF(ROW()=4,C162,D161+C162)</f>
        <v>307.5</v>
      </c>
      <c r="E162">
        <f>INDEX(tQueue[AirframeHours],MATCH(A162,tQueue[PriorityRank],0))</f>
        <v>0</v>
      </c>
      <c r="F162">
        <f>IF(AND(D162&lt;=RigHoursPerWeek,E162=0),1,0)</f>
        <v>0</v>
      </c>
    </row>
    <row r="163" spans="1:6" x14ac:dyDescent="0.35">
      <c r="A163">
        <f>160</f>
        <v>160</v>
      </c>
      <c r="B163" t="str">
        <f>INDEX(tQueue[RequirementID],MATCH(A163,tQueue[PriorityRank],0))</f>
        <v>REQ-0337</v>
      </c>
      <c r="C163">
        <f>INDEX(tQueue[RigHours],MATCH(A163,tQueue[PriorityRank],0))</f>
        <v>2.5</v>
      </c>
      <c r="D163">
        <f>IF(ROW()=4,C163,D162+C163)</f>
        <v>310</v>
      </c>
      <c r="E163">
        <f>INDEX(tQueue[AirframeHours],MATCH(A163,tQueue[PriorityRank],0))</f>
        <v>0</v>
      </c>
      <c r="F163">
        <f>IF(AND(D163&lt;=RigHoursPerWeek,E163=0),1,0)</f>
        <v>0</v>
      </c>
    </row>
    <row r="164" spans="1:6" x14ac:dyDescent="0.35">
      <c r="A164">
        <f>161</f>
        <v>161</v>
      </c>
      <c r="B164" t="str">
        <f>INDEX(tQueue[RequirementID],MATCH(A164,tQueue[PriorityRank],0))</f>
        <v>REQ-0342</v>
      </c>
      <c r="C164">
        <f>INDEX(tQueue[RigHours],MATCH(A164,tQueue[PriorityRank],0))</f>
        <v>2.5</v>
      </c>
      <c r="D164">
        <f>IF(ROW()=4,C164,D163+C164)</f>
        <v>312.5</v>
      </c>
      <c r="E164">
        <f>INDEX(tQueue[AirframeHours],MATCH(A164,tQueue[PriorityRank],0))</f>
        <v>0</v>
      </c>
      <c r="F164">
        <f>IF(AND(D164&lt;=RigHoursPerWeek,E164=0),1,0)</f>
        <v>0</v>
      </c>
    </row>
    <row r="165" spans="1:6" x14ac:dyDescent="0.35">
      <c r="A165">
        <f>162</f>
        <v>162</v>
      </c>
      <c r="B165" t="str">
        <f>INDEX(tQueue[RequirementID],MATCH(A165,tQueue[PriorityRank],0))</f>
        <v>REQ-0345</v>
      </c>
      <c r="C165">
        <f>INDEX(tQueue[RigHours],MATCH(A165,tQueue[PriorityRank],0))</f>
        <v>2.5</v>
      </c>
      <c r="D165">
        <f>IF(ROW()=4,C165,D164+C165)</f>
        <v>315</v>
      </c>
      <c r="E165">
        <f>INDEX(tQueue[AirframeHours],MATCH(A165,tQueue[PriorityRank],0))</f>
        <v>0</v>
      </c>
      <c r="F165">
        <f>IF(AND(D165&lt;=RigHoursPerWeek,E165=0),1,0)</f>
        <v>0</v>
      </c>
    </row>
    <row r="166" spans="1:6" x14ac:dyDescent="0.35">
      <c r="A166">
        <f>163</f>
        <v>163</v>
      </c>
      <c r="B166" t="str">
        <f>INDEX(tQueue[RequirementID],MATCH(A166,tQueue[PriorityRank],0))</f>
        <v>REQ-0363</v>
      </c>
      <c r="C166">
        <f>INDEX(tQueue[RigHours],MATCH(A166,tQueue[PriorityRank],0))</f>
        <v>2.5</v>
      </c>
      <c r="D166">
        <f>IF(ROW()=4,C166,D165+C166)</f>
        <v>317.5</v>
      </c>
      <c r="E166">
        <f>INDEX(tQueue[AirframeHours],MATCH(A166,tQueue[PriorityRank],0))</f>
        <v>0</v>
      </c>
      <c r="F166">
        <f>IF(AND(D166&lt;=RigHoursPerWeek,E166=0),1,0)</f>
        <v>0</v>
      </c>
    </row>
    <row r="167" spans="1:6" x14ac:dyDescent="0.35">
      <c r="A167">
        <f>164</f>
        <v>164</v>
      </c>
      <c r="B167" t="str">
        <f>INDEX(tQueue[RequirementID],MATCH(A167,tQueue[PriorityRank],0))</f>
        <v>REQ-0380</v>
      </c>
      <c r="C167">
        <f>INDEX(tQueue[RigHours],MATCH(A167,tQueue[PriorityRank],0))</f>
        <v>2.5</v>
      </c>
      <c r="D167">
        <f>IF(ROW()=4,C167,D166+C167)</f>
        <v>320</v>
      </c>
      <c r="E167">
        <f>INDEX(tQueue[AirframeHours],MATCH(A167,tQueue[PriorityRank],0))</f>
        <v>0</v>
      </c>
      <c r="F167">
        <f>IF(AND(D167&lt;=RigHoursPerWeek,E167=0),1,0)</f>
        <v>0</v>
      </c>
    </row>
    <row r="168" spans="1:6" x14ac:dyDescent="0.35">
      <c r="A168">
        <f>165</f>
        <v>165</v>
      </c>
      <c r="B168" t="str">
        <f>INDEX(tQueue[RequirementID],MATCH(A168,tQueue[PriorityRank],0))</f>
        <v>REQ-0290</v>
      </c>
      <c r="C168">
        <f>INDEX(tQueue[RigHours],MATCH(A168,tQueue[PriorityRank],0))</f>
        <v>0</v>
      </c>
      <c r="D168">
        <f>IF(ROW()=4,C168,D167+C168)</f>
        <v>320</v>
      </c>
      <c r="E168">
        <f>INDEX(tQueue[AirframeHours],MATCH(A168,tQueue[PriorityRank],0))</f>
        <v>8</v>
      </c>
      <c r="F168">
        <f>IF(AND(D168&lt;=RigHoursPerWeek,E168=0),1,0)</f>
        <v>0</v>
      </c>
    </row>
    <row r="169" spans="1:6" x14ac:dyDescent="0.35">
      <c r="A169">
        <f>166</f>
        <v>166</v>
      </c>
      <c r="B169" t="str">
        <f>INDEX(tQueue[RequirementID],MATCH(A169,tQueue[PriorityRank],0))</f>
        <v>REQ-0239</v>
      </c>
      <c r="C169">
        <f>INDEX(tQueue[RigHours],MATCH(A169,tQueue[PriorityRank],0))</f>
        <v>0</v>
      </c>
      <c r="D169">
        <f>IF(ROW()=4,C169,D168+C169)</f>
        <v>320</v>
      </c>
      <c r="E169">
        <f>INDEX(tQueue[AirframeHours],MATCH(A169,tQueue[PriorityRank],0))</f>
        <v>0</v>
      </c>
      <c r="F169">
        <f>IF(AND(D169&lt;=RigHoursPerWeek,E169=0),1,0)</f>
        <v>0</v>
      </c>
    </row>
    <row r="170" spans="1:6" x14ac:dyDescent="0.35">
      <c r="A170">
        <f>167</f>
        <v>167</v>
      </c>
      <c r="B170" t="str">
        <f>INDEX(tQueue[RequirementID],MATCH(A170,tQueue[PriorityRank],0))</f>
        <v>REQ-0480</v>
      </c>
      <c r="C170">
        <f>INDEX(tQueue[RigHours],MATCH(A170,tQueue[PriorityRank],0))</f>
        <v>0</v>
      </c>
      <c r="D170">
        <f>IF(ROW()=4,C170,D169+C170)</f>
        <v>320</v>
      </c>
      <c r="E170">
        <f>INDEX(tQueue[AirframeHours],MATCH(A170,tQueue[PriorityRank],0))</f>
        <v>0</v>
      </c>
      <c r="F170">
        <f>IF(AND(D170&lt;=RigHoursPerWeek,E170=0),1,0)</f>
        <v>0</v>
      </c>
    </row>
    <row r="171" spans="1:6" x14ac:dyDescent="0.35">
      <c r="A171">
        <f>168</f>
        <v>168</v>
      </c>
      <c r="B171" t="str">
        <f>INDEX(tQueue[RequirementID],MATCH(A171,tQueue[PriorityRank],0))</f>
        <v>REQ-0005</v>
      </c>
      <c r="C171">
        <f>INDEX(tQueue[RigHours],MATCH(A171,tQueue[PriorityRank],0))</f>
        <v>2.5</v>
      </c>
      <c r="D171">
        <f>IF(ROW()=4,C171,D170+C171)</f>
        <v>322.5</v>
      </c>
      <c r="E171">
        <f>INDEX(tQueue[AirframeHours],MATCH(A171,tQueue[PriorityRank],0))</f>
        <v>0</v>
      </c>
      <c r="F171">
        <f>IF(AND(D171&lt;=RigHoursPerWeek,E171=0),1,0)</f>
        <v>0</v>
      </c>
    </row>
    <row r="172" spans="1:6" x14ac:dyDescent="0.35">
      <c r="A172">
        <f>169</f>
        <v>169</v>
      </c>
      <c r="B172" t="str">
        <f>INDEX(tQueue[RequirementID],MATCH(A172,tQueue[PriorityRank],0))</f>
        <v>REQ-0329</v>
      </c>
      <c r="C172">
        <f>INDEX(tQueue[RigHours],MATCH(A172,tQueue[PriorityRank],0))</f>
        <v>2.5</v>
      </c>
      <c r="D172">
        <f>IF(ROW()=4,C172,D171+C172)</f>
        <v>325</v>
      </c>
      <c r="E172">
        <f>INDEX(tQueue[AirframeHours],MATCH(A172,tQueue[PriorityRank],0))</f>
        <v>0</v>
      </c>
      <c r="F172">
        <f>IF(AND(D172&lt;=RigHoursPerWeek,E172=0),1,0)</f>
        <v>0</v>
      </c>
    </row>
    <row r="173" spans="1:6" x14ac:dyDescent="0.35">
      <c r="A173">
        <f>170</f>
        <v>170</v>
      </c>
      <c r="B173" t="str">
        <f>INDEX(tQueue[RequirementID],MATCH(A173,tQueue[PriorityRank],0))</f>
        <v>REQ-0362</v>
      </c>
      <c r="C173">
        <f>INDEX(tQueue[RigHours],MATCH(A173,tQueue[PriorityRank],0))</f>
        <v>2.5</v>
      </c>
      <c r="D173">
        <f>IF(ROW()=4,C173,D172+C173)</f>
        <v>327.5</v>
      </c>
      <c r="E173">
        <f>INDEX(tQueue[AirframeHours],MATCH(A173,tQueue[PriorityRank],0))</f>
        <v>0</v>
      </c>
      <c r="F173">
        <f>IF(AND(D173&lt;=RigHoursPerWeek,E173=0),1,0)</f>
        <v>0</v>
      </c>
    </row>
    <row r="174" spans="1:6" x14ac:dyDescent="0.35">
      <c r="A174">
        <f>171</f>
        <v>171</v>
      </c>
      <c r="B174" t="str">
        <f>INDEX(tQueue[RequirementID],MATCH(A174,tQueue[PriorityRank],0))</f>
        <v>REQ-0502</v>
      </c>
      <c r="C174">
        <f>INDEX(tQueue[RigHours],MATCH(A174,tQueue[PriorityRank],0))</f>
        <v>2.5</v>
      </c>
      <c r="D174">
        <f>IF(ROW()=4,C174,D173+C174)</f>
        <v>330</v>
      </c>
      <c r="E174">
        <f>INDEX(tQueue[AirframeHours],MATCH(A174,tQueue[PriorityRank],0))</f>
        <v>0</v>
      </c>
      <c r="F174">
        <f>IF(AND(D174&lt;=RigHoursPerWeek,E174=0),1,0)</f>
        <v>0</v>
      </c>
    </row>
    <row r="175" spans="1:6" x14ac:dyDescent="0.35">
      <c r="A175">
        <f>172</f>
        <v>172</v>
      </c>
      <c r="B175" t="str">
        <f>INDEX(tQueue[RequirementID],MATCH(A175,tQueue[PriorityRank],0))</f>
        <v>REQ-0297</v>
      </c>
      <c r="C175">
        <f>INDEX(tQueue[RigHours],MATCH(A175,tQueue[PriorityRank],0))</f>
        <v>0</v>
      </c>
      <c r="D175">
        <f>IF(ROW()=4,C175,D174+C175)</f>
        <v>330</v>
      </c>
      <c r="E175">
        <f>INDEX(tQueue[AirframeHours],MATCH(A175,tQueue[PriorityRank],0))</f>
        <v>0</v>
      </c>
      <c r="F175">
        <f>IF(AND(D175&lt;=RigHoursPerWeek,E175=0),1,0)</f>
        <v>0</v>
      </c>
    </row>
    <row r="176" spans="1:6" x14ac:dyDescent="0.35">
      <c r="A176">
        <f>173</f>
        <v>173</v>
      </c>
      <c r="B176" t="str">
        <f>INDEX(tQueue[RequirementID],MATCH(A176,tQueue[PriorityRank],0))</f>
        <v>REQ-0518</v>
      </c>
      <c r="C176">
        <f>INDEX(tQueue[RigHours],MATCH(A176,tQueue[PriorityRank],0))</f>
        <v>0</v>
      </c>
      <c r="D176">
        <f>IF(ROW()=4,C176,D175+C176)</f>
        <v>330</v>
      </c>
      <c r="E176">
        <f>INDEX(tQueue[AirframeHours],MATCH(A176,tQueue[PriorityRank],0))</f>
        <v>0</v>
      </c>
      <c r="F176">
        <f>IF(AND(D176&lt;=RigHoursPerWeek,E176=0),1,0)</f>
        <v>0</v>
      </c>
    </row>
    <row r="177" spans="1:6" x14ac:dyDescent="0.35">
      <c r="A177">
        <f>174</f>
        <v>174</v>
      </c>
      <c r="B177" t="str">
        <f>INDEX(tQueue[RequirementID],MATCH(A177,tQueue[PriorityRank],0))</f>
        <v>REQ-0517</v>
      </c>
      <c r="C177">
        <f>INDEX(tQueue[RigHours],MATCH(A177,tQueue[PriorityRank],0))</f>
        <v>2.5</v>
      </c>
      <c r="D177">
        <f>IF(ROW()=4,C177,D176+C177)</f>
        <v>332.5</v>
      </c>
      <c r="E177">
        <f>INDEX(tQueue[AirframeHours],MATCH(A177,tQueue[PriorityRank],0))</f>
        <v>0</v>
      </c>
      <c r="F177">
        <f>IF(AND(D177&lt;=RigHoursPerWeek,E177=0),1,0)</f>
        <v>0</v>
      </c>
    </row>
    <row r="178" spans="1:6" x14ac:dyDescent="0.35">
      <c r="A178">
        <f>175</f>
        <v>175</v>
      </c>
      <c r="B178" t="str">
        <f>INDEX(tQueue[RequirementID],MATCH(A178,tQueue[PriorityRank],0))</f>
        <v>REQ-0004</v>
      </c>
      <c r="C178">
        <f>INDEX(tQueue[RigHours],MATCH(A178,tQueue[PriorityRank],0))</f>
        <v>0</v>
      </c>
      <c r="D178">
        <f>IF(ROW()=4,C178,D177+C178)</f>
        <v>332.5</v>
      </c>
      <c r="E178">
        <f>INDEX(tQueue[AirframeHours],MATCH(A178,tQueue[PriorityRank],0))</f>
        <v>0</v>
      </c>
      <c r="F178">
        <f>IF(AND(D178&lt;=RigHoursPerWeek,E178=0),1,0)</f>
        <v>0</v>
      </c>
    </row>
    <row r="179" spans="1:6" x14ac:dyDescent="0.35">
      <c r="A179">
        <f>176</f>
        <v>176</v>
      </c>
      <c r="B179" t="str">
        <f>INDEX(tQueue[RequirementID],MATCH(A179,tQueue[PriorityRank],0))</f>
        <v>REQ-0110</v>
      </c>
      <c r="C179">
        <f>INDEX(tQueue[RigHours],MATCH(A179,tQueue[PriorityRank],0))</f>
        <v>0</v>
      </c>
      <c r="D179">
        <f>IF(ROW()=4,C179,D178+C179)</f>
        <v>332.5</v>
      </c>
      <c r="E179">
        <f>INDEX(tQueue[AirframeHours],MATCH(A179,tQueue[PriorityRank],0))</f>
        <v>0</v>
      </c>
      <c r="F179">
        <f>IF(AND(D179&lt;=RigHoursPerWeek,E179=0),1,0)</f>
        <v>0</v>
      </c>
    </row>
    <row r="180" spans="1:6" x14ac:dyDescent="0.35">
      <c r="A180">
        <f>177</f>
        <v>177</v>
      </c>
      <c r="B180" t="str">
        <f>INDEX(tQueue[RequirementID],MATCH(A180,tQueue[PriorityRank],0))</f>
        <v>REQ-0326</v>
      </c>
      <c r="C180">
        <f>INDEX(tQueue[RigHours],MATCH(A180,tQueue[PriorityRank],0))</f>
        <v>0</v>
      </c>
      <c r="D180">
        <f>IF(ROW()=4,C180,D179+C180)</f>
        <v>332.5</v>
      </c>
      <c r="E180">
        <f>INDEX(tQueue[AirframeHours],MATCH(A180,tQueue[PriorityRank],0))</f>
        <v>0</v>
      </c>
      <c r="F180">
        <f>IF(AND(D180&lt;=RigHoursPerWeek,E180=0),1,0)</f>
        <v>0</v>
      </c>
    </row>
    <row r="181" spans="1:6" x14ac:dyDescent="0.35">
      <c r="A181">
        <f>178</f>
        <v>178</v>
      </c>
      <c r="B181" t="str">
        <f>INDEX(tQueue[RequirementID],MATCH(A181,tQueue[PriorityRank],0))</f>
        <v>REQ-0373</v>
      </c>
      <c r="C181">
        <f>INDEX(tQueue[RigHours],MATCH(A181,tQueue[PriorityRank],0))</f>
        <v>0</v>
      </c>
      <c r="D181">
        <f>IF(ROW()=4,C181,D180+C181)</f>
        <v>332.5</v>
      </c>
      <c r="E181">
        <f>INDEX(tQueue[AirframeHours],MATCH(A181,tQueue[PriorityRank],0))</f>
        <v>0</v>
      </c>
      <c r="F181">
        <f>IF(AND(D181&lt;=RigHoursPerWeek,E181=0),1,0)</f>
        <v>0</v>
      </c>
    </row>
    <row r="182" spans="1:6" x14ac:dyDescent="0.35">
      <c r="A182">
        <f>179</f>
        <v>179</v>
      </c>
      <c r="B182" t="str">
        <f>INDEX(tQueue[RequirementID],MATCH(A182,tQueue[PriorityRank],0))</f>
        <v>REQ-0256</v>
      </c>
      <c r="C182">
        <f>INDEX(tQueue[RigHours],MATCH(A182,tQueue[PriorityRank],0))</f>
        <v>2.5</v>
      </c>
      <c r="D182">
        <f>IF(ROW()=4,C182,D181+C182)</f>
        <v>335</v>
      </c>
      <c r="E182">
        <f>INDEX(tQueue[AirframeHours],MATCH(A182,tQueue[PriorityRank],0))</f>
        <v>0</v>
      </c>
      <c r="F182">
        <f>IF(AND(D182&lt;=RigHoursPerWeek,E182=0),1,0)</f>
        <v>0</v>
      </c>
    </row>
    <row r="183" spans="1:6" x14ac:dyDescent="0.35">
      <c r="A183">
        <f>180</f>
        <v>180</v>
      </c>
      <c r="B183" t="str">
        <f>INDEX(tQueue[RequirementID],MATCH(A183,tQueue[PriorityRank],0))</f>
        <v>REQ-0437</v>
      </c>
      <c r="C183">
        <f>INDEX(tQueue[RigHours],MATCH(A183,tQueue[PriorityRank],0))</f>
        <v>2.5</v>
      </c>
      <c r="D183">
        <f>IF(ROW()=4,C183,D182+C183)</f>
        <v>337.5</v>
      </c>
      <c r="E183">
        <f>INDEX(tQueue[AirframeHours],MATCH(A183,tQueue[PriorityRank],0))</f>
        <v>0</v>
      </c>
      <c r="F183">
        <f>IF(AND(D183&lt;=RigHoursPerWeek,E183=0),1,0)</f>
        <v>0</v>
      </c>
    </row>
    <row r="184" spans="1:6" x14ac:dyDescent="0.35">
      <c r="A184">
        <f>181</f>
        <v>181</v>
      </c>
      <c r="B184" t="str">
        <f>INDEX(tQueue[RequirementID],MATCH(A184,tQueue[PriorityRank],0))</f>
        <v>REQ-0532</v>
      </c>
      <c r="C184">
        <f>INDEX(tQueue[RigHours],MATCH(A184,tQueue[PriorityRank],0))</f>
        <v>5</v>
      </c>
      <c r="D184">
        <f>IF(ROW()=4,C184,D183+C184)</f>
        <v>342.5</v>
      </c>
      <c r="E184">
        <f>INDEX(tQueue[AirframeHours],MATCH(A184,tQueue[PriorityRank],0))</f>
        <v>0</v>
      </c>
      <c r="F184">
        <f>IF(AND(D184&lt;=RigHoursPerWeek,E184=0),1,0)</f>
        <v>0</v>
      </c>
    </row>
    <row r="185" spans="1:6" x14ac:dyDescent="0.35">
      <c r="A185">
        <f>182</f>
        <v>182</v>
      </c>
      <c r="B185" t="str">
        <f>INDEX(tQueue[RequirementID],MATCH(A185,tQueue[PriorityRank],0))</f>
        <v>REQ-0128</v>
      </c>
      <c r="C185">
        <f>INDEX(tQueue[RigHours],MATCH(A185,tQueue[PriorityRank],0))</f>
        <v>0</v>
      </c>
      <c r="D185">
        <f>IF(ROW()=4,C185,D184+C185)</f>
        <v>342.5</v>
      </c>
      <c r="E185">
        <f>INDEX(tQueue[AirframeHours],MATCH(A185,tQueue[PriorityRank],0))</f>
        <v>0</v>
      </c>
      <c r="F185">
        <f>IF(AND(D185&lt;=RigHoursPerWeek,E185=0),1,0)</f>
        <v>0</v>
      </c>
    </row>
    <row r="186" spans="1:6" x14ac:dyDescent="0.35">
      <c r="A186">
        <f>183</f>
        <v>183</v>
      </c>
      <c r="B186" t="str">
        <f>INDEX(tQueue[RequirementID],MATCH(A186,tQueue[PriorityRank],0))</f>
        <v>REQ-0138</v>
      </c>
      <c r="C186">
        <f>INDEX(tQueue[RigHours],MATCH(A186,tQueue[PriorityRank],0))</f>
        <v>2.5</v>
      </c>
      <c r="D186">
        <f>IF(ROW()=4,C186,D185+C186)</f>
        <v>345</v>
      </c>
      <c r="E186">
        <f>INDEX(tQueue[AirframeHours],MATCH(A186,tQueue[PriorityRank],0))</f>
        <v>0</v>
      </c>
      <c r="F186">
        <f>IF(AND(D186&lt;=RigHoursPerWeek,E186=0),1,0)</f>
        <v>0</v>
      </c>
    </row>
    <row r="187" spans="1:6" x14ac:dyDescent="0.35">
      <c r="A187">
        <f>184</f>
        <v>184</v>
      </c>
      <c r="B187" t="str">
        <f>INDEX(tQueue[RequirementID],MATCH(A187,tQueue[PriorityRank],0))</f>
        <v>REQ-0454</v>
      </c>
      <c r="C187">
        <f>INDEX(tQueue[RigHours],MATCH(A187,tQueue[PriorityRank],0))</f>
        <v>2.5</v>
      </c>
      <c r="D187">
        <f>IF(ROW()=4,C187,D186+C187)</f>
        <v>347.5</v>
      </c>
      <c r="E187">
        <f>INDEX(tQueue[AirframeHours],MATCH(A187,tQueue[PriorityRank],0))</f>
        <v>0</v>
      </c>
      <c r="F187">
        <f>IF(AND(D187&lt;=RigHoursPerWeek,E187=0),1,0)</f>
        <v>0</v>
      </c>
    </row>
    <row r="188" spans="1:6" x14ac:dyDescent="0.35">
      <c r="A188">
        <f>185</f>
        <v>185</v>
      </c>
      <c r="B188" t="str">
        <f>INDEX(tQueue[RequirementID],MATCH(A188,tQueue[PriorityRank],0))</f>
        <v>REQ-0120</v>
      </c>
      <c r="C188">
        <f>INDEX(tQueue[RigHours],MATCH(A188,tQueue[PriorityRank],0))</f>
        <v>5</v>
      </c>
      <c r="D188">
        <f>IF(ROW()=4,C188,D187+C188)</f>
        <v>352.5</v>
      </c>
      <c r="E188">
        <f>INDEX(tQueue[AirframeHours],MATCH(A188,tQueue[PriorityRank],0))</f>
        <v>0</v>
      </c>
      <c r="F188">
        <f>IF(AND(D188&lt;=RigHoursPerWeek,E188=0),1,0)</f>
        <v>0</v>
      </c>
    </row>
    <row r="189" spans="1:6" x14ac:dyDescent="0.35">
      <c r="A189">
        <f>186</f>
        <v>186</v>
      </c>
      <c r="B189" t="str">
        <f>INDEX(tQueue[RequirementID],MATCH(A189,tQueue[PriorityRank],0))</f>
        <v>REQ-0396</v>
      </c>
      <c r="C189">
        <f>INDEX(tQueue[RigHours],MATCH(A189,tQueue[PriorityRank],0))</f>
        <v>5</v>
      </c>
      <c r="D189">
        <f>IF(ROW()=4,C189,D188+C189)</f>
        <v>357.5</v>
      </c>
      <c r="E189">
        <f>INDEX(tQueue[AirframeHours],MATCH(A189,tQueue[PriorityRank],0))</f>
        <v>0</v>
      </c>
      <c r="F189">
        <f>IF(AND(D189&lt;=RigHoursPerWeek,E189=0),1,0)</f>
        <v>0</v>
      </c>
    </row>
    <row r="190" spans="1:6" x14ac:dyDescent="0.35">
      <c r="A190">
        <f>187</f>
        <v>187</v>
      </c>
      <c r="B190" t="str">
        <f>INDEX(tQueue[RequirementID],MATCH(A190,tQueue[PriorityRank],0))</f>
        <v>REQ-0064</v>
      </c>
      <c r="C190">
        <f>INDEX(tQueue[RigHours],MATCH(A190,tQueue[PriorityRank],0))</f>
        <v>0</v>
      </c>
      <c r="D190">
        <f>IF(ROW()=4,C190,D189+C190)</f>
        <v>357.5</v>
      </c>
      <c r="E190">
        <f>INDEX(tQueue[AirframeHours],MATCH(A190,tQueue[PriorityRank],0))</f>
        <v>0</v>
      </c>
      <c r="F190">
        <f>IF(AND(D190&lt;=RigHoursPerWeek,E190=0),1,0)</f>
        <v>0</v>
      </c>
    </row>
    <row r="191" spans="1:6" x14ac:dyDescent="0.35">
      <c r="A191">
        <f>188</f>
        <v>188</v>
      </c>
      <c r="B191" t="str">
        <f>INDEX(tQueue[RequirementID],MATCH(A191,tQueue[PriorityRank],0))</f>
        <v>REQ-0031</v>
      </c>
      <c r="C191">
        <f>INDEX(tQueue[RigHours],MATCH(A191,tQueue[PriorityRank],0))</f>
        <v>2.5</v>
      </c>
      <c r="D191">
        <f>IF(ROW()=4,C191,D190+C191)</f>
        <v>360</v>
      </c>
      <c r="E191">
        <f>INDEX(tQueue[AirframeHours],MATCH(A191,tQueue[PriorityRank],0))</f>
        <v>0</v>
      </c>
      <c r="F191">
        <f>IF(AND(D191&lt;=RigHoursPerWeek,E191=0),1,0)</f>
        <v>0</v>
      </c>
    </row>
    <row r="192" spans="1:6" x14ac:dyDescent="0.35">
      <c r="A192">
        <f>189</f>
        <v>189</v>
      </c>
      <c r="B192" t="str">
        <f>INDEX(tQueue[RequirementID],MATCH(A192,tQueue[PriorityRank],0))</f>
        <v>REQ-0058</v>
      </c>
      <c r="C192">
        <f>INDEX(tQueue[RigHours],MATCH(A192,tQueue[PriorityRank],0))</f>
        <v>2.5</v>
      </c>
      <c r="D192">
        <f>IF(ROW()=4,C192,D191+C192)</f>
        <v>362.5</v>
      </c>
      <c r="E192">
        <f>INDEX(tQueue[AirframeHours],MATCH(A192,tQueue[PriorityRank],0))</f>
        <v>0</v>
      </c>
      <c r="F192">
        <f>IF(AND(D192&lt;=RigHoursPerWeek,E192=0),1,0)</f>
        <v>0</v>
      </c>
    </row>
    <row r="193" spans="1:6" x14ac:dyDescent="0.35">
      <c r="A193">
        <f>190</f>
        <v>190</v>
      </c>
      <c r="B193" t="str">
        <f>INDEX(tQueue[RequirementID],MATCH(A193,tQueue[PriorityRank],0))</f>
        <v>REQ-0108</v>
      </c>
      <c r="C193">
        <f>INDEX(tQueue[RigHours],MATCH(A193,tQueue[PriorityRank],0))</f>
        <v>2.5</v>
      </c>
      <c r="D193">
        <f>IF(ROW()=4,C193,D192+C193)</f>
        <v>365</v>
      </c>
      <c r="E193">
        <f>INDEX(tQueue[AirframeHours],MATCH(A193,tQueue[PriorityRank],0))</f>
        <v>0</v>
      </c>
      <c r="F193">
        <f>IF(AND(D193&lt;=RigHoursPerWeek,E193=0),1,0)</f>
        <v>0</v>
      </c>
    </row>
    <row r="194" spans="1:6" x14ac:dyDescent="0.35">
      <c r="A194">
        <f>191</f>
        <v>191</v>
      </c>
      <c r="B194" t="str">
        <f>INDEX(tQueue[RequirementID],MATCH(A194,tQueue[PriorityRank],0))</f>
        <v>REQ-0284</v>
      </c>
      <c r="C194">
        <f>INDEX(tQueue[RigHours],MATCH(A194,tQueue[PriorityRank],0))</f>
        <v>2.5</v>
      </c>
      <c r="D194">
        <f>IF(ROW()=4,C194,D193+C194)</f>
        <v>367.5</v>
      </c>
      <c r="E194">
        <f>INDEX(tQueue[AirframeHours],MATCH(A194,tQueue[PriorityRank],0))</f>
        <v>0</v>
      </c>
      <c r="F194">
        <f>IF(AND(D194&lt;=RigHoursPerWeek,E194=0),1,0)</f>
        <v>0</v>
      </c>
    </row>
    <row r="195" spans="1:6" x14ac:dyDescent="0.35">
      <c r="A195">
        <f>192</f>
        <v>192</v>
      </c>
      <c r="B195" t="str">
        <f>INDEX(tQueue[RequirementID],MATCH(A195,tQueue[PriorityRank],0))</f>
        <v>REQ-0361</v>
      </c>
      <c r="C195">
        <f>INDEX(tQueue[RigHours],MATCH(A195,tQueue[PriorityRank],0))</f>
        <v>2.5</v>
      </c>
      <c r="D195">
        <f>IF(ROW()=4,C195,D194+C195)</f>
        <v>370</v>
      </c>
      <c r="E195">
        <f>INDEX(tQueue[AirframeHours],MATCH(A195,tQueue[PriorityRank],0))</f>
        <v>0</v>
      </c>
      <c r="F195">
        <f>IF(AND(D195&lt;=RigHoursPerWeek,E195=0),1,0)</f>
        <v>0</v>
      </c>
    </row>
    <row r="196" spans="1:6" x14ac:dyDescent="0.35">
      <c r="A196">
        <f>193</f>
        <v>193</v>
      </c>
      <c r="B196" t="str">
        <f>INDEX(tQueue[RequirementID],MATCH(A196,tQueue[PriorityRank],0))</f>
        <v>REQ-0160</v>
      </c>
      <c r="C196">
        <f>INDEX(tQueue[RigHours],MATCH(A196,tQueue[PriorityRank],0))</f>
        <v>0</v>
      </c>
      <c r="D196">
        <f>IF(ROW()=4,C196,D195+C196)</f>
        <v>370</v>
      </c>
      <c r="E196">
        <f>INDEX(tQueue[AirframeHours],MATCH(A196,tQueue[PriorityRank],0))</f>
        <v>0</v>
      </c>
      <c r="F196">
        <f>IF(AND(D196&lt;=RigHoursPerWeek,E196=0),1,0)</f>
        <v>0</v>
      </c>
    </row>
    <row r="197" spans="1:6" x14ac:dyDescent="0.35">
      <c r="A197">
        <f>194</f>
        <v>194</v>
      </c>
      <c r="B197" t="str">
        <f>INDEX(tQueue[RequirementID],MATCH(A197,tQueue[PriorityRank],0))</f>
        <v>REQ-0311</v>
      </c>
      <c r="C197">
        <f>INDEX(tQueue[RigHours],MATCH(A197,tQueue[PriorityRank],0))</f>
        <v>0</v>
      </c>
      <c r="D197">
        <f>IF(ROW()=4,C197,D196+C197)</f>
        <v>370</v>
      </c>
      <c r="E197">
        <f>INDEX(tQueue[AirframeHours],MATCH(A197,tQueue[PriorityRank],0))</f>
        <v>0</v>
      </c>
      <c r="F197">
        <f>IF(AND(D197&lt;=RigHoursPerWeek,E197=0),1,0)</f>
        <v>0</v>
      </c>
    </row>
    <row r="198" spans="1:6" x14ac:dyDescent="0.35">
      <c r="A198">
        <f>195</f>
        <v>195</v>
      </c>
      <c r="B198" t="str">
        <f>INDEX(tQueue[RequirementID],MATCH(A198,tQueue[PriorityRank],0))</f>
        <v>REQ-0367</v>
      </c>
      <c r="C198">
        <f>INDEX(tQueue[RigHours],MATCH(A198,tQueue[PriorityRank],0))</f>
        <v>0</v>
      </c>
      <c r="D198">
        <f>IF(ROW()=4,C198,D197+C198)</f>
        <v>370</v>
      </c>
      <c r="E198">
        <f>INDEX(tQueue[AirframeHours],MATCH(A198,tQueue[PriorityRank],0))</f>
        <v>0</v>
      </c>
      <c r="F198">
        <f>IF(AND(D198&lt;=RigHoursPerWeek,E198=0),1,0)</f>
        <v>0</v>
      </c>
    </row>
    <row r="199" spans="1:6" x14ac:dyDescent="0.35">
      <c r="A199">
        <f>196</f>
        <v>196</v>
      </c>
      <c r="B199" t="str">
        <f>INDEX(tQueue[RequirementID],MATCH(A199,tQueue[PriorityRank],0))</f>
        <v>REQ-0453</v>
      </c>
      <c r="C199">
        <f>INDEX(tQueue[RigHours],MATCH(A199,tQueue[PriorityRank],0))</f>
        <v>0</v>
      </c>
      <c r="D199">
        <f>IF(ROW()=4,C199,D198+C199)</f>
        <v>370</v>
      </c>
      <c r="E199">
        <f>INDEX(tQueue[AirframeHours],MATCH(A199,tQueue[PriorityRank],0))</f>
        <v>0</v>
      </c>
      <c r="F199">
        <f>IF(AND(D199&lt;=RigHoursPerWeek,E199=0),1,0)</f>
        <v>0</v>
      </c>
    </row>
    <row r="200" spans="1:6" x14ac:dyDescent="0.35">
      <c r="A200">
        <f>197</f>
        <v>197</v>
      </c>
      <c r="B200" t="str">
        <f>INDEX(tQueue[RequirementID],MATCH(A200,tQueue[PriorityRank],0))</f>
        <v>REQ-0383</v>
      </c>
      <c r="C200">
        <f>INDEX(tQueue[RigHours],MATCH(A200,tQueue[PriorityRank],0))</f>
        <v>2.5</v>
      </c>
      <c r="D200">
        <f>IF(ROW()=4,C200,D199+C200)</f>
        <v>372.5</v>
      </c>
      <c r="E200">
        <f>INDEX(tQueue[AirframeHours],MATCH(A200,tQueue[PriorityRank],0))</f>
        <v>0</v>
      </c>
      <c r="F200">
        <f>IF(AND(D200&lt;=RigHoursPerWeek,E200=0),1,0)</f>
        <v>0</v>
      </c>
    </row>
    <row r="201" spans="1:6" x14ac:dyDescent="0.35">
      <c r="A201">
        <f>198</f>
        <v>198</v>
      </c>
      <c r="B201" t="str">
        <f>INDEX(tQueue[RequirementID],MATCH(A201,tQueue[PriorityRank],0))</f>
        <v>REQ-0299</v>
      </c>
      <c r="C201">
        <f>INDEX(tQueue[RigHours],MATCH(A201,tQueue[PriorityRank],0))</f>
        <v>0</v>
      </c>
      <c r="D201">
        <f>IF(ROW()=4,C201,D200+C201)</f>
        <v>372.5</v>
      </c>
      <c r="E201">
        <f>INDEX(tQueue[AirframeHours],MATCH(A201,tQueue[PriorityRank],0))</f>
        <v>0</v>
      </c>
      <c r="F201">
        <f>IF(AND(D201&lt;=RigHoursPerWeek,E201=0),1,0)</f>
        <v>0</v>
      </c>
    </row>
    <row r="202" spans="1:6" x14ac:dyDescent="0.35">
      <c r="A202">
        <f>199</f>
        <v>199</v>
      </c>
      <c r="B202" t="str">
        <f>INDEX(tQueue[RequirementID],MATCH(A202,tQueue[PriorityRank],0))</f>
        <v>REQ-0335</v>
      </c>
      <c r="C202">
        <f>INDEX(tQueue[RigHours],MATCH(A202,tQueue[PriorityRank],0))</f>
        <v>0</v>
      </c>
      <c r="D202">
        <f>IF(ROW()=4,C202,D201+C202)</f>
        <v>372.5</v>
      </c>
      <c r="E202">
        <f>INDEX(tQueue[AirframeHours],MATCH(A202,tQueue[PriorityRank],0))</f>
        <v>0</v>
      </c>
      <c r="F202">
        <f>IF(AND(D202&lt;=RigHoursPerWeek,E202=0),1,0)</f>
        <v>0</v>
      </c>
    </row>
    <row r="203" spans="1:6" x14ac:dyDescent="0.35">
      <c r="A203">
        <f>200</f>
        <v>200</v>
      </c>
      <c r="B203" t="str">
        <f>INDEX(tQueue[RequirementID],MATCH(A203,tQueue[PriorityRank],0))</f>
        <v>REQ-0508</v>
      </c>
      <c r="C203">
        <f>INDEX(tQueue[RigHours],MATCH(A203,tQueue[PriorityRank],0))</f>
        <v>0</v>
      </c>
      <c r="D203">
        <f>IF(ROW()=4,C203,D202+C203)</f>
        <v>372.5</v>
      </c>
      <c r="E203">
        <f>INDEX(tQueue[AirframeHours],MATCH(A203,tQueue[PriorityRank],0))</f>
        <v>0</v>
      </c>
      <c r="F203">
        <f>IF(AND(D203&lt;=RigHoursPerWeek,E203=0),1,0)</f>
        <v>0</v>
      </c>
    </row>
    <row r="204" spans="1:6" x14ac:dyDescent="0.35">
      <c r="A204">
        <f>201</f>
        <v>201</v>
      </c>
      <c r="B204" t="str">
        <f>INDEX(tQueue[RequirementID],MATCH(A204,tQueue[PriorityRank],0))</f>
        <v>REQ-0516</v>
      </c>
      <c r="C204">
        <f>INDEX(tQueue[RigHours],MATCH(A204,tQueue[PriorityRank],0))</f>
        <v>0</v>
      </c>
      <c r="D204">
        <f>IF(ROW()=4,C204,D203+C204)</f>
        <v>372.5</v>
      </c>
      <c r="E204">
        <f>INDEX(tQueue[AirframeHours],MATCH(A204,tQueue[PriorityRank],0))</f>
        <v>0</v>
      </c>
      <c r="F204">
        <f>IF(AND(D204&lt;=RigHoursPerWeek,E204=0),1,0)</f>
        <v>0</v>
      </c>
    </row>
    <row r="205" spans="1:6" x14ac:dyDescent="0.35">
      <c r="A205">
        <f>202</f>
        <v>202</v>
      </c>
      <c r="B205" t="str">
        <f>INDEX(tQueue[RequirementID],MATCH(A205,tQueue[PriorityRank],0))</f>
        <v>REQ-0007</v>
      </c>
      <c r="C205">
        <f>INDEX(tQueue[RigHours],MATCH(A205,tQueue[PriorityRank],0))</f>
        <v>2.5</v>
      </c>
      <c r="D205">
        <f>IF(ROW()=4,C205,D204+C205)</f>
        <v>375</v>
      </c>
      <c r="E205">
        <f>INDEX(tQueue[AirframeHours],MATCH(A205,tQueue[PriorityRank],0))</f>
        <v>0</v>
      </c>
      <c r="F205">
        <f>IF(AND(D205&lt;=RigHoursPerWeek,E205=0),1,0)</f>
        <v>0</v>
      </c>
    </row>
    <row r="206" spans="1:6" x14ac:dyDescent="0.35">
      <c r="A206">
        <f>203</f>
        <v>203</v>
      </c>
      <c r="B206" t="str">
        <f>INDEX(tQueue[RequirementID],MATCH(A206,tQueue[PriorityRank],0))</f>
        <v>REQ-0117</v>
      </c>
      <c r="C206">
        <f>INDEX(tQueue[RigHours],MATCH(A206,tQueue[PriorityRank],0))</f>
        <v>2.5</v>
      </c>
      <c r="D206">
        <f>IF(ROW()=4,C206,D205+C206)</f>
        <v>377.5</v>
      </c>
      <c r="E206">
        <f>INDEX(tQueue[AirframeHours],MATCH(A206,tQueue[PriorityRank],0))</f>
        <v>0</v>
      </c>
      <c r="F206">
        <f>IF(AND(D206&lt;=RigHoursPerWeek,E206=0),1,0)</f>
        <v>0</v>
      </c>
    </row>
    <row r="207" spans="1:6" x14ac:dyDescent="0.35">
      <c r="A207">
        <f>204</f>
        <v>204</v>
      </c>
      <c r="B207" t="str">
        <f>INDEX(tQueue[RequirementID],MATCH(A207,tQueue[PriorityRank],0))</f>
        <v>REQ-0212</v>
      </c>
      <c r="C207">
        <f>INDEX(tQueue[RigHours],MATCH(A207,tQueue[PriorityRank],0))</f>
        <v>2.5</v>
      </c>
      <c r="D207">
        <f>IF(ROW()=4,C207,D206+C207)</f>
        <v>380</v>
      </c>
      <c r="E207">
        <f>INDEX(tQueue[AirframeHours],MATCH(A207,tQueue[PriorityRank],0))</f>
        <v>0</v>
      </c>
      <c r="F207">
        <f>IF(AND(D207&lt;=RigHoursPerWeek,E207=0),1,0)</f>
        <v>0</v>
      </c>
    </row>
    <row r="208" spans="1:6" x14ac:dyDescent="0.35">
      <c r="A208">
        <f>205</f>
        <v>205</v>
      </c>
      <c r="B208" t="str">
        <f>INDEX(tQueue[RequirementID],MATCH(A208,tQueue[PriorityRank],0))</f>
        <v>REQ-0448</v>
      </c>
      <c r="C208">
        <f>INDEX(tQueue[RigHours],MATCH(A208,tQueue[PriorityRank],0))</f>
        <v>2.5</v>
      </c>
      <c r="D208">
        <f>IF(ROW()=4,C208,D207+C208)</f>
        <v>382.5</v>
      </c>
      <c r="E208">
        <f>INDEX(tQueue[AirframeHours],MATCH(A208,tQueue[PriorityRank],0))</f>
        <v>0</v>
      </c>
      <c r="F208">
        <f>IF(AND(D208&lt;=RigHoursPerWeek,E208=0),1,0)</f>
        <v>0</v>
      </c>
    </row>
    <row r="209" spans="1:6" x14ac:dyDescent="0.35">
      <c r="A209">
        <f>206</f>
        <v>206</v>
      </c>
      <c r="B209" t="str">
        <f>INDEX(tQueue[RequirementID],MATCH(A209,tQueue[PriorityRank],0))</f>
        <v>REQ-0095</v>
      </c>
      <c r="C209">
        <f>INDEX(tQueue[RigHours],MATCH(A209,tQueue[PriorityRank],0))</f>
        <v>0</v>
      </c>
      <c r="D209">
        <f>IF(ROW()=4,C209,D208+C209)</f>
        <v>382.5</v>
      </c>
      <c r="E209">
        <f>INDEX(tQueue[AirframeHours],MATCH(A209,tQueue[PriorityRank],0))</f>
        <v>0</v>
      </c>
      <c r="F209">
        <f>IF(AND(D209&lt;=RigHoursPerWeek,E209=0),1,0)</f>
        <v>0</v>
      </c>
    </row>
    <row r="210" spans="1:6" x14ac:dyDescent="0.35">
      <c r="A210">
        <f>207</f>
        <v>207</v>
      </c>
      <c r="B210" t="str">
        <f>INDEX(tQueue[RequirementID],MATCH(A210,tQueue[PriorityRank],0))</f>
        <v>REQ-0151</v>
      </c>
      <c r="C210">
        <f>INDEX(tQueue[RigHours],MATCH(A210,tQueue[PriorityRank],0))</f>
        <v>0</v>
      </c>
      <c r="D210">
        <f>IF(ROW()=4,C210,D209+C210)</f>
        <v>382.5</v>
      </c>
      <c r="E210">
        <f>INDEX(tQueue[AirframeHours],MATCH(A210,tQueue[PriorityRank],0))</f>
        <v>0</v>
      </c>
      <c r="F210">
        <f>IF(AND(D210&lt;=RigHoursPerWeek,E210=0),1,0)</f>
        <v>0</v>
      </c>
    </row>
    <row r="211" spans="1:6" x14ac:dyDescent="0.35">
      <c r="A211">
        <f>208</f>
        <v>208</v>
      </c>
      <c r="B211" t="str">
        <f>INDEX(tQueue[RequirementID],MATCH(A211,tQueue[PriorityRank],0))</f>
        <v>REQ-0310</v>
      </c>
      <c r="C211">
        <f>INDEX(tQueue[RigHours],MATCH(A211,tQueue[PriorityRank],0))</f>
        <v>0</v>
      </c>
      <c r="D211">
        <f>IF(ROW()=4,C211,D210+C211)</f>
        <v>382.5</v>
      </c>
      <c r="E211">
        <f>INDEX(tQueue[AirframeHours],MATCH(A211,tQueue[PriorityRank],0))</f>
        <v>0</v>
      </c>
      <c r="F211">
        <f>IF(AND(D211&lt;=RigHoursPerWeek,E211=0),1,0)</f>
        <v>0</v>
      </c>
    </row>
    <row r="212" spans="1:6" x14ac:dyDescent="0.35">
      <c r="A212">
        <f>209</f>
        <v>209</v>
      </c>
      <c r="B212" t="str">
        <f>INDEX(tQueue[RequirementID],MATCH(A212,tQueue[PriorityRank],0))</f>
        <v>REQ-0048</v>
      </c>
      <c r="C212">
        <f>INDEX(tQueue[RigHours],MATCH(A212,tQueue[PriorityRank],0))</f>
        <v>2.5</v>
      </c>
      <c r="D212">
        <f>IF(ROW()=4,C212,D211+C212)</f>
        <v>385</v>
      </c>
      <c r="E212">
        <f>INDEX(tQueue[AirframeHours],MATCH(A212,tQueue[PriorityRank],0))</f>
        <v>0</v>
      </c>
      <c r="F212">
        <f>IF(AND(D212&lt;=RigHoursPerWeek,E212=0),1,0)</f>
        <v>0</v>
      </c>
    </row>
    <row r="213" spans="1:6" x14ac:dyDescent="0.35">
      <c r="A213">
        <f>210</f>
        <v>210</v>
      </c>
      <c r="B213" t="str">
        <f>INDEX(tQueue[RequirementID],MATCH(A213,tQueue[PriorityRank],0))</f>
        <v>REQ-0066</v>
      </c>
      <c r="C213">
        <f>INDEX(tQueue[RigHours],MATCH(A213,tQueue[PriorityRank],0))</f>
        <v>2.5</v>
      </c>
      <c r="D213">
        <f>IF(ROW()=4,C213,D212+C213)</f>
        <v>387.5</v>
      </c>
      <c r="E213">
        <f>INDEX(tQueue[AirframeHours],MATCH(A213,tQueue[PriorityRank],0))</f>
        <v>0</v>
      </c>
      <c r="F213">
        <f>IF(AND(D213&lt;=RigHoursPerWeek,E213=0),1,0)</f>
        <v>0</v>
      </c>
    </row>
    <row r="214" spans="1:6" x14ac:dyDescent="0.35">
      <c r="A214">
        <f>211</f>
        <v>211</v>
      </c>
      <c r="B214" t="str">
        <f>INDEX(tQueue[RequirementID],MATCH(A214,tQueue[PriorityRank],0))</f>
        <v>REQ-0152</v>
      </c>
      <c r="C214">
        <f>INDEX(tQueue[RigHours],MATCH(A214,tQueue[PriorityRank],0))</f>
        <v>2.5</v>
      </c>
      <c r="D214">
        <f>IF(ROW()=4,C214,D213+C214)</f>
        <v>390</v>
      </c>
      <c r="E214">
        <f>INDEX(tQueue[AirframeHours],MATCH(A214,tQueue[PriorityRank],0))</f>
        <v>0</v>
      </c>
      <c r="F214">
        <f>IF(AND(D214&lt;=RigHoursPerWeek,E214=0),1,0)</f>
        <v>0</v>
      </c>
    </row>
    <row r="215" spans="1:6" x14ac:dyDescent="0.35">
      <c r="A215">
        <f>212</f>
        <v>212</v>
      </c>
      <c r="B215" t="str">
        <f>INDEX(tQueue[RequirementID],MATCH(A215,tQueue[PriorityRank],0))</f>
        <v>REQ-0220</v>
      </c>
      <c r="C215">
        <f>INDEX(tQueue[RigHours],MATCH(A215,tQueue[PriorityRank],0))</f>
        <v>2.5</v>
      </c>
      <c r="D215">
        <f>IF(ROW()=4,C215,D214+C215)</f>
        <v>392.5</v>
      </c>
      <c r="E215">
        <f>INDEX(tQueue[AirframeHours],MATCH(A215,tQueue[PriorityRank],0))</f>
        <v>0</v>
      </c>
      <c r="F215">
        <f>IF(AND(D215&lt;=RigHoursPerWeek,E215=0),1,0)</f>
        <v>0</v>
      </c>
    </row>
    <row r="216" spans="1:6" x14ac:dyDescent="0.35">
      <c r="A216">
        <f>213</f>
        <v>213</v>
      </c>
      <c r="B216" t="str">
        <f>INDEX(tQueue[RequirementID],MATCH(A216,tQueue[PriorityRank],0))</f>
        <v>REQ-0307</v>
      </c>
      <c r="C216">
        <f>INDEX(tQueue[RigHours],MATCH(A216,tQueue[PriorityRank],0))</f>
        <v>2.5</v>
      </c>
      <c r="D216">
        <f>IF(ROW()=4,C216,D215+C216)</f>
        <v>395</v>
      </c>
      <c r="E216">
        <f>INDEX(tQueue[AirframeHours],MATCH(A216,tQueue[PriorityRank],0))</f>
        <v>0</v>
      </c>
      <c r="F216">
        <f>IF(AND(D216&lt;=RigHoursPerWeek,E216=0),1,0)</f>
        <v>0</v>
      </c>
    </row>
    <row r="217" spans="1:6" x14ac:dyDescent="0.35">
      <c r="A217">
        <f>214</f>
        <v>214</v>
      </c>
      <c r="B217" t="str">
        <f>INDEX(tQueue[RequirementID],MATCH(A217,tQueue[PriorityRank],0))</f>
        <v>REQ-0462</v>
      </c>
      <c r="C217">
        <f>INDEX(tQueue[RigHours],MATCH(A217,tQueue[PriorityRank],0))</f>
        <v>2.5</v>
      </c>
      <c r="D217">
        <f>IF(ROW()=4,C217,D216+C217)</f>
        <v>397.5</v>
      </c>
      <c r="E217">
        <f>INDEX(tQueue[AirframeHours],MATCH(A217,tQueue[PriorityRank],0))</f>
        <v>0</v>
      </c>
      <c r="F217">
        <f>IF(AND(D217&lt;=RigHoursPerWeek,E217=0),1,0)</f>
        <v>0</v>
      </c>
    </row>
    <row r="218" spans="1:6" x14ac:dyDescent="0.35">
      <c r="A218">
        <f>215</f>
        <v>215</v>
      </c>
      <c r="B218" t="str">
        <f>INDEX(tQueue[RequirementID],MATCH(A218,tQueue[PriorityRank],0))</f>
        <v>REQ-0355</v>
      </c>
      <c r="C218">
        <f>INDEX(tQueue[RigHours],MATCH(A218,tQueue[PriorityRank],0))</f>
        <v>5</v>
      </c>
      <c r="D218">
        <f>IF(ROW()=4,C218,D217+C218)</f>
        <v>402.5</v>
      </c>
      <c r="E218">
        <f>INDEX(tQueue[AirframeHours],MATCH(A218,tQueue[PriorityRank],0))</f>
        <v>0</v>
      </c>
      <c r="F218">
        <f>IF(AND(D218&lt;=RigHoursPerWeek,E218=0),1,0)</f>
        <v>0</v>
      </c>
    </row>
    <row r="219" spans="1:6" x14ac:dyDescent="0.35">
      <c r="A219">
        <f>216</f>
        <v>216</v>
      </c>
      <c r="B219" t="str">
        <f>INDEX(tQueue[RequirementID],MATCH(A219,tQueue[PriorityRank],0))</f>
        <v>REQ-0107</v>
      </c>
      <c r="C219">
        <f>INDEX(tQueue[RigHours],MATCH(A219,tQueue[PriorityRank],0))</f>
        <v>7.5</v>
      </c>
      <c r="D219">
        <f>IF(ROW()=4,C219,D218+C219)</f>
        <v>410</v>
      </c>
      <c r="E219">
        <f>INDEX(tQueue[AirframeHours],MATCH(A219,tQueue[PriorityRank],0))</f>
        <v>0</v>
      </c>
      <c r="F219">
        <f>IF(AND(D219&lt;=RigHoursPerWeek,E219=0),1,0)</f>
        <v>0</v>
      </c>
    </row>
    <row r="220" spans="1:6" x14ac:dyDescent="0.35">
      <c r="A220">
        <f>217</f>
        <v>217</v>
      </c>
      <c r="B220" t="str">
        <f>INDEX(tQueue[RequirementID],MATCH(A220,tQueue[PriorityRank],0))</f>
        <v>REQ-0216</v>
      </c>
      <c r="C220">
        <f>INDEX(tQueue[RigHours],MATCH(A220,tQueue[PriorityRank],0))</f>
        <v>5</v>
      </c>
      <c r="D220">
        <f>IF(ROW()=4,C220,D219+C220)</f>
        <v>415</v>
      </c>
      <c r="E220">
        <f>INDEX(tQueue[AirframeHours],MATCH(A220,tQueue[PriorityRank],0))</f>
        <v>0</v>
      </c>
      <c r="F220">
        <f>IF(AND(D220&lt;=RigHoursPerWeek,E220=0),1,0)</f>
        <v>0</v>
      </c>
    </row>
    <row r="221" spans="1:6" x14ac:dyDescent="0.35">
      <c r="A221">
        <f>218</f>
        <v>218</v>
      </c>
      <c r="B221" t="str">
        <f>INDEX(tQueue[RequirementID],MATCH(A221,tQueue[PriorityRank],0))</f>
        <v>REQ-0114</v>
      </c>
      <c r="C221">
        <f>INDEX(tQueue[RigHours],MATCH(A221,tQueue[PriorityRank],0))</f>
        <v>0</v>
      </c>
      <c r="D221">
        <f>IF(ROW()=4,C221,D220+C221)</f>
        <v>415</v>
      </c>
      <c r="E221">
        <f>INDEX(tQueue[AirframeHours],MATCH(A221,tQueue[PriorityRank],0))</f>
        <v>0</v>
      </c>
      <c r="F221">
        <f>IF(AND(D221&lt;=RigHoursPerWeek,E221=0),1,0)</f>
        <v>0</v>
      </c>
    </row>
    <row r="222" spans="1:6" x14ac:dyDescent="0.35">
      <c r="A222">
        <f>219</f>
        <v>219</v>
      </c>
      <c r="B222" t="str">
        <f>INDEX(tQueue[RequirementID],MATCH(A222,tQueue[PriorityRank],0))</f>
        <v>REQ-0241</v>
      </c>
      <c r="C222">
        <f>INDEX(tQueue[RigHours],MATCH(A222,tQueue[PriorityRank],0))</f>
        <v>0</v>
      </c>
      <c r="D222">
        <f>IF(ROW()=4,C222,D221+C222)</f>
        <v>415</v>
      </c>
      <c r="E222">
        <f>INDEX(tQueue[AirframeHours],MATCH(A222,tQueue[PriorityRank],0))</f>
        <v>0</v>
      </c>
      <c r="F222">
        <f>IF(AND(D222&lt;=RigHoursPerWeek,E222=0),1,0)</f>
        <v>0</v>
      </c>
    </row>
    <row r="223" spans="1:6" x14ac:dyDescent="0.35">
      <c r="A223">
        <f>220</f>
        <v>220</v>
      </c>
      <c r="B223" t="str">
        <f>INDEX(tQueue[RequirementID],MATCH(A223,tQueue[PriorityRank],0))</f>
        <v>REQ-0131</v>
      </c>
      <c r="C223">
        <f>INDEX(tQueue[RigHours],MATCH(A223,tQueue[PriorityRank],0))</f>
        <v>2.5</v>
      </c>
      <c r="D223">
        <f>IF(ROW()=4,C223,D222+C223)</f>
        <v>417.5</v>
      </c>
      <c r="E223">
        <f>INDEX(tQueue[AirframeHours],MATCH(A223,tQueue[PriorityRank],0))</f>
        <v>0</v>
      </c>
      <c r="F223">
        <f>IF(AND(D223&lt;=RigHoursPerWeek,E223=0),1,0)</f>
        <v>0</v>
      </c>
    </row>
    <row r="224" spans="1:6" x14ac:dyDescent="0.35">
      <c r="A224">
        <f>221</f>
        <v>221</v>
      </c>
      <c r="B224" t="str">
        <f>INDEX(tQueue[RequirementID],MATCH(A224,tQueue[PriorityRank],0))</f>
        <v>REQ-0184</v>
      </c>
      <c r="C224">
        <f>INDEX(tQueue[RigHours],MATCH(A224,tQueue[PriorityRank],0))</f>
        <v>2.5</v>
      </c>
      <c r="D224">
        <f>IF(ROW()=4,C224,D223+C224)</f>
        <v>420</v>
      </c>
      <c r="E224">
        <f>INDEX(tQueue[AirframeHours],MATCH(A224,tQueue[PriorityRank],0))</f>
        <v>0</v>
      </c>
      <c r="F224">
        <f>IF(AND(D224&lt;=RigHoursPerWeek,E224=0),1,0)</f>
        <v>0</v>
      </c>
    </row>
    <row r="225" spans="1:6" x14ac:dyDescent="0.35">
      <c r="A225">
        <f>222</f>
        <v>222</v>
      </c>
      <c r="B225" t="str">
        <f>INDEX(tQueue[RequirementID],MATCH(A225,tQueue[PriorityRank],0))</f>
        <v>REQ-0313</v>
      </c>
      <c r="C225">
        <f>INDEX(tQueue[RigHours],MATCH(A225,tQueue[PriorityRank],0))</f>
        <v>0</v>
      </c>
      <c r="D225">
        <f>IF(ROW()=4,C225,D224+C225)</f>
        <v>420</v>
      </c>
      <c r="E225">
        <f>INDEX(tQueue[AirframeHours],MATCH(A225,tQueue[PriorityRank],0))</f>
        <v>0</v>
      </c>
      <c r="F225">
        <f>IF(AND(D225&lt;=RigHoursPerWeek,E225=0),1,0)</f>
        <v>0</v>
      </c>
    </row>
    <row r="226" spans="1:6" x14ac:dyDescent="0.35">
      <c r="A226">
        <f>223</f>
        <v>223</v>
      </c>
      <c r="B226" t="str">
        <f>INDEX(tQueue[RequirementID],MATCH(A226,tQueue[PriorityRank],0))</f>
        <v>REQ-0323</v>
      </c>
      <c r="C226">
        <f>INDEX(tQueue[RigHours],MATCH(A226,tQueue[PriorityRank],0))</f>
        <v>0</v>
      </c>
      <c r="D226">
        <f>IF(ROW()=4,C226,D225+C226)</f>
        <v>420</v>
      </c>
      <c r="E226">
        <f>INDEX(tQueue[AirframeHours],MATCH(A226,tQueue[PriorityRank],0))</f>
        <v>0</v>
      </c>
      <c r="F226">
        <f>IF(AND(D226&lt;=RigHoursPerWeek,E226=0),1,0)</f>
        <v>0</v>
      </c>
    </row>
    <row r="227" spans="1:6" x14ac:dyDescent="0.35">
      <c r="A227">
        <f>224</f>
        <v>224</v>
      </c>
      <c r="B227" t="str">
        <f>INDEX(tQueue[RequirementID],MATCH(A227,tQueue[PriorityRank],0))</f>
        <v>REQ-0366</v>
      </c>
      <c r="C227">
        <f>INDEX(tQueue[RigHours],MATCH(A227,tQueue[PriorityRank],0))</f>
        <v>0</v>
      </c>
      <c r="D227">
        <f>IF(ROW()=4,C227,D226+C227)</f>
        <v>420</v>
      </c>
      <c r="E227">
        <f>INDEX(tQueue[AirframeHours],MATCH(A227,tQueue[PriorityRank],0))</f>
        <v>0</v>
      </c>
      <c r="F227">
        <f>IF(AND(D227&lt;=RigHoursPerWeek,E227=0),1,0)</f>
        <v>0</v>
      </c>
    </row>
    <row r="228" spans="1:6" x14ac:dyDescent="0.35">
      <c r="A228">
        <f>225</f>
        <v>225</v>
      </c>
      <c r="B228" t="str">
        <f>INDEX(tQueue[RequirementID],MATCH(A228,tQueue[PriorityRank],0))</f>
        <v>REQ-0076</v>
      </c>
      <c r="C228">
        <f>INDEX(tQueue[RigHours],MATCH(A228,tQueue[PriorityRank],0))</f>
        <v>2.5</v>
      </c>
      <c r="D228">
        <f>IF(ROW()=4,C228,D227+C228)</f>
        <v>422.5</v>
      </c>
      <c r="E228">
        <f>INDEX(tQueue[AirframeHours],MATCH(A228,tQueue[PriorityRank],0))</f>
        <v>0</v>
      </c>
      <c r="F228">
        <f>IF(AND(D228&lt;=RigHoursPerWeek,E228=0),1,0)</f>
        <v>0</v>
      </c>
    </row>
    <row r="229" spans="1:6" x14ac:dyDescent="0.35">
      <c r="A229">
        <f>226</f>
        <v>226</v>
      </c>
      <c r="B229" t="str">
        <f>INDEX(tQueue[RequirementID],MATCH(A229,tQueue[PriorityRank],0))</f>
        <v>REQ-0079</v>
      </c>
      <c r="C229">
        <f>INDEX(tQueue[RigHours],MATCH(A229,tQueue[PriorityRank],0))</f>
        <v>2.5</v>
      </c>
      <c r="D229">
        <f>IF(ROW()=4,C229,D228+C229)</f>
        <v>425</v>
      </c>
      <c r="E229">
        <f>INDEX(tQueue[AirframeHours],MATCH(A229,tQueue[PriorityRank],0))</f>
        <v>0</v>
      </c>
      <c r="F229">
        <f>IF(AND(D229&lt;=RigHoursPerWeek,E229=0),1,0)</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D517B1-193E-4832-9E20-16357E90B5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Control</vt:lpstr>
      <vt:lpstr>Data_Req</vt:lpstr>
      <vt:lpstr>Data_Queue</vt:lpstr>
      <vt:lpstr>Data_Sub</vt:lpstr>
      <vt:lpstr>Data_KPI</vt:lpstr>
      <vt:lpstr>Data_Trend</vt:lpstr>
      <vt:lpstr>Data_RAID</vt:lpstr>
      <vt:lpstr>Data_Work</vt:lpstr>
      <vt:lpstr>Data_DQ</vt:lpstr>
      <vt:lpstr>Data_Policy</vt:lpstr>
      <vt:lpstr>Data_Matrix</vt:lpstr>
      <vt:lpstr>Data_Targets</vt:lpstr>
      <vt:lpstr>README</vt:lpstr>
      <vt:lpstr>Dashboard</vt:lpstr>
      <vt:lpstr>Verification Queue</vt:lpstr>
      <vt:lpstr>Subsystem Readiness</vt:lpstr>
      <vt:lpstr>RAID Register</vt:lpstr>
      <vt:lpstr>Validation</vt:lpstr>
      <vt:lpstr>Calc</vt:lpstr>
      <vt:lpstr>AirframeHoursOutstanding</vt:lpstr>
      <vt:lpstr>AsOfBuild</vt:lpstr>
      <vt:lpstr>AsOfDate</vt:lpstr>
      <vt:lpstr>CalcWithinWeek</vt:lpstr>
      <vt:lpstr>QueueOutstanding</vt:lpstr>
      <vt:lpstr>QueueRowsShown</vt:lpstr>
      <vt:lpstr>RigHoursOutstanding</vt:lpstr>
      <vt:lpstr>RigHoursPerWeek</vt:lpstr>
      <vt:lpstr>RigWeeksOutstanding</vt:lpstr>
      <vt:lpstr>SchedulableThisWeek</vt:lpstr>
      <vt:lpstr>SourceFolder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2026-09-30T07:52:38Z</dcterms:created>
  <dcterms:modified xsi:type="dcterms:W3CDTF">2026-09-30T07:53:07Z</dcterms:modified>
</cp:coreProperties>
</file>